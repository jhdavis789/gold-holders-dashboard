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US housing" sheetId="2" state="visible" r:id="rId2"/>
    <sheet xmlns:r="http://schemas.openxmlformats.org/officeDocument/2006/relationships" name="US dollar TWI (secondary)" sheetId="3" state="visible" r:id="rId3"/>
    <sheet xmlns:r="http://schemas.openxmlformats.org/officeDocument/2006/relationships" name="EM equities" sheetId="4" state="visible" r:id="rId4"/>
    <sheet xmlns:r="http://schemas.openxmlformats.org/officeDocument/2006/relationships" name="US cash" sheetId="5" state="visible" r:id="rId5"/>
    <sheet xmlns:r="http://schemas.openxmlformats.org/officeDocument/2006/relationships" name="US 10y Treasury" sheetId="6" state="visible" r:id="rId6"/>
    <sheet xmlns:r="http://schemas.openxmlformats.org/officeDocument/2006/relationships" name="US IG corporate" sheetId="7" state="visible" r:id="rId7"/>
    <sheet xmlns:r="http://schemas.openxmlformats.org/officeDocument/2006/relationships" name="US equities (S&amp;P)" sheetId="8" state="visible" r:id="rId8"/>
    <sheet xmlns:r="http://schemas.openxmlformats.org/officeDocument/2006/relationships" name="US Aggregate Bond" sheetId="9" state="visible" r:id="rId9"/>
    <sheet xmlns:r="http://schemas.openxmlformats.org/officeDocument/2006/relationships" name="Gold" sheetId="10" state="visible" r:id="rId10"/>
    <sheet xmlns:r="http://schemas.openxmlformats.org/officeDocument/2006/relationships" name="US small-cap" sheetId="11" state="visible" r:id="rId11"/>
    <sheet xmlns:r="http://schemas.openxmlformats.org/officeDocument/2006/relationships" name="US value" sheetId="12" state="visible" r:id="rId12"/>
    <sheet xmlns:r="http://schemas.openxmlformats.org/officeDocument/2006/relationships" name="Commodities (spot)" sheetId="13" state="visible" r:id="rId13"/>
    <sheet xmlns:r="http://schemas.openxmlformats.org/officeDocument/2006/relationships" name="US REITs" sheetId="14" state="visible" r:id="rId14"/>
    <sheet xmlns:r="http://schemas.openxmlformats.org/officeDocument/2006/relationships" name="Intl equities EAFE" sheetId="15" state="visible" r:id="rId15"/>
    <sheet xmlns:r="http://schemas.openxmlformats.org/officeDocument/2006/relationships" name="US TIPS" sheetId="16" state="visible" r:id="rId16"/>
    <sheet xmlns:r="http://schemas.openxmlformats.org/officeDocument/2006/relationships" name="Oil WTI spot" sheetId="17" state="visible" r:id="rId17"/>
    <sheet xmlns:r="http://schemas.openxmlformats.org/officeDocument/2006/relationships" name="US inflation CPI" sheetId="18" state="visible" r:id="rId18"/>
    <sheet xmlns:r="http://schemas.openxmlformats.org/officeDocument/2006/relationships" name="Proxy eval — Small-cap" sheetId="19" state="visible" r:id="rId19"/>
    <sheet xmlns:r="http://schemas.openxmlformats.org/officeDocument/2006/relationships" name="Proxy eval — Value" sheetId="20" state="visible" r:id="rId20"/>
    <sheet xmlns:r="http://schemas.openxmlformats.org/officeDocument/2006/relationships" name="Proxy eval — Agg Bond" sheetId="21" state="visible" r:id="rId21"/>
    <sheet xmlns:r="http://schemas.openxmlformats.org/officeDocument/2006/relationships" name="Proxy eval — 10y Treasury" sheetId="22" state="visible" r:id="rId22"/>
    <sheet xmlns:r="http://schemas.openxmlformats.org/officeDocument/2006/relationships" name="Proxy eval — IG corporat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294B"/>
      <sz val="14"/>
    </font>
    <font>
      <name val="Calibri"/>
      <i val="1"/>
      <color rgb="005E6B7E"/>
      <sz val="9"/>
    </font>
    <font>
      <name val="Calibri"/>
      <b val="1"/>
      <color rgb="00FFFFFF"/>
      <sz val="11"/>
    </font>
    <font>
      <b val="1"/>
      <color rgb="0013294B"/>
    </font>
    <font>
      <name val="Calibri"/>
      <i val="1"/>
      <color rgb="00005F9E"/>
      <sz val="9"/>
      <u val="single"/>
    </font>
    <font>
      <name val="Calibri"/>
      <color rgb="000A4F93"/>
    </font>
    <font>
      <name val="Calibri"/>
      <color rgb="0013294B"/>
    </font>
  </fonts>
  <fills count="3">
    <fill>
      <patternFill/>
    </fill>
    <fill>
      <patternFill patternType="gray125"/>
    </fill>
    <fill>
      <patternFill patternType="solid">
        <fgColor rgb="00005F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asuringworth.com/datasets/gold/" TargetMode="External" Id="rId1"/><Relationship Type="http://schemas.openxmlformats.org/officeDocument/2006/relationships/hyperlink" Target="https://fred.stlouisfed.org/series/PPIACO" TargetMode="External" Id="rId2"/><Relationship Type="http://schemas.openxmlformats.org/officeDocument/2006/relationships/hyperlink" Target="https://fred.stlouisfed.org/series/CSUSHPINSA" TargetMode="External" Id="rId3"/><Relationship Type="http://schemas.openxmlformats.org/officeDocument/2006/relationships/hyperlink" Target="https://finance.yahoo.com/quote/EEM" TargetMode="External" Id="rId4"/><Relationship Type="http://schemas.openxmlformats.org/officeDocument/2006/relationships/hyperlink" Target="https://www.reit.com/data-research/reit-indexes/monthly-index-values-returns" TargetMode="External" Id="rId5"/><Relationship Type="http://schemas.openxmlformats.org/officeDocument/2006/relationships/hyperlink" Target="https://fred.stlouisfed.org/series/TB3MS" TargetMode="External" Id="rId6"/><Relationship Type="http://schemas.openxmlformats.org/officeDocument/2006/relationships/hyperlink" Target="https://fred.stlouisfed.org/series/GS10" TargetMode="External" Id="rId7"/><Relationship Type="http://schemas.openxmlformats.org/officeDocument/2006/relationships/hyperlink" Target="https://fred.stlouisfed.org/series/BAA" TargetMode="External" Id="rId8"/><Relationship Type="http://schemas.openxmlformats.org/officeDocument/2006/relationships/hyperlink" Target="https://fred.stlouisfed.org/series/TWEXBGSMTH" TargetMode="External" Id="rId9"/><Relationship Type="http://schemas.openxmlformats.org/officeDocument/2006/relationships/hyperlink" Target="https://finance.yahoo.com/quote/EFA" TargetMode="External" Id="rId10"/><Relationship Type="http://schemas.openxmlformats.org/officeDocument/2006/relationships/hyperlink" Target="https://finance.yahoo.com/quote/TIP" TargetMode="External" Id="rId11"/><Relationship Type="http://schemas.openxmlformats.org/officeDocument/2006/relationships/hyperlink" Target="https://fred.stlouisfed.org/series/WTISPLC" TargetMode="External" Id="rId12"/><Relationship Type="http://schemas.openxmlformats.org/officeDocument/2006/relationships/hyperlink" Target="http://www.econ.yale.edu/~shiller/data.htm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://www.econ.yale.edu/~shiller/data.htm" TargetMode="External" Id="rId1"/><Relationship Type="http://schemas.openxmlformats.org/officeDocument/2006/relationships/hyperlink" Target="https://fred.stlouisfed.org/series/CSUSHPINSA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red.stlouisfed.org/series/TWEXMMTH" TargetMode="External" Id="rId1"/><Relationship Type="http://schemas.openxmlformats.org/officeDocument/2006/relationships/hyperlink" Target="https://fred.stlouisfed.org/series/TWEXBGSMTH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yahoo.com/quote/EMF" TargetMode="External" Id="rId1"/><Relationship Type="http://schemas.openxmlformats.org/officeDocument/2006/relationships/hyperlink" Target="https://finance.yahoo.com/quote/FEMKX" TargetMode="External" Id="rId2"/><Relationship Type="http://schemas.openxmlformats.org/officeDocument/2006/relationships/hyperlink" Target="https://finance.yahoo.com/quote/EE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fred.stlouisfed.org/series/TB3MS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fred.stlouisfed.org/series/GS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fred.stlouisfed.org/series/BAA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econ.yale.edu/~shiller/data.htm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fred.stlouisfed.org/series/GS5" TargetMode="External" Id="rId1"/><Relationship Type="http://schemas.openxmlformats.org/officeDocument/2006/relationships/hyperlink" Target="https://fred.stlouisfed.org/series/BAA" TargetMode="External" Id="rId2"/><Relationship Type="http://schemas.openxmlformats.org/officeDocument/2006/relationships/hyperlink" Target="https://finance.yahoo.com/quote/VBMFX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measuringworth.com/datasets/gold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mba.tuck.dartmouth.edu/pages/faculty/ken.french/data_library.html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mba.tuck.dartmouth.edu/pages/faculty/ken.french/data_library.html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fred.stlouisfed.org/series/PPIACO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reit.com/data-research/reit-indexes/monthly-index-values-returns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yahoo.com/quote/EFA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yahoo.com/quote/TIP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fred.stlouisfed.org/series/WTISPLC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://www.econ.yale.edu/~shiller/data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The World's Gold Holders — rolling-returns source data (auditable)</t>
        </is>
      </c>
    </row>
    <row r="2">
      <c r="A2" s="2" t="inlineStr"/>
    </row>
    <row r="3">
      <c r="A3" s="2" t="inlineStr">
        <is>
          <t>Every series below is built from the PRIMARY sources listed — no number is supplied by a model.</t>
        </is>
      </c>
    </row>
    <row r="4">
      <c r="A4" s="2" t="inlineStr">
        <is>
          <t>Raw leg data is scripted into each sheet; the spliced/compounded AGGREGATE is built with LIVE</t>
        </is>
      </c>
    </row>
    <row r="5">
      <c r="A5" s="2" t="inlineStr">
        <is>
          <t>Excel formulas referencing the raw cells, so you can audit every value (blue = raw input, dark = formula).</t>
        </is>
      </c>
    </row>
    <row r="6">
      <c r="A6" s="2" t="inlineStr"/>
    </row>
    <row r="7">
      <c r="A7" s="2" t="inlineStr">
        <is>
          <t>Level-splice series (commodities, housing, EM): aggregate = leg x splice-factor.</t>
        </is>
      </c>
    </row>
    <row r="8">
      <c r="A8" s="2" t="inlineStr">
        <is>
          <t>Rate-built series (cash, 10y Treasury, IG corporate): a total-return index compounded month-by-month</t>
        </is>
      </c>
    </row>
    <row r="9">
      <c r="A9" s="2" t="inlineStr">
        <is>
          <t xml:space="preserve">  from the rate leg — monthly yield -&gt; par-bond price (PV) -&gt; monthly TR -&gt; compounded index, all formulas.</t>
        </is>
      </c>
    </row>
    <row r="10">
      <c r="A10" s="2" t="inlineStr"/>
    </row>
    <row r="11">
      <c r="A11" s="2" t="inlineStr">
        <is>
          <t>Generated by returns_dist/export_workbooks.py (reproducible). Cross-checked against returns_dist_data.json</t>
        </is>
      </c>
    </row>
    <row r="12">
      <c r="A12" s="2" t="inlineStr">
        <is>
          <t>and recomputed by LibreOffice to prove the formulas. Source links:</t>
        </is>
      </c>
    </row>
    <row r="13">
      <c r="A13" s="2" t="inlineStr"/>
    </row>
    <row r="15">
      <c r="A15" s="3" t="inlineStr">
        <is>
          <t>Series</t>
        </is>
      </c>
      <c r="B15" s="3" t="inlineStr">
        <is>
          <t>Source</t>
        </is>
      </c>
    </row>
    <row r="16">
      <c r="A16" s="4" t="inlineStr">
        <is>
          <t>Gold</t>
        </is>
      </c>
      <c r="B16" s="5" t="inlineStr">
        <is>
          <t>MeasuringWorth — Price of Gold (NY market)</t>
        </is>
      </c>
    </row>
    <row r="17">
      <c r="A17" s="4" t="inlineStr">
        <is>
          <t>Commodities (spot)</t>
        </is>
      </c>
      <c r="B17" s="5" t="inlineStr">
        <is>
          <t>FRED Warren-Pearson WPI (M04051) + PPI All Commodities (PPIACO)</t>
        </is>
      </c>
    </row>
    <row r="18">
      <c r="A18" s="4" t="inlineStr">
        <is>
          <t>US housing</t>
        </is>
      </c>
      <c r="B18" s="5" t="inlineStr">
        <is>
          <t>Shiller nominal home-price index + FRED Case-Shiller (CSUSHPINSA)</t>
        </is>
      </c>
    </row>
    <row r="19">
      <c r="A19" s="4" t="inlineStr">
        <is>
          <t>EM equities</t>
        </is>
      </c>
      <c r="B19" s="5" t="inlineStr">
        <is>
          <t>Templeton EMF -&gt; Fidelity FEMKX -&gt; iShares EEM (Yahoo)</t>
        </is>
      </c>
    </row>
    <row r="20">
      <c r="A20" s="4" t="inlineStr">
        <is>
          <t>US REITs</t>
        </is>
      </c>
      <c r="B20" s="5" t="inlineStr">
        <is>
          <t>Nareit — FTSE Nareit All Equity REITs total-return index (monthly)</t>
        </is>
      </c>
    </row>
    <row r="21">
      <c r="A21" s="4" t="inlineStr">
        <is>
          <t>US cash</t>
        </is>
      </c>
      <c r="B21" s="5" t="inlineStr">
        <is>
          <t>FRED NY commercial paper (M13002) + 3m T-bill (TB3MS)</t>
        </is>
      </c>
    </row>
    <row r="22">
      <c r="A22" s="4" t="inlineStr">
        <is>
          <t>US 10y Treasury</t>
        </is>
      </c>
      <c r="B22" s="5" t="inlineStr">
        <is>
          <t>Shiller GS10 long rate + FRED GS10</t>
        </is>
      </c>
    </row>
    <row r="23">
      <c r="A23" s="4" t="inlineStr">
        <is>
          <t>US IG corporate</t>
        </is>
      </c>
      <c r="B23" s="5" t="inlineStr">
        <is>
          <t>FRED Moody's Baa corporate yield (BAA)</t>
        </is>
      </c>
    </row>
    <row r="24">
      <c r="A24" s="4" t="inlineStr">
        <is>
          <t>US dollar TWI (secondary)</t>
        </is>
      </c>
      <c r="B24" s="5" t="inlineStr">
        <is>
          <t>FRED nominal trade-weighted USD: major (TWEXMMTH) + broad (TWEXBGSMTH)</t>
        </is>
      </c>
    </row>
    <row r="25">
      <c r="A25" s="4" t="inlineStr">
        <is>
          <t>Intl equities EAFE (secondary)</t>
        </is>
      </c>
      <c r="B25" s="5" t="inlineStr">
        <is>
          <t>iShares MSCI EAFE (EFA) — developed ex-US, total return</t>
        </is>
      </c>
    </row>
    <row r="26">
      <c r="A26" s="4" t="inlineStr">
        <is>
          <t>US TIPS (secondary)</t>
        </is>
      </c>
      <c r="B26" s="5" t="inlineStr">
        <is>
          <t>iShares TIPS Bond (TIP) — inflation-protected Treasuries</t>
        </is>
      </c>
    </row>
    <row r="27">
      <c r="A27" s="4" t="inlineStr">
        <is>
          <t>Oil WTI spot (secondary)</t>
        </is>
      </c>
      <c r="B27" s="5" t="inlineStr">
        <is>
          <t>FRED WTI spot (WTISPLC), 1946+ — spot price only</t>
        </is>
      </c>
    </row>
    <row r="28">
      <c r="A28" s="4" t="inlineStr">
        <is>
          <t>US inflation CPI (secondary)</t>
        </is>
      </c>
      <c r="B28" s="5" t="inlineStr">
        <is>
          <t>Shiller CPI-U — the deflator shown as a series</t>
        </is>
      </c>
    </row>
  </sheetData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  <hyperlink xmlns:r="http://schemas.openxmlformats.org/officeDocument/2006/relationships" ref="B26" r:id="rId11"/>
    <hyperlink xmlns:r="http://schemas.openxmlformats.org/officeDocument/2006/relationships" ref="B27" r:id="rId12"/>
    <hyperlink xmlns:r="http://schemas.openxmlformats.org/officeDocument/2006/relationships" ref="B2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US housing — annual-average level index (price)</t>
        </is>
      </c>
    </row>
    <row r="2">
      <c r="A2" s="2" t="inlineStr">
        <is>
          <t>Aggregate: year &lt; 2023 -&gt; Shiller nominal home price x f1 ; year &gt;= 2023 -&gt; FRED Case-Shiller (CSUSHPINSA) x f2. f2 chains Case-Shiller onto Shiller at 2022/23.</t>
        </is>
      </c>
    </row>
    <row r="3">
      <c r="A3" t="inlineStr">
        <is>
          <t>f1 =</t>
        </is>
      </c>
      <c r="B3" s="6" t="n">
        <v>1</v>
      </c>
    </row>
    <row r="4">
      <c r="A4" t="inlineStr">
        <is>
          <t>f2 =</t>
        </is>
      </c>
      <c r="B4" s="6" t="n">
        <v>1.000594</v>
      </c>
    </row>
    <row r="5">
      <c r="B5" s="5" t="inlineStr">
        <is>
          <t>Shiller nominal home price</t>
        </is>
      </c>
      <c r="C5" s="5" t="inlineStr">
        <is>
          <t>FRED Case-Shiller (CSUSHPINSA)</t>
        </is>
      </c>
    </row>
    <row r="6">
      <c r="A6" s="7" t="inlineStr">
        <is>
          <t>Year</t>
        </is>
      </c>
      <c r="B6" s="7" t="inlineStr">
        <is>
          <t>leg1 (raw)</t>
        </is>
      </c>
      <c r="C6" s="7" t="inlineStr">
        <is>
          <t>leg2 (raw)</t>
        </is>
      </c>
      <c r="D6" s="7" t="inlineStr">
        <is>
          <t>Aggregate (formula)</t>
        </is>
      </c>
    </row>
    <row r="7">
      <c r="A7" s="8" t="n">
        <v>1890</v>
      </c>
      <c r="B7" s="6" t="n">
        <v>3.5573</v>
      </c>
      <c r="D7" s="8">
        <f>B7*$B$3</f>
        <v/>
      </c>
    </row>
    <row r="8">
      <c r="A8" s="8" t="n">
        <v>1891</v>
      </c>
      <c r="B8" s="6" t="n">
        <v>3.2091</v>
      </c>
      <c r="D8" s="8">
        <f>B8*$B$3</f>
        <v/>
      </c>
    </row>
    <row r="9">
      <c r="A9" s="8" t="n">
        <v>1892</v>
      </c>
      <c r="B9" s="6" t="n">
        <v>3.2671</v>
      </c>
      <c r="D9" s="8">
        <f>B9*$B$3</f>
        <v/>
      </c>
    </row>
    <row r="10">
      <c r="A10" s="8" t="n">
        <v>1893</v>
      </c>
      <c r="B10" s="6" t="n">
        <v>3.4064</v>
      </c>
      <c r="D10" s="8">
        <f>B10*$B$3</f>
        <v/>
      </c>
    </row>
    <row r="11">
      <c r="A11" s="8" t="n">
        <v>1894</v>
      </c>
      <c r="B11" s="6" t="n">
        <v>3.9693</v>
      </c>
      <c r="D11" s="8">
        <f>B11*$B$3</f>
        <v/>
      </c>
    </row>
    <row r="12">
      <c r="A12" s="8" t="n">
        <v>1895</v>
      </c>
      <c r="B12" s="6" t="n">
        <v>3.6037</v>
      </c>
      <c r="D12" s="8">
        <f>B12*$B$3</f>
        <v/>
      </c>
    </row>
    <row r="13">
      <c r="A13" s="8" t="n">
        <v>1896</v>
      </c>
      <c r="B13" s="6" t="n">
        <v>3.1221</v>
      </c>
      <c r="D13" s="8">
        <f>B13*$B$3</f>
        <v/>
      </c>
    </row>
    <row r="14">
      <c r="A14" s="8" t="n">
        <v>1897</v>
      </c>
      <c r="B14" s="6" t="n">
        <v>3.2207</v>
      </c>
      <c r="D14" s="8">
        <f>B14*$B$3</f>
        <v/>
      </c>
    </row>
    <row r="15">
      <c r="A15" s="8" t="n">
        <v>1898</v>
      </c>
      <c r="B15" s="6" t="n">
        <v>3.4296</v>
      </c>
      <c r="D15" s="8">
        <f>B15*$B$3</f>
        <v/>
      </c>
    </row>
    <row r="16">
      <c r="A16" s="8" t="n">
        <v>1899</v>
      </c>
      <c r="B16" s="6" t="n">
        <v>3.2787</v>
      </c>
      <c r="D16" s="8">
        <f>B16*$B$3</f>
        <v/>
      </c>
    </row>
    <row r="17">
      <c r="A17" s="8" t="n">
        <v>1900</v>
      </c>
      <c r="B17" s="6" t="n">
        <v>3.7488</v>
      </c>
      <c r="D17" s="8">
        <f>B17*$B$3</f>
        <v/>
      </c>
    </row>
    <row r="18">
      <c r="A18" s="8" t="n">
        <v>1901</v>
      </c>
      <c r="B18" s="6" t="n">
        <v>3.1453</v>
      </c>
      <c r="D18" s="8">
        <f>B18*$B$3</f>
        <v/>
      </c>
    </row>
    <row r="19">
      <c r="A19" s="8" t="n">
        <v>1902</v>
      </c>
      <c r="B19" s="6" t="n">
        <v>3.7082</v>
      </c>
      <c r="D19" s="8">
        <f>B19*$B$3</f>
        <v/>
      </c>
    </row>
    <row r="20">
      <c r="A20" s="8" t="n">
        <v>1903</v>
      </c>
      <c r="B20" s="6" t="n">
        <v>3.7662</v>
      </c>
      <c r="D20" s="8">
        <f>B20*$B$3</f>
        <v/>
      </c>
    </row>
    <row r="21">
      <c r="A21" s="8" t="n">
        <v>1904</v>
      </c>
      <c r="B21" s="6" t="n">
        <v>3.9403</v>
      </c>
      <c r="D21" s="8">
        <f>B21*$B$3</f>
        <v/>
      </c>
    </row>
    <row r="22">
      <c r="A22" s="8" t="n">
        <v>1905</v>
      </c>
      <c r="B22" s="6" t="n">
        <v>3.4528</v>
      </c>
      <c r="D22" s="8">
        <f>B22*$B$3</f>
        <v/>
      </c>
    </row>
    <row r="23">
      <c r="A23" s="8" t="n">
        <v>1906</v>
      </c>
      <c r="B23" s="6" t="n">
        <v>4.097</v>
      </c>
      <c r="D23" s="8">
        <f>B23*$B$3</f>
        <v/>
      </c>
    </row>
    <row r="24">
      <c r="A24" s="8" t="n">
        <v>1907</v>
      </c>
      <c r="B24" s="6" t="n">
        <v>4.5206</v>
      </c>
      <c r="D24" s="8">
        <f>B24*$B$3</f>
        <v/>
      </c>
    </row>
    <row r="25">
      <c r="A25" s="8" t="n">
        <v>1908</v>
      </c>
      <c r="B25" s="6" t="n">
        <v>4.0796</v>
      </c>
      <c r="D25" s="8">
        <f>B25*$B$3</f>
        <v/>
      </c>
    </row>
    <row r="26">
      <c r="A26" s="8" t="n">
        <v>1909</v>
      </c>
      <c r="B26" s="6" t="n">
        <v>3.9867</v>
      </c>
      <c r="D26" s="8">
        <f>B26*$B$3</f>
        <v/>
      </c>
    </row>
    <row r="27">
      <c r="A27" s="8" t="n">
        <v>1910</v>
      </c>
      <c r="B27" s="6" t="n">
        <v>4.3059</v>
      </c>
      <c r="D27" s="8">
        <f>B27*$B$3</f>
        <v/>
      </c>
    </row>
    <row r="28">
      <c r="A28" s="8" t="n">
        <v>1911</v>
      </c>
      <c r="B28" s="6" t="n">
        <v>4.2072</v>
      </c>
      <c r="D28" s="8">
        <f>B28*$B$3</f>
        <v/>
      </c>
    </row>
    <row r="29">
      <c r="A29" s="8" t="n">
        <v>1912</v>
      </c>
      <c r="B29" s="6" t="n">
        <v>4.3697</v>
      </c>
      <c r="D29" s="8">
        <f>B29*$B$3</f>
        <v/>
      </c>
    </row>
    <row r="30">
      <c r="A30" s="8" t="n">
        <v>1913</v>
      </c>
      <c r="B30" s="6" t="n">
        <v>4.3697</v>
      </c>
      <c r="D30" s="8">
        <f>B30*$B$3</f>
        <v/>
      </c>
    </row>
    <row r="31">
      <c r="A31" s="8" t="n">
        <v>1914</v>
      </c>
      <c r="B31" s="6" t="n">
        <v>4.5322</v>
      </c>
      <c r="D31" s="8">
        <f>B31*$B$3</f>
        <v/>
      </c>
    </row>
    <row r="32">
      <c r="A32" s="8" t="n">
        <v>1915</v>
      </c>
      <c r="B32" s="6" t="n">
        <v>4.1608</v>
      </c>
      <c r="D32" s="8">
        <f>B32*$B$3</f>
        <v/>
      </c>
    </row>
    <row r="33">
      <c r="A33" s="8" t="n">
        <v>1916</v>
      </c>
      <c r="B33" s="6" t="n">
        <v>4.5554</v>
      </c>
      <c r="D33" s="8">
        <f>B33*$B$3</f>
        <v/>
      </c>
    </row>
    <row r="34">
      <c r="A34" s="8" t="n">
        <v>1917</v>
      </c>
      <c r="B34" s="6" t="n">
        <v>4.6483</v>
      </c>
      <c r="D34" s="8">
        <f>B34*$B$3</f>
        <v/>
      </c>
    </row>
    <row r="35">
      <c r="A35" s="8" t="n">
        <v>1918</v>
      </c>
      <c r="B35" s="6" t="n">
        <v>4.9442</v>
      </c>
      <c r="D35" s="8">
        <f>B35*$B$3</f>
        <v/>
      </c>
    </row>
    <row r="36">
      <c r="A36" s="8" t="n">
        <v>1919</v>
      </c>
      <c r="B36" s="6" t="n">
        <v>5.4375</v>
      </c>
      <c r="D36" s="8">
        <f>B36*$B$3</f>
        <v/>
      </c>
    </row>
    <row r="37">
      <c r="A37" s="8" t="n">
        <v>1920</v>
      </c>
      <c r="B37" s="6" t="n">
        <v>5.9598</v>
      </c>
      <c r="D37" s="8">
        <f>B37*$B$3</f>
        <v/>
      </c>
    </row>
    <row r="38">
      <c r="A38" s="8" t="n">
        <v>1921</v>
      </c>
      <c r="B38" s="6" t="n">
        <v>5.8263</v>
      </c>
      <c r="D38" s="8">
        <f>B38*$B$3</f>
        <v/>
      </c>
    </row>
    <row r="39">
      <c r="A39" s="8" t="n">
        <v>1922</v>
      </c>
      <c r="B39" s="6" t="n">
        <v>5.9075</v>
      </c>
      <c r="D39" s="8">
        <f>B39*$B$3</f>
        <v/>
      </c>
    </row>
    <row r="40">
      <c r="A40" s="8" t="n">
        <v>1923</v>
      </c>
      <c r="B40" s="6" t="n">
        <v>5.9946</v>
      </c>
      <c r="D40" s="8">
        <f>B40*$B$3</f>
        <v/>
      </c>
    </row>
    <row r="41">
      <c r="A41" s="8" t="n">
        <v>1924</v>
      </c>
      <c r="B41" s="6" t="n">
        <v>6.0062</v>
      </c>
      <c r="D41" s="8">
        <f>B41*$B$3</f>
        <v/>
      </c>
    </row>
    <row r="42">
      <c r="A42" s="8" t="n">
        <v>1925</v>
      </c>
      <c r="B42" s="6" t="n">
        <v>6.3196</v>
      </c>
      <c r="D42" s="8">
        <f>B42*$B$3</f>
        <v/>
      </c>
    </row>
    <row r="43">
      <c r="A43" s="8" t="n">
        <v>1926</v>
      </c>
      <c r="B43" s="6" t="n">
        <v>6.0642</v>
      </c>
      <c r="D43" s="8">
        <f>B43*$B$3</f>
        <v/>
      </c>
    </row>
    <row r="44">
      <c r="A44" s="8" t="n">
        <v>1927</v>
      </c>
      <c r="B44" s="6" t="n">
        <v>5.8379</v>
      </c>
      <c r="D44" s="8">
        <f>B44*$B$3</f>
        <v/>
      </c>
    </row>
    <row r="45">
      <c r="A45" s="8" t="n">
        <v>1928</v>
      </c>
      <c r="B45" s="6" t="n">
        <v>5.925</v>
      </c>
      <c r="D45" s="8">
        <f>B45*$B$3</f>
        <v/>
      </c>
    </row>
    <row r="46">
      <c r="A46" s="8" t="n">
        <v>1929</v>
      </c>
      <c r="B46" s="6" t="n">
        <v>5.8031</v>
      </c>
      <c r="D46" s="8">
        <f>B46*$B$3</f>
        <v/>
      </c>
    </row>
    <row r="47">
      <c r="A47" s="8" t="n">
        <v>1930</v>
      </c>
      <c r="B47" s="6" t="n">
        <v>5.5536</v>
      </c>
      <c r="D47" s="8">
        <f>B47*$B$3</f>
        <v/>
      </c>
    </row>
    <row r="48">
      <c r="A48" s="8" t="n">
        <v>1931</v>
      </c>
      <c r="B48" s="6" t="n">
        <v>5.1009</v>
      </c>
      <c r="D48" s="8">
        <f>B48*$B$3</f>
        <v/>
      </c>
    </row>
    <row r="49">
      <c r="A49" s="8" t="n">
        <v>1932</v>
      </c>
      <c r="B49" s="6" t="n">
        <v>4.567</v>
      </c>
      <c r="D49" s="8">
        <f>B49*$B$3</f>
        <v/>
      </c>
    </row>
    <row r="50">
      <c r="A50" s="8" t="n">
        <v>1933</v>
      </c>
      <c r="B50" s="6" t="n">
        <v>4.3929</v>
      </c>
      <c r="D50" s="8">
        <f>B50*$B$3</f>
        <v/>
      </c>
    </row>
    <row r="51">
      <c r="A51" s="8" t="n">
        <v>1934</v>
      </c>
      <c r="B51" s="6" t="n">
        <v>4.5206</v>
      </c>
      <c r="D51" s="8">
        <f>B51*$B$3</f>
        <v/>
      </c>
    </row>
    <row r="52">
      <c r="A52" s="8" t="n">
        <v>1935</v>
      </c>
      <c r="B52" s="6" t="n">
        <v>4.9621</v>
      </c>
      <c r="D52" s="8">
        <f>B52*$B$3</f>
        <v/>
      </c>
    </row>
    <row r="53">
      <c r="A53" s="8" t="n">
        <v>1936</v>
      </c>
      <c r="B53" s="6" t="n">
        <v>5.1218</v>
      </c>
      <c r="D53" s="8">
        <f>B53*$B$3</f>
        <v/>
      </c>
    </row>
    <row r="54">
      <c r="A54" s="8" t="n">
        <v>1937</v>
      </c>
      <c r="B54" s="6" t="n">
        <v>5.2531</v>
      </c>
      <c r="D54" s="8">
        <f>B54*$B$3</f>
        <v/>
      </c>
    </row>
    <row r="55">
      <c r="A55" s="8" t="n">
        <v>1938</v>
      </c>
      <c r="B55" s="6" t="n">
        <v>5.2072</v>
      </c>
      <c r="D55" s="8">
        <f>B55*$B$3</f>
        <v/>
      </c>
    </row>
    <row r="56">
      <c r="A56" s="8" t="n">
        <v>1939</v>
      </c>
      <c r="B56" s="6" t="n">
        <v>5.1394</v>
      </c>
      <c r="D56" s="8">
        <f>B56*$B$3</f>
        <v/>
      </c>
    </row>
    <row r="57">
      <c r="A57" s="8" t="n">
        <v>1940</v>
      </c>
      <c r="B57" s="6" t="n">
        <v>5.3094</v>
      </c>
      <c r="D57" s="8">
        <f>B57*$B$3</f>
        <v/>
      </c>
    </row>
    <row r="58">
      <c r="A58" s="8" t="n">
        <v>1941</v>
      </c>
      <c r="B58" s="6" t="n">
        <v>4.8642</v>
      </c>
      <c r="D58" s="8">
        <f>B58*$B$3</f>
        <v/>
      </c>
    </row>
    <row r="59">
      <c r="A59" s="8" t="n">
        <v>1942</v>
      </c>
      <c r="B59" s="6" t="n">
        <v>5.0263</v>
      </c>
      <c r="D59" s="8">
        <f>B59*$B$3</f>
        <v/>
      </c>
    </row>
    <row r="60">
      <c r="A60" s="8" t="n">
        <v>1943</v>
      </c>
      <c r="B60" s="6" t="n">
        <v>5.6016</v>
      </c>
      <c r="D60" s="8">
        <f>B60*$B$3</f>
        <v/>
      </c>
    </row>
    <row r="61">
      <c r="A61" s="8" t="n">
        <v>1944</v>
      </c>
      <c r="B61" s="6" t="n">
        <v>6.5306</v>
      </c>
      <c r="D61" s="8">
        <f>B61*$B$3</f>
        <v/>
      </c>
    </row>
    <row r="62">
      <c r="A62" s="8" t="n">
        <v>1945</v>
      </c>
      <c r="B62" s="6" t="n">
        <v>7.2998</v>
      </c>
      <c r="D62" s="8">
        <f>B62*$B$3</f>
        <v/>
      </c>
    </row>
    <row r="63">
      <c r="A63" s="8" t="n">
        <v>1946</v>
      </c>
      <c r="B63" s="6" t="n">
        <v>9.059100000000001</v>
      </c>
      <c r="D63" s="8">
        <f>B63*$B$3</f>
        <v/>
      </c>
    </row>
    <row r="64">
      <c r="A64" s="8" t="n">
        <v>1947</v>
      </c>
      <c r="B64" s="6" t="n">
        <v>10.9854</v>
      </c>
      <c r="D64" s="8">
        <f>B64*$B$3</f>
        <v/>
      </c>
    </row>
    <row r="65">
      <c r="A65" s="8" t="n">
        <v>1948</v>
      </c>
      <c r="B65" s="6" t="n">
        <v>11.2116</v>
      </c>
      <c r="D65" s="8">
        <f>B65*$B$3</f>
        <v/>
      </c>
    </row>
    <row r="66">
      <c r="A66" s="8" t="n">
        <v>1949</v>
      </c>
      <c r="B66" s="6" t="n">
        <v>11.2216</v>
      </c>
      <c r="D66" s="8">
        <f>B66*$B$3</f>
        <v/>
      </c>
    </row>
    <row r="67">
      <c r="A67" s="8" t="n">
        <v>1950</v>
      </c>
      <c r="B67" s="6" t="n">
        <v>11.6301</v>
      </c>
      <c r="D67" s="8">
        <f>B67*$B$3</f>
        <v/>
      </c>
    </row>
    <row r="68">
      <c r="A68" s="8" t="n">
        <v>1951</v>
      </c>
      <c r="B68" s="6" t="n">
        <v>12.3335</v>
      </c>
      <c r="D68" s="8">
        <f>B68*$B$3</f>
        <v/>
      </c>
    </row>
    <row r="69">
      <c r="A69" s="8" t="n">
        <v>1952</v>
      </c>
      <c r="B69" s="6" t="n">
        <v>12.877</v>
      </c>
      <c r="D69" s="8">
        <f>B69*$B$3</f>
        <v/>
      </c>
    </row>
    <row r="70">
      <c r="A70" s="8" t="n">
        <v>1953</v>
      </c>
      <c r="B70" s="6" t="n">
        <v>14.3227</v>
      </c>
      <c r="D70" s="8">
        <f>B70*$B$3</f>
        <v/>
      </c>
    </row>
    <row r="71">
      <c r="A71" s="8" t="n">
        <v>1954</v>
      </c>
      <c r="B71" s="6" t="n">
        <v>14.4193</v>
      </c>
      <c r="D71" s="8">
        <f>B71*$B$3</f>
        <v/>
      </c>
    </row>
    <row r="72">
      <c r="A72" s="8" t="n">
        <v>1955</v>
      </c>
      <c r="B72" s="6" t="n">
        <v>14.4704</v>
      </c>
      <c r="D72" s="8">
        <f>B72*$B$3</f>
        <v/>
      </c>
    </row>
    <row r="73">
      <c r="A73" s="8" t="n">
        <v>1956</v>
      </c>
      <c r="B73" s="6" t="n">
        <v>14.5062</v>
      </c>
      <c r="D73" s="8">
        <f>B73*$B$3</f>
        <v/>
      </c>
    </row>
    <row r="74">
      <c r="A74" s="8" t="n">
        <v>1957</v>
      </c>
      <c r="B74" s="6" t="n">
        <v>14.9107</v>
      </c>
      <c r="D74" s="8">
        <f>B74*$B$3</f>
        <v/>
      </c>
    </row>
    <row r="75">
      <c r="A75" s="8" t="n">
        <v>1958</v>
      </c>
      <c r="B75" s="6" t="n">
        <v>15.1273</v>
      </c>
      <c r="D75" s="8">
        <f>B75*$B$3</f>
        <v/>
      </c>
    </row>
    <row r="76">
      <c r="A76" s="8" t="n">
        <v>1959</v>
      </c>
      <c r="B76" s="6" t="n">
        <v>15.1149</v>
      </c>
      <c r="D76" s="8">
        <f>B76*$B$3</f>
        <v/>
      </c>
    </row>
    <row r="77">
      <c r="A77" s="8" t="n">
        <v>1960</v>
      </c>
      <c r="B77" s="6" t="n">
        <v>15.2005</v>
      </c>
      <c r="D77" s="8">
        <f>B77*$B$3</f>
        <v/>
      </c>
    </row>
    <row r="78">
      <c r="A78" s="8" t="n">
        <v>1961</v>
      </c>
      <c r="B78" s="6" t="n">
        <v>15.2737</v>
      </c>
      <c r="D78" s="8">
        <f>B78*$B$3</f>
        <v/>
      </c>
    </row>
    <row r="79">
      <c r="A79" s="8" t="n">
        <v>1962</v>
      </c>
      <c r="B79" s="6" t="n">
        <v>15.4434</v>
      </c>
      <c r="D79" s="8">
        <f>B79*$B$3</f>
        <v/>
      </c>
    </row>
    <row r="80">
      <c r="A80" s="8" t="n">
        <v>1963</v>
      </c>
      <c r="B80" s="6" t="n">
        <v>15.6049</v>
      </c>
      <c r="D80" s="8">
        <f>B80*$B$3</f>
        <v/>
      </c>
    </row>
    <row r="81">
      <c r="A81" s="8" t="n">
        <v>1964</v>
      </c>
      <c r="B81" s="6" t="n">
        <v>15.8478</v>
      </c>
      <c r="D81" s="8">
        <f>B81*$B$3</f>
        <v/>
      </c>
    </row>
    <row r="82">
      <c r="A82" s="8" t="n">
        <v>1965</v>
      </c>
      <c r="B82" s="6" t="n">
        <v>16.0645</v>
      </c>
      <c r="D82" s="8">
        <f>B82*$B$3</f>
        <v/>
      </c>
    </row>
    <row r="83">
      <c r="A83" s="8" t="n">
        <v>1966</v>
      </c>
      <c r="B83" s="6" t="n">
        <v>16.3309</v>
      </c>
      <c r="D83" s="8">
        <f>B83*$B$3</f>
        <v/>
      </c>
    </row>
    <row r="84">
      <c r="A84" s="8" t="n">
        <v>1967</v>
      </c>
      <c r="B84" s="6" t="n">
        <v>16.5586</v>
      </c>
      <c r="D84" s="8">
        <f>B84*$B$3</f>
        <v/>
      </c>
    </row>
    <row r="85">
      <c r="A85" s="8" t="n">
        <v>1968</v>
      </c>
      <c r="B85" s="6" t="n">
        <v>17.0321</v>
      </c>
      <c r="D85" s="8">
        <f>B85*$B$3</f>
        <v/>
      </c>
    </row>
    <row r="86">
      <c r="A86" s="8" t="n">
        <v>1969</v>
      </c>
      <c r="B86" s="6" t="n">
        <v>18.139</v>
      </c>
      <c r="D86" s="8">
        <f>B86*$B$3</f>
        <v/>
      </c>
    </row>
    <row r="87">
      <c r="A87" s="8" t="n">
        <v>1970</v>
      </c>
      <c r="B87" s="6" t="n">
        <v>19.5952</v>
      </c>
      <c r="D87" s="8">
        <f>B87*$B$3</f>
        <v/>
      </c>
    </row>
    <row r="88">
      <c r="A88" s="8" t="n">
        <v>1971</v>
      </c>
      <c r="B88" s="6" t="n">
        <v>20.6773</v>
      </c>
      <c r="D88" s="8">
        <f>B88*$B$3</f>
        <v/>
      </c>
    </row>
    <row r="89">
      <c r="A89" s="8" t="n">
        <v>1972</v>
      </c>
      <c r="B89" s="6" t="n">
        <v>21.5316</v>
      </c>
      <c r="D89" s="8">
        <f>B89*$B$3</f>
        <v/>
      </c>
    </row>
    <row r="90">
      <c r="A90" s="8" t="n">
        <v>1973</v>
      </c>
      <c r="B90" s="6" t="n">
        <v>21.9788</v>
      </c>
      <c r="D90" s="8">
        <f>B90*$B$3</f>
        <v/>
      </c>
    </row>
    <row r="91">
      <c r="A91" s="8" t="n">
        <v>1974</v>
      </c>
      <c r="B91" s="6" t="n">
        <v>23.6351</v>
      </c>
      <c r="D91" s="8">
        <f>B91*$B$3</f>
        <v/>
      </c>
    </row>
    <row r="92">
      <c r="A92" s="8" t="n">
        <v>1975</v>
      </c>
      <c r="B92" s="6" t="n">
        <v>25.731</v>
      </c>
      <c r="D92" s="8">
        <f>B92*$B$3</f>
        <v/>
      </c>
    </row>
    <row r="93">
      <c r="A93" s="8" t="n">
        <v>1976</v>
      </c>
      <c r="B93" s="6" t="n">
        <v>27.618</v>
      </c>
      <c r="D93" s="8">
        <f>B93*$B$3</f>
        <v/>
      </c>
    </row>
    <row r="94">
      <c r="A94" s="8" t="n">
        <v>1977</v>
      </c>
      <c r="B94" s="6" t="n">
        <v>30.9217</v>
      </c>
      <c r="D94" s="8">
        <f>B94*$B$3</f>
        <v/>
      </c>
    </row>
    <row r="95">
      <c r="A95" s="8" t="n">
        <v>1978</v>
      </c>
      <c r="B95" s="6" t="n">
        <v>35.6177</v>
      </c>
      <c r="D95" s="8">
        <f>B95*$B$3</f>
        <v/>
      </c>
    </row>
    <row r="96">
      <c r="A96" s="8" t="n">
        <v>1979</v>
      </c>
      <c r="B96" s="6" t="n">
        <v>41.0974</v>
      </c>
      <c r="D96" s="8">
        <f>B96*$B$3</f>
        <v/>
      </c>
    </row>
    <row r="97">
      <c r="A97" s="8" t="n">
        <v>1980</v>
      </c>
      <c r="B97" s="6" t="n">
        <v>45.0959</v>
      </c>
      <c r="D97" s="8">
        <f>B97*$B$3</f>
        <v/>
      </c>
    </row>
    <row r="98">
      <c r="A98" s="8" t="n">
        <v>1981</v>
      </c>
      <c r="B98" s="6" t="n">
        <v>47.9614</v>
      </c>
      <c r="D98" s="8">
        <f>B98*$B$3</f>
        <v/>
      </c>
    </row>
    <row r="99">
      <c r="A99" s="8" t="n">
        <v>1982</v>
      </c>
      <c r="B99" s="6" t="n">
        <v>48.9502</v>
      </c>
      <c r="D99" s="8">
        <f>B99*$B$3</f>
        <v/>
      </c>
    </row>
    <row r="100">
      <c r="A100" s="8" t="n">
        <v>1983</v>
      </c>
      <c r="B100" s="6" t="n">
        <v>50.4623</v>
      </c>
      <c r="D100" s="8">
        <f>B100*$B$3</f>
        <v/>
      </c>
    </row>
    <row r="101">
      <c r="A101" s="8" t="n">
        <v>1984</v>
      </c>
      <c r="B101" s="6" t="n">
        <v>52.8424</v>
      </c>
      <c r="D101" s="8">
        <f>B101*$B$3</f>
        <v/>
      </c>
    </row>
    <row r="102">
      <c r="A102" s="8" t="n">
        <v>1985</v>
      </c>
      <c r="B102" s="6" t="n">
        <v>55.8896</v>
      </c>
      <c r="D102" s="8">
        <f>B102*$B$3</f>
        <v/>
      </c>
    </row>
    <row r="103">
      <c r="A103" s="8" t="n">
        <v>1986</v>
      </c>
      <c r="B103" s="6" t="n">
        <v>60.8282</v>
      </c>
      <c r="D103" s="8">
        <f>B103*$B$3</f>
        <v/>
      </c>
    </row>
    <row r="104">
      <c r="A104" s="8" t="n">
        <v>1987</v>
      </c>
      <c r="B104" s="6" t="n">
        <v>66.2573</v>
      </c>
      <c r="C104" s="6" t="n">
        <v>66.2568</v>
      </c>
      <c r="D104" s="8">
        <f>B104*$B$3</f>
        <v/>
      </c>
    </row>
    <row r="105">
      <c r="A105" s="8" t="n">
        <v>1988</v>
      </c>
      <c r="B105" s="6" t="n">
        <v>71.1407</v>
      </c>
      <c r="C105" s="6" t="n">
        <v>71.1417</v>
      </c>
      <c r="D105" s="8">
        <f>B105*$B$3</f>
        <v/>
      </c>
    </row>
    <row r="106">
      <c r="A106" s="8" t="n">
        <v>1989</v>
      </c>
      <c r="B106" s="6" t="n">
        <v>75.5076</v>
      </c>
      <c r="C106" s="6" t="n">
        <v>75.5067</v>
      </c>
      <c r="D106" s="8">
        <f>B106*$B$3</f>
        <v/>
      </c>
    </row>
    <row r="107">
      <c r="A107" s="8" t="n">
        <v>1990</v>
      </c>
      <c r="B107" s="6" t="n">
        <v>76.9397</v>
      </c>
      <c r="C107" s="6" t="n">
        <v>76.9392</v>
      </c>
      <c r="D107" s="8">
        <f>B107*$B$3</f>
        <v/>
      </c>
    </row>
    <row r="108">
      <c r="A108" s="8" t="n">
        <v>1991</v>
      </c>
      <c r="B108" s="6" t="n">
        <v>75.9252</v>
      </c>
      <c r="C108" s="6" t="n">
        <v>75.92230000000001</v>
      </c>
      <c r="D108" s="8">
        <f>B108*$B$3</f>
        <v/>
      </c>
    </row>
    <row r="109">
      <c r="A109" s="8" t="n">
        <v>1992</v>
      </c>
      <c r="B109" s="6" t="n">
        <v>76.3289</v>
      </c>
      <c r="C109" s="6" t="n">
        <v>76.33</v>
      </c>
      <c r="D109" s="8">
        <f>B109*$B$3</f>
        <v/>
      </c>
    </row>
    <row r="110">
      <c r="A110" s="8" t="n">
        <v>1993</v>
      </c>
      <c r="B110" s="6" t="n">
        <v>77.4141</v>
      </c>
      <c r="C110" s="6" t="n">
        <v>77.4151</v>
      </c>
      <c r="D110" s="8">
        <f>B110*$B$3</f>
        <v/>
      </c>
    </row>
    <row r="111">
      <c r="A111" s="8" t="n">
        <v>1994</v>
      </c>
      <c r="B111" s="6" t="n">
        <v>79.4686</v>
      </c>
      <c r="C111" s="6" t="n">
        <v>79.4683</v>
      </c>
      <c r="D111" s="8">
        <f>B111*$B$3</f>
        <v/>
      </c>
    </row>
    <row r="112">
      <c r="A112" s="8" t="n">
        <v>1995</v>
      </c>
      <c r="B112" s="6" t="n">
        <v>80.9914</v>
      </c>
      <c r="C112" s="6" t="n">
        <v>80.9905</v>
      </c>
      <c r="D112" s="8">
        <f>B112*$B$3</f>
        <v/>
      </c>
    </row>
    <row r="113">
      <c r="A113" s="8" t="n">
        <v>1996</v>
      </c>
      <c r="B113" s="6" t="n">
        <v>82.8083</v>
      </c>
      <c r="C113" s="6" t="n">
        <v>82.8078</v>
      </c>
      <c r="D113" s="8">
        <f>B113*$B$3</f>
        <v/>
      </c>
    </row>
    <row r="114">
      <c r="A114" s="8" t="n">
        <v>1997</v>
      </c>
      <c r="B114" s="6" t="n">
        <v>85.3168</v>
      </c>
      <c r="C114" s="6" t="n">
        <v>85.3167</v>
      </c>
      <c r="D114" s="8">
        <f>B114*$B$3</f>
        <v/>
      </c>
    </row>
    <row r="115">
      <c r="A115" s="8" t="n">
        <v>1998</v>
      </c>
      <c r="B115" s="6" t="n">
        <v>90.0989</v>
      </c>
      <c r="C115" s="6" t="n">
        <v>90.09869999999999</v>
      </c>
      <c r="D115" s="8">
        <f>B115*$B$3</f>
        <v/>
      </c>
    </row>
    <row r="116">
      <c r="A116" s="8" t="n">
        <v>1999</v>
      </c>
      <c r="B116" s="6" t="n">
        <v>96.3721</v>
      </c>
      <c r="C116" s="6" t="n">
        <v>96.37179999999999</v>
      </c>
      <c r="D116" s="8">
        <f>B116*$B$3</f>
        <v/>
      </c>
    </row>
    <row r="117">
      <c r="A117" s="8" t="n">
        <v>2000</v>
      </c>
      <c r="B117" s="6" t="n">
        <v>104.7766</v>
      </c>
      <c r="C117" s="6" t="n">
        <v>104.7776</v>
      </c>
      <c r="D117" s="8">
        <f>B117*$B$3</f>
        <v/>
      </c>
    </row>
    <row r="118">
      <c r="A118" s="8" t="n">
        <v>2001</v>
      </c>
      <c r="B118" s="6" t="n">
        <v>113.1852</v>
      </c>
      <c r="C118" s="6" t="n">
        <v>113.1863</v>
      </c>
      <c r="D118" s="8">
        <f>B118*$B$3</f>
        <v/>
      </c>
    </row>
    <row r="119">
      <c r="A119" s="8" t="n">
        <v>2002</v>
      </c>
      <c r="B119" s="6" t="n">
        <v>122.2875</v>
      </c>
      <c r="C119" s="6" t="n">
        <v>122.2886</v>
      </c>
      <c r="D119" s="8">
        <f>B119*$B$3</f>
        <v/>
      </c>
    </row>
    <row r="120">
      <c r="A120" s="8" t="n">
        <v>2003</v>
      </c>
      <c r="B120" s="6" t="n">
        <v>133.7413</v>
      </c>
      <c r="C120" s="6" t="n">
        <v>133.7418</v>
      </c>
      <c r="D120" s="8">
        <f>B120*$B$3</f>
        <v/>
      </c>
    </row>
    <row r="121">
      <c r="A121" s="8" t="n">
        <v>2004</v>
      </c>
      <c r="B121" s="6" t="n">
        <v>150.464</v>
      </c>
      <c r="C121" s="6" t="n">
        <v>150.4644</v>
      </c>
      <c r="D121" s="8">
        <f>B121*$B$3</f>
        <v/>
      </c>
    </row>
    <row r="122">
      <c r="A122" s="8" t="n">
        <v>2005</v>
      </c>
      <c r="B122" s="6" t="n">
        <v>171.7792</v>
      </c>
      <c r="C122" s="6" t="n">
        <v>171.7815</v>
      </c>
      <c r="D122" s="8">
        <f>B122*$B$3</f>
        <v/>
      </c>
    </row>
    <row r="123">
      <c r="A123" s="8" t="n">
        <v>2006</v>
      </c>
      <c r="B123" s="6" t="n">
        <v>183.4815</v>
      </c>
      <c r="C123" s="6" t="n">
        <v>183.4814</v>
      </c>
      <c r="D123" s="8">
        <f>B123*$B$3</f>
        <v/>
      </c>
    </row>
    <row r="124">
      <c r="A124" s="8" t="n">
        <v>2007</v>
      </c>
      <c r="B124" s="6" t="n">
        <v>179.943</v>
      </c>
      <c r="C124" s="6" t="n">
        <v>179.9419</v>
      </c>
      <c r="D124" s="8">
        <f>B124*$B$3</f>
        <v/>
      </c>
    </row>
    <row r="125">
      <c r="A125" s="8" t="n">
        <v>2008</v>
      </c>
      <c r="B125" s="6" t="n">
        <v>164.0618</v>
      </c>
      <c r="C125" s="6" t="n">
        <v>164.0585</v>
      </c>
      <c r="D125" s="8">
        <f>B125*$B$3</f>
        <v/>
      </c>
    </row>
    <row r="126">
      <c r="A126" s="8" t="n">
        <v>2009</v>
      </c>
      <c r="B126" s="6" t="n">
        <v>148.5528</v>
      </c>
      <c r="C126" s="6" t="n">
        <v>148.5523</v>
      </c>
      <c r="D126" s="8">
        <f>B126*$B$3</f>
        <v/>
      </c>
    </row>
    <row r="127">
      <c r="A127" s="8" t="n">
        <v>2010</v>
      </c>
      <c r="B127" s="6" t="n">
        <v>144.6658</v>
      </c>
      <c r="C127" s="6" t="n">
        <v>144.6611</v>
      </c>
      <c r="D127" s="8">
        <f>B127*$B$3</f>
        <v/>
      </c>
    </row>
    <row r="128">
      <c r="A128" s="8" t="n">
        <v>2011</v>
      </c>
      <c r="B128" s="6" t="n">
        <v>139.2421</v>
      </c>
      <c r="C128" s="6" t="n">
        <v>139.2338</v>
      </c>
      <c r="D128" s="8">
        <f>B128*$B$3</f>
        <v/>
      </c>
    </row>
    <row r="129">
      <c r="A129" s="8" t="n">
        <v>2012</v>
      </c>
      <c r="B129" s="6" t="n">
        <v>140.9888</v>
      </c>
      <c r="C129" s="6" t="n">
        <v>140.978</v>
      </c>
      <c r="D129" s="8">
        <f>B129*$B$3</f>
        <v/>
      </c>
    </row>
    <row r="130">
      <c r="A130" s="8" t="n">
        <v>2013</v>
      </c>
      <c r="B130" s="6" t="n">
        <v>154.5207</v>
      </c>
      <c r="C130" s="6" t="n">
        <v>154.5118</v>
      </c>
      <c r="D130" s="8">
        <f>B130*$B$3</f>
        <v/>
      </c>
    </row>
    <row r="131">
      <c r="A131" s="8" t="n">
        <v>2014</v>
      </c>
      <c r="B131" s="6" t="n">
        <v>164.681</v>
      </c>
      <c r="C131" s="6" t="n">
        <v>164.6663</v>
      </c>
      <c r="D131" s="8">
        <f>B131*$B$3</f>
        <v/>
      </c>
    </row>
    <row r="132">
      <c r="A132" s="8" t="n">
        <v>2015</v>
      </c>
      <c r="B132" s="6" t="n">
        <v>172.1703</v>
      </c>
      <c r="C132" s="6" t="n">
        <v>172.1473</v>
      </c>
      <c r="D132" s="8">
        <f>B132*$B$3</f>
        <v/>
      </c>
    </row>
    <row r="133">
      <c r="A133" s="8" t="n">
        <v>2016</v>
      </c>
      <c r="B133" s="6" t="n">
        <v>180.9147</v>
      </c>
      <c r="C133" s="6" t="n">
        <v>180.8908</v>
      </c>
      <c r="D133" s="8">
        <f>B133*$B$3</f>
        <v/>
      </c>
    </row>
    <row r="134">
      <c r="A134" s="8" t="n">
        <v>2017</v>
      </c>
      <c r="B134" s="6" t="n">
        <v>191.3917</v>
      </c>
      <c r="C134" s="6" t="n">
        <v>191.3563</v>
      </c>
      <c r="D134" s="8">
        <f>B134*$B$3</f>
        <v/>
      </c>
    </row>
    <row r="135">
      <c r="A135" s="8" t="n">
        <v>2018</v>
      </c>
      <c r="B135" s="6" t="n">
        <v>202.4698</v>
      </c>
      <c r="C135" s="6" t="n">
        <v>202.4279</v>
      </c>
      <c r="D135" s="8">
        <f>B135*$B$3</f>
        <v/>
      </c>
    </row>
    <row r="136">
      <c r="A136" s="8" t="n">
        <v>2019</v>
      </c>
      <c r="B136" s="6" t="n">
        <v>209.4531</v>
      </c>
      <c r="C136" s="6" t="n">
        <v>209.4013</v>
      </c>
      <c r="D136" s="8">
        <f>B136*$B$3</f>
        <v/>
      </c>
    </row>
    <row r="137">
      <c r="A137" s="8" t="n">
        <v>2020</v>
      </c>
      <c r="B137" s="6" t="n">
        <v>222.1289</v>
      </c>
      <c r="C137" s="6" t="n">
        <v>222.0632</v>
      </c>
      <c r="D137" s="8">
        <f>B137*$B$3</f>
        <v/>
      </c>
    </row>
    <row r="138">
      <c r="A138" s="8" t="n">
        <v>2021</v>
      </c>
      <c r="B138" s="6" t="n">
        <v>260.0503</v>
      </c>
      <c r="C138" s="6" t="n">
        <v>259.9659</v>
      </c>
      <c r="D138" s="8">
        <f>B138*$B$3</f>
        <v/>
      </c>
    </row>
    <row r="139">
      <c r="A139" s="8" t="n">
        <v>2022</v>
      </c>
      <c r="B139" s="6" t="n">
        <v>298.5024</v>
      </c>
      <c r="C139" s="6" t="n">
        <v>298.3253</v>
      </c>
      <c r="D139" s="8">
        <f>B139*$B$3</f>
        <v/>
      </c>
    </row>
    <row r="140">
      <c r="A140" s="8" t="n">
        <v>2023</v>
      </c>
      <c r="B140" s="6" t="n">
        <v>292.706</v>
      </c>
      <c r="C140" s="6" t="n">
        <v>305.7504</v>
      </c>
      <c r="D140" s="8">
        <f>C140*$B$4</f>
        <v/>
      </c>
    </row>
    <row r="141">
      <c r="A141" s="8" t="n">
        <v>2024</v>
      </c>
      <c r="C141" s="6" t="n">
        <v>321.3667</v>
      </c>
      <c r="D141" s="8">
        <f>C141*$B$4</f>
        <v/>
      </c>
    </row>
    <row r="142">
      <c r="A142" s="8" t="n">
        <v>2025</v>
      </c>
      <c r="C142" s="6" t="n">
        <v>328.5185</v>
      </c>
      <c r="D142" s="8">
        <f>C142*$B$4</f>
        <v/>
      </c>
    </row>
    <row r="143">
      <c r="A143" s="8" t="n">
        <v>2026</v>
      </c>
      <c r="C143" s="6" t="n">
        <v>328.0037</v>
      </c>
      <c r="D143" s="8">
        <f>C143*$B$4</f>
        <v/>
      </c>
    </row>
  </sheetData>
  <hyperlinks>
    <hyperlink xmlns:r="http://schemas.openxmlformats.org/officeDocument/2006/relationships" ref="B5" r:id="rId1"/>
    <hyperlink xmlns:r="http://schemas.openxmlformats.org/officeDocument/2006/relationships" ref="C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US dollar TWI (secondary) — annual-average level index (price)</t>
        </is>
      </c>
    </row>
    <row r="2">
      <c r="A2" s="2" t="inlineStr">
        <is>
          <t>Aggregate: year &lt; 2006 -&gt; FRED TWEXMMTH (major) x f1 ; year &gt;= 2006 -&gt; FRED TWEXBGSMTH (broad) x f2. f1 chains the major-currencies USD index onto the broad index at 2006.</t>
        </is>
      </c>
    </row>
    <row r="3">
      <c r="A3" t="inlineStr">
        <is>
          <t>f1 =</t>
        </is>
      </c>
      <c r="B3" s="6" t="n">
        <v>1.193491</v>
      </c>
    </row>
    <row r="4">
      <c r="A4" t="inlineStr">
        <is>
          <t>f2 =</t>
        </is>
      </c>
      <c r="B4" s="6" t="n">
        <v>1</v>
      </c>
    </row>
    <row r="5">
      <c r="B5" s="5" t="inlineStr">
        <is>
          <t>FRED TWEXMMTH (major)</t>
        </is>
      </c>
      <c r="C5" s="5" t="inlineStr">
        <is>
          <t>FRED TWEXBGSMTH (broad)</t>
        </is>
      </c>
    </row>
    <row r="6">
      <c r="A6" s="7" t="inlineStr">
        <is>
          <t>Year</t>
        </is>
      </c>
      <c r="B6" s="7" t="inlineStr">
        <is>
          <t>leg1 (raw)</t>
        </is>
      </c>
      <c r="C6" s="7" t="inlineStr">
        <is>
          <t>leg2 (raw)</t>
        </is>
      </c>
      <c r="D6" s="7" t="inlineStr">
        <is>
          <t>Aggregate (formula)</t>
        </is>
      </c>
    </row>
    <row r="7">
      <c r="A7" s="8" t="n">
        <v>1973</v>
      </c>
      <c r="B7" s="6" t="n">
        <v>100.2278</v>
      </c>
      <c r="D7" s="8">
        <f>B7*$B$3</f>
        <v/>
      </c>
    </row>
    <row r="8">
      <c r="A8" s="8" t="n">
        <v>1974</v>
      </c>
      <c r="B8" s="6" t="n">
        <v>102.0481</v>
      </c>
      <c r="D8" s="8">
        <f>B8*$B$3</f>
        <v/>
      </c>
    </row>
    <row r="9">
      <c r="A9" s="8" t="n">
        <v>1975</v>
      </c>
      <c r="B9" s="6" t="n">
        <v>102.388</v>
      </c>
      <c r="D9" s="8">
        <f>B9*$B$3</f>
        <v/>
      </c>
    </row>
    <row r="10">
      <c r="A10" s="8" t="n">
        <v>1976</v>
      </c>
      <c r="B10" s="6" t="n">
        <v>106.4186</v>
      </c>
      <c r="D10" s="8">
        <f>B10*$B$3</f>
        <v/>
      </c>
    </row>
    <row r="11">
      <c r="A11" s="8" t="n">
        <v>1977</v>
      </c>
      <c r="B11" s="6" t="n">
        <v>106.0803</v>
      </c>
      <c r="D11" s="8">
        <f>B11*$B$3</f>
        <v/>
      </c>
    </row>
    <row r="12">
      <c r="A12" s="8" t="n">
        <v>1978</v>
      </c>
      <c r="B12" s="6" t="n">
        <v>97.2077</v>
      </c>
      <c r="D12" s="8">
        <f>B12*$B$3</f>
        <v/>
      </c>
    </row>
    <row r="13">
      <c r="A13" s="8" t="n">
        <v>1979</v>
      </c>
      <c r="B13" s="6" t="n">
        <v>95.6046</v>
      </c>
      <c r="D13" s="8">
        <f>B13*$B$3</f>
        <v/>
      </c>
    </row>
    <row r="14">
      <c r="A14" s="8" t="n">
        <v>1980</v>
      </c>
      <c r="B14" s="6" t="n">
        <v>95.35380000000001</v>
      </c>
      <c r="D14" s="8">
        <f>B14*$B$3</f>
        <v/>
      </c>
    </row>
    <row r="15">
      <c r="A15" s="8" t="n">
        <v>1981</v>
      </c>
      <c r="B15" s="6" t="n">
        <v>104.6704</v>
      </c>
      <c r="D15" s="8">
        <f>B15*$B$3</f>
        <v/>
      </c>
    </row>
    <row r="16">
      <c r="A16" s="8" t="n">
        <v>1982</v>
      </c>
      <c r="B16" s="6" t="n">
        <v>115.7585</v>
      </c>
      <c r="D16" s="8">
        <f>B16*$B$3</f>
        <v/>
      </c>
    </row>
    <row r="17">
      <c r="A17" s="8" t="n">
        <v>1983</v>
      </c>
      <c r="B17" s="6" t="n">
        <v>120.4465</v>
      </c>
      <c r="D17" s="8">
        <f>B17*$B$3</f>
        <v/>
      </c>
    </row>
    <row r="18">
      <c r="A18" s="8" t="n">
        <v>1984</v>
      </c>
      <c r="B18" s="6" t="n">
        <v>128.754</v>
      </c>
      <c r="D18" s="8">
        <f>B18*$B$3</f>
        <v/>
      </c>
    </row>
    <row r="19">
      <c r="A19" s="8" t="n">
        <v>1985</v>
      </c>
      <c r="B19" s="6" t="n">
        <v>133.5976</v>
      </c>
      <c r="D19" s="8">
        <f>B19*$B$3</f>
        <v/>
      </c>
    </row>
    <row r="20">
      <c r="A20" s="8" t="n">
        <v>1986</v>
      </c>
      <c r="B20" s="6" t="n">
        <v>109.8601</v>
      </c>
      <c r="D20" s="8">
        <f>B20*$B$3</f>
        <v/>
      </c>
    </row>
    <row r="21">
      <c r="A21" s="8" t="n">
        <v>1987</v>
      </c>
      <c r="B21" s="6" t="n">
        <v>97.1617</v>
      </c>
      <c r="D21" s="8">
        <f>B21*$B$3</f>
        <v/>
      </c>
    </row>
    <row r="22">
      <c r="A22" s="8" t="n">
        <v>1988</v>
      </c>
      <c r="B22" s="6" t="n">
        <v>90.41160000000001</v>
      </c>
      <c r="D22" s="8">
        <f>B22*$B$3</f>
        <v/>
      </c>
    </row>
    <row r="23">
      <c r="A23" s="8" t="n">
        <v>1989</v>
      </c>
      <c r="B23" s="6" t="n">
        <v>94.2403</v>
      </c>
      <c r="D23" s="8">
        <f>B23*$B$3</f>
        <v/>
      </c>
    </row>
    <row r="24">
      <c r="A24" s="8" t="n">
        <v>1990</v>
      </c>
      <c r="B24" s="6" t="n">
        <v>89.87130000000001</v>
      </c>
      <c r="D24" s="8">
        <f>B24*$B$3</f>
        <v/>
      </c>
    </row>
    <row r="25">
      <c r="A25" s="8" t="n">
        <v>1991</v>
      </c>
      <c r="B25" s="6" t="n">
        <v>88.518</v>
      </c>
      <c r="D25" s="8">
        <f>B25*$B$3</f>
        <v/>
      </c>
    </row>
    <row r="26">
      <c r="A26" s="8" t="n">
        <v>1992</v>
      </c>
      <c r="B26" s="6" t="n">
        <v>87.0226</v>
      </c>
      <c r="D26" s="8">
        <f>B26*$B$3</f>
        <v/>
      </c>
    </row>
    <row r="27">
      <c r="A27" s="8" t="n">
        <v>1993</v>
      </c>
      <c r="B27" s="6" t="n">
        <v>89.91759999999999</v>
      </c>
      <c r="D27" s="8">
        <f>B27*$B$3</f>
        <v/>
      </c>
    </row>
    <row r="28">
      <c r="A28" s="8" t="n">
        <v>1994</v>
      </c>
      <c r="B28" s="6" t="n">
        <v>88.42189999999999</v>
      </c>
      <c r="D28" s="8">
        <f>B28*$B$3</f>
        <v/>
      </c>
    </row>
    <row r="29">
      <c r="A29" s="8" t="n">
        <v>1995</v>
      </c>
      <c r="B29" s="6" t="n">
        <v>83.46469999999999</v>
      </c>
      <c r="D29" s="8">
        <f>B29*$B$3</f>
        <v/>
      </c>
    </row>
    <row r="30">
      <c r="A30" s="8" t="n">
        <v>1996</v>
      </c>
      <c r="B30" s="6" t="n">
        <v>87.24299999999999</v>
      </c>
      <c r="D30" s="8">
        <f>B30*$B$3</f>
        <v/>
      </c>
    </row>
    <row r="31">
      <c r="A31" s="8" t="n">
        <v>1997</v>
      </c>
      <c r="B31" s="6" t="n">
        <v>93.9209</v>
      </c>
      <c r="D31" s="8">
        <f>B31*$B$3</f>
        <v/>
      </c>
    </row>
    <row r="32">
      <c r="A32" s="8" t="n">
        <v>1998</v>
      </c>
      <c r="B32" s="6" t="n">
        <v>98.4119</v>
      </c>
      <c r="D32" s="8">
        <f>B32*$B$3</f>
        <v/>
      </c>
    </row>
    <row r="33">
      <c r="A33" s="8" t="n">
        <v>1999</v>
      </c>
      <c r="B33" s="6" t="n">
        <v>97.0138</v>
      </c>
      <c r="D33" s="8">
        <f>B33*$B$3</f>
        <v/>
      </c>
    </row>
    <row r="34">
      <c r="A34" s="8" t="n">
        <v>2000</v>
      </c>
      <c r="B34" s="6" t="n">
        <v>101.7311</v>
      </c>
      <c r="D34" s="8">
        <f>B34*$B$3</f>
        <v/>
      </c>
    </row>
    <row r="35">
      <c r="A35" s="8" t="n">
        <v>2001</v>
      </c>
      <c r="B35" s="6" t="n">
        <v>107.8543</v>
      </c>
      <c r="D35" s="8">
        <f>B35*$B$3</f>
        <v/>
      </c>
    </row>
    <row r="36">
      <c r="A36" s="8" t="n">
        <v>2002</v>
      </c>
      <c r="B36" s="6" t="n">
        <v>106.1808</v>
      </c>
      <c r="D36" s="8">
        <f>B36*$B$3</f>
        <v/>
      </c>
    </row>
    <row r="37">
      <c r="A37" s="8" t="n">
        <v>2003</v>
      </c>
      <c r="B37" s="6" t="n">
        <v>93.1619</v>
      </c>
      <c r="D37" s="8">
        <f>B37*$B$3</f>
        <v/>
      </c>
    </row>
    <row r="38">
      <c r="A38" s="8" t="n">
        <v>2004</v>
      </c>
      <c r="B38" s="6" t="n">
        <v>85.5057</v>
      </c>
      <c r="D38" s="8">
        <f>B38*$B$3</f>
        <v/>
      </c>
    </row>
    <row r="39">
      <c r="A39" s="8" t="n">
        <v>2005</v>
      </c>
      <c r="B39" s="6" t="n">
        <v>83.867</v>
      </c>
      <c r="D39" s="8">
        <f>B39*$B$3</f>
        <v/>
      </c>
    </row>
    <row r="40">
      <c r="A40" s="8" t="n">
        <v>2006</v>
      </c>
      <c r="B40" s="6" t="n">
        <v>82.6249</v>
      </c>
      <c r="C40" s="6" t="n">
        <v>98.6121</v>
      </c>
      <c r="D40" s="8">
        <f>C40*$B$4</f>
        <v/>
      </c>
    </row>
    <row r="41">
      <c r="A41" s="8" t="n">
        <v>2007</v>
      </c>
      <c r="B41" s="6" t="n">
        <v>77.9802</v>
      </c>
      <c r="C41" s="6" t="n">
        <v>93.8319</v>
      </c>
      <c r="D41" s="8">
        <f>C41*$B$4</f>
        <v/>
      </c>
    </row>
    <row r="42">
      <c r="A42" s="8" t="n">
        <v>2008</v>
      </c>
      <c r="B42" s="6" t="n">
        <v>74.4657</v>
      </c>
      <c r="C42" s="6" t="n">
        <v>90.8715</v>
      </c>
      <c r="D42" s="8">
        <f>C42*$B$4</f>
        <v/>
      </c>
    </row>
    <row r="43">
      <c r="A43" s="8" t="n">
        <v>2009</v>
      </c>
      <c r="B43" s="6" t="n">
        <v>77.6636</v>
      </c>
      <c r="C43" s="6" t="n">
        <v>96.7576</v>
      </c>
      <c r="D43" s="8">
        <f>C43*$B$4</f>
        <v/>
      </c>
    </row>
    <row r="44">
      <c r="A44" s="8" t="n">
        <v>2010</v>
      </c>
      <c r="B44" s="6" t="n">
        <v>75.35080000000001</v>
      </c>
      <c r="C44" s="6" t="n">
        <v>93.0441</v>
      </c>
      <c r="D44" s="8">
        <f>C44*$B$4</f>
        <v/>
      </c>
    </row>
    <row r="45">
      <c r="A45" s="8" t="n">
        <v>2011</v>
      </c>
      <c r="B45" s="6" t="n">
        <v>70.9072</v>
      </c>
      <c r="C45" s="6" t="n">
        <v>88.8188</v>
      </c>
      <c r="D45" s="8">
        <f>C45*$B$4</f>
        <v/>
      </c>
    </row>
    <row r="46">
      <c r="A46" s="8" t="n">
        <v>2012</v>
      </c>
      <c r="B46" s="6" t="n">
        <v>73.5718</v>
      </c>
      <c r="C46" s="6" t="n">
        <v>91.6112</v>
      </c>
      <c r="D46" s="8">
        <f>C46*$B$4</f>
        <v/>
      </c>
    </row>
    <row r="47">
      <c r="A47" s="8" t="n">
        <v>2013</v>
      </c>
      <c r="B47" s="6" t="n">
        <v>75.9074</v>
      </c>
      <c r="C47" s="6" t="n">
        <v>92.75960000000001</v>
      </c>
      <c r="D47" s="8">
        <f>C47*$B$4</f>
        <v/>
      </c>
    </row>
    <row r="48">
      <c r="A48" s="8" t="n">
        <v>2014</v>
      </c>
      <c r="B48" s="6" t="n">
        <v>78.3944</v>
      </c>
      <c r="C48" s="6" t="n">
        <v>95.6123</v>
      </c>
      <c r="D48" s="8">
        <f>C48*$B$4</f>
        <v/>
      </c>
    </row>
    <row r="49">
      <c r="A49" s="8" t="n">
        <v>2015</v>
      </c>
      <c r="B49" s="6" t="n">
        <v>90.9503</v>
      </c>
      <c r="C49" s="6" t="n">
        <v>108.1304</v>
      </c>
      <c r="D49" s="8">
        <f>C49*$B$4</f>
        <v/>
      </c>
    </row>
    <row r="50">
      <c r="A50" s="8" t="n">
        <v>2016</v>
      </c>
      <c r="B50" s="6" t="n">
        <v>91.5977</v>
      </c>
      <c r="C50" s="6" t="n">
        <v>113.1539</v>
      </c>
      <c r="D50" s="8">
        <f>C50*$B$4</f>
        <v/>
      </c>
    </row>
    <row r="51">
      <c r="A51" s="8" t="n">
        <v>2017</v>
      </c>
      <c r="B51" s="6" t="n">
        <v>91.0878</v>
      </c>
      <c r="C51" s="6" t="n">
        <v>112.8417</v>
      </c>
      <c r="D51" s="8">
        <f>C51*$B$4</f>
        <v/>
      </c>
    </row>
    <row r="52">
      <c r="A52" s="8" t="n">
        <v>2018</v>
      </c>
      <c r="B52" s="6" t="n">
        <v>89.00369999999999</v>
      </c>
      <c r="C52" s="6" t="n">
        <v>111.9976</v>
      </c>
      <c r="D52" s="8">
        <f>C52*$B$4</f>
        <v/>
      </c>
    </row>
    <row r="53">
      <c r="A53" s="8" t="n">
        <v>2019</v>
      </c>
      <c r="B53" s="6" t="n">
        <v>92.0154</v>
      </c>
      <c r="C53" s="6" t="n">
        <v>115.7204</v>
      </c>
      <c r="D53" s="8">
        <f>C53*$B$4</f>
        <v/>
      </c>
    </row>
    <row r="54">
      <c r="A54" s="8" t="n">
        <v>2020</v>
      </c>
      <c r="C54" s="6" t="n">
        <v>117.695</v>
      </c>
      <c r="D54" s="8">
        <f>C54*$B$4</f>
        <v/>
      </c>
    </row>
    <row r="55">
      <c r="A55" s="8" t="n">
        <v>2021</v>
      </c>
      <c r="C55" s="6" t="n">
        <v>113.0859</v>
      </c>
      <c r="D55" s="8">
        <f>C55*$B$4</f>
        <v/>
      </c>
    </row>
    <row r="56">
      <c r="A56" s="8" t="n">
        <v>2022</v>
      </c>
      <c r="C56" s="6" t="n">
        <v>120.704</v>
      </c>
      <c r="D56" s="8">
        <f>C56*$B$4</f>
        <v/>
      </c>
    </row>
    <row r="57">
      <c r="A57" s="8" t="n">
        <v>2023</v>
      </c>
      <c r="C57" s="6" t="n">
        <v>120.2615</v>
      </c>
      <c r="D57" s="8">
        <f>C57*$B$4</f>
        <v/>
      </c>
    </row>
    <row r="58">
      <c r="A58" s="8" t="n">
        <v>2024</v>
      </c>
      <c r="C58" s="6" t="n">
        <v>122.9188</v>
      </c>
      <c r="D58" s="8">
        <f>C58*$B$4</f>
        <v/>
      </c>
    </row>
    <row r="59">
      <c r="A59" s="8" t="n">
        <v>2025</v>
      </c>
      <c r="C59" s="6" t="n">
        <v>122.7598</v>
      </c>
      <c r="D59" s="8">
        <f>C59*$B$4</f>
        <v/>
      </c>
    </row>
    <row r="60">
      <c r="A60" s="8" t="n">
        <v>2026</v>
      </c>
      <c r="C60" s="6" t="n">
        <v>118.9742</v>
      </c>
      <c r="D60" s="8">
        <f>C60*$B$4</f>
        <v/>
      </c>
    </row>
  </sheetData>
  <hyperlinks>
    <hyperlink xmlns:r="http://schemas.openxmlformats.org/officeDocument/2006/relationships" ref="B5" r:id="rId1"/>
    <hyperlink xmlns:r="http://schemas.openxmlformats.org/officeDocument/2006/relationships" ref="C5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1" t="inlineStr">
        <is>
          <t>EM equities — chain-spliced level (Templeton EMF -&gt; FEMKX -&gt; EEM)</t>
        </is>
      </c>
    </row>
    <row r="2">
      <c r="A2" s="2" t="inlineStr">
        <is>
          <t>Aggregate = EEM (2003+); FEMKX x fscale (1990-2002); EMF x escale (1987-89). Level-continuous.</t>
        </is>
      </c>
    </row>
    <row r="3">
      <c r="A3" t="inlineStr">
        <is>
          <t>fscale =</t>
        </is>
      </c>
      <c r="B3" s="6" t="n">
        <v>1.541757</v>
      </c>
    </row>
    <row r="4">
      <c r="A4" t="inlineStr">
        <is>
          <t>escale =</t>
        </is>
      </c>
      <c r="B4" s="6" t="n">
        <v>14.336288</v>
      </c>
    </row>
    <row r="5">
      <c r="B5" s="5" t="inlineStr">
        <is>
          <t>Templeton EMF (Yahoo)</t>
        </is>
      </c>
      <c r="C5" s="5" t="inlineStr">
        <is>
          <t>Fidelity FEMKX</t>
        </is>
      </c>
      <c r="D5" s="5" t="inlineStr">
        <is>
          <t>iShares EEM</t>
        </is>
      </c>
    </row>
    <row r="6">
      <c r="A6" s="7" t="inlineStr">
        <is>
          <t>Year</t>
        </is>
      </c>
      <c r="B6" s="7" t="inlineStr">
        <is>
          <t>EMF (CEF)</t>
        </is>
      </c>
      <c r="C6" s="7" t="inlineStr">
        <is>
          <t>FEMKX</t>
        </is>
      </c>
      <c r="D6" s="7" t="inlineStr">
        <is>
          <t>EEM</t>
        </is>
      </c>
      <c r="E6" s="7" t="inlineStr">
        <is>
          <t>Aggregate (formula)</t>
        </is>
      </c>
    </row>
    <row r="7">
      <c r="A7" s="8" t="n">
        <v>1987</v>
      </c>
      <c r="B7" s="6" t="n">
        <v>0.4295</v>
      </c>
      <c r="E7" s="8">
        <f>B7*$B$4</f>
        <v/>
      </c>
    </row>
    <row r="8">
      <c r="A8" s="8" t="n">
        <v>1988</v>
      </c>
      <c r="B8" s="6" t="n">
        <v>0.3529</v>
      </c>
      <c r="E8" s="8">
        <f>B8*$B$4</f>
        <v/>
      </c>
    </row>
    <row r="9">
      <c r="A9" s="8" t="n">
        <v>1989</v>
      </c>
      <c r="B9" s="6" t="n">
        <v>0.5518</v>
      </c>
      <c r="E9" s="8">
        <f>B9*$B$4</f>
        <v/>
      </c>
    </row>
    <row r="10">
      <c r="A10" s="8" t="n">
        <v>1990</v>
      </c>
      <c r="B10" s="6" t="n">
        <v>0.7139</v>
      </c>
      <c r="C10" s="6" t="n">
        <v>6.6382</v>
      </c>
      <c r="E10" s="8">
        <f>C10*$B$3</f>
        <v/>
      </c>
    </row>
    <row r="11">
      <c r="A11" s="8" t="n">
        <v>1991</v>
      </c>
      <c r="B11" s="6" t="n">
        <v>1.041</v>
      </c>
      <c r="C11" s="6" t="n">
        <v>6.9481</v>
      </c>
      <c r="E11" s="8">
        <f>C11*$B$3</f>
        <v/>
      </c>
    </row>
    <row r="12">
      <c r="A12" s="8" t="n">
        <v>1992</v>
      </c>
      <c r="B12" s="6" t="n">
        <v>1.5392</v>
      </c>
      <c r="C12" s="6" t="n">
        <v>7.4385</v>
      </c>
      <c r="E12" s="8">
        <f>C12*$B$3</f>
        <v/>
      </c>
    </row>
    <row r="13">
      <c r="A13" s="8" t="n">
        <v>1993</v>
      </c>
      <c r="B13" s="6" t="n">
        <v>2.0621</v>
      </c>
      <c r="C13" s="6" t="n">
        <v>9.3728</v>
      </c>
      <c r="E13" s="8">
        <f>C13*$B$3</f>
        <v/>
      </c>
    </row>
    <row r="14">
      <c r="A14" s="8" t="n">
        <v>1994</v>
      </c>
      <c r="B14" s="6" t="n">
        <v>2.4954</v>
      </c>
      <c r="C14" s="6" t="n">
        <v>12.1127</v>
      </c>
      <c r="E14" s="8">
        <f>C14*$B$3</f>
        <v/>
      </c>
    </row>
    <row r="15">
      <c r="A15" s="8" t="n">
        <v>1995</v>
      </c>
      <c r="B15" s="6" t="n">
        <v>2.0346</v>
      </c>
      <c r="C15" s="6" t="n">
        <v>10.2706</v>
      </c>
      <c r="E15" s="8">
        <f>C15*$B$3</f>
        <v/>
      </c>
    </row>
    <row r="16">
      <c r="A16" s="8" t="n">
        <v>1996</v>
      </c>
      <c r="B16" s="6" t="n">
        <v>2.2802</v>
      </c>
      <c r="C16" s="6" t="n">
        <v>11.8192</v>
      </c>
      <c r="E16" s="8">
        <f>C16*$B$3</f>
        <v/>
      </c>
    </row>
    <row r="17">
      <c r="A17" s="8" t="n">
        <v>1997</v>
      </c>
      <c r="B17" s="6" t="n">
        <v>2.7327</v>
      </c>
      <c r="C17" s="6" t="n">
        <v>10.1676</v>
      </c>
      <c r="E17" s="8">
        <f>C17*$B$3</f>
        <v/>
      </c>
    </row>
    <row r="18">
      <c r="A18" s="8" t="n">
        <v>1998</v>
      </c>
      <c r="B18" s="6" t="n">
        <v>2.0902</v>
      </c>
      <c r="C18" s="6" t="n">
        <v>5.8594</v>
      </c>
      <c r="E18" s="8">
        <f>C18*$B$3</f>
        <v/>
      </c>
    </row>
    <row r="19">
      <c r="A19" s="8" t="n">
        <v>1999</v>
      </c>
      <c r="B19" s="6" t="n">
        <v>2.5423</v>
      </c>
      <c r="C19" s="6" t="n">
        <v>6.4848</v>
      </c>
      <c r="E19" s="8">
        <f>C19*$B$3</f>
        <v/>
      </c>
    </row>
    <row r="20">
      <c r="A20" s="8" t="n">
        <v>2000</v>
      </c>
      <c r="B20" s="6" t="n">
        <v>1.985</v>
      </c>
      <c r="C20" s="6" t="n">
        <v>7.4266</v>
      </c>
      <c r="E20" s="8">
        <f>C20*$B$3</f>
        <v/>
      </c>
    </row>
    <row r="21">
      <c r="A21" s="8" t="n">
        <v>2001</v>
      </c>
      <c r="B21" s="6" t="n">
        <v>1.7452</v>
      </c>
      <c r="C21" s="6" t="n">
        <v>5.5263</v>
      </c>
      <c r="E21" s="8">
        <f>C21*$B$3</f>
        <v/>
      </c>
    </row>
    <row r="22">
      <c r="A22" s="8" t="n">
        <v>2002</v>
      </c>
      <c r="B22" s="6" t="n">
        <v>1.942</v>
      </c>
      <c r="C22" s="6" t="n">
        <v>5.701</v>
      </c>
      <c r="E22" s="8">
        <f>C22*$B$3</f>
        <v/>
      </c>
    </row>
    <row r="23">
      <c r="A23" s="8" t="n">
        <v>2003</v>
      </c>
      <c r="B23" s="6" t="n">
        <v>2.3843</v>
      </c>
      <c r="C23" s="6" t="n">
        <v>6.1588</v>
      </c>
      <c r="D23" s="6" t="n">
        <v>9.4953</v>
      </c>
      <c r="E23" s="8">
        <f>D23</f>
        <v/>
      </c>
    </row>
    <row r="24">
      <c r="A24" s="8" t="n">
        <v>2004</v>
      </c>
      <c r="B24" s="6" t="n">
        <v>3.1496</v>
      </c>
      <c r="C24" s="6" t="n">
        <v>8.223699999999999</v>
      </c>
      <c r="D24" s="6" t="n">
        <v>12.2776</v>
      </c>
      <c r="E24" s="8">
        <f>D24</f>
        <v/>
      </c>
    </row>
    <row r="25">
      <c r="A25" s="8" t="n">
        <v>2005</v>
      </c>
      <c r="B25" s="6" t="n">
        <v>4.1365</v>
      </c>
      <c r="C25" s="6" t="n">
        <v>11.1943</v>
      </c>
      <c r="D25" s="6" t="n">
        <v>16.3701</v>
      </c>
      <c r="E25" s="8">
        <f>D25</f>
        <v/>
      </c>
    </row>
    <row r="26">
      <c r="A26" s="8" t="n">
        <v>2006</v>
      </c>
      <c r="B26" s="6" t="n">
        <v>5.0765</v>
      </c>
      <c r="C26" s="6" t="n">
        <v>16.291</v>
      </c>
      <c r="D26" s="6" t="n">
        <v>21.9371</v>
      </c>
      <c r="E26" s="8">
        <f>D26</f>
        <v/>
      </c>
    </row>
    <row r="27">
      <c r="A27" s="8" t="n">
        <v>2007</v>
      </c>
      <c r="B27" s="6" t="n">
        <v>6.1641</v>
      </c>
      <c r="C27" s="6" t="n">
        <v>22.8083</v>
      </c>
      <c r="D27" s="6" t="n">
        <v>29.7213</v>
      </c>
      <c r="E27" s="8">
        <f>D27</f>
        <v/>
      </c>
    </row>
    <row r="28">
      <c r="A28" s="8" t="n">
        <v>2008</v>
      </c>
      <c r="B28" s="6" t="n">
        <v>5.6396</v>
      </c>
      <c r="C28" s="6" t="n">
        <v>19.7591</v>
      </c>
      <c r="D28" s="6" t="n">
        <v>27.0588</v>
      </c>
      <c r="E28" s="8">
        <f>D28</f>
        <v/>
      </c>
    </row>
    <row r="29">
      <c r="A29" s="8" t="n">
        <v>2009</v>
      </c>
      <c r="B29" s="6" t="n">
        <v>5.4126</v>
      </c>
      <c r="C29" s="6" t="n">
        <v>14.2436</v>
      </c>
      <c r="D29" s="6" t="n">
        <v>22.9279</v>
      </c>
      <c r="E29" s="8">
        <f>D29</f>
        <v/>
      </c>
    </row>
    <row r="30">
      <c r="A30" s="8" t="n">
        <v>2010</v>
      </c>
      <c r="B30" s="6" t="n">
        <v>7.6336</v>
      </c>
      <c r="C30" s="6" t="n">
        <v>19.1236</v>
      </c>
      <c r="D30" s="6" t="n">
        <v>30.0674</v>
      </c>
      <c r="E30" s="8">
        <f>D30</f>
        <v/>
      </c>
    </row>
    <row r="31">
      <c r="A31" s="8" t="n">
        <v>2011</v>
      </c>
      <c r="B31" s="6" t="n">
        <v>8.196400000000001</v>
      </c>
      <c r="C31" s="6" t="n">
        <v>20.5305</v>
      </c>
      <c r="D31" s="6" t="n">
        <v>31.8539</v>
      </c>
      <c r="E31" s="8">
        <f>D31</f>
        <v/>
      </c>
    </row>
    <row r="32">
      <c r="A32" s="8" t="n">
        <v>2012</v>
      </c>
      <c r="B32" s="6" t="n">
        <v>7.3855</v>
      </c>
      <c r="C32" s="6" t="n">
        <v>18.7949</v>
      </c>
      <c r="D32" s="6" t="n">
        <v>30.3884</v>
      </c>
      <c r="E32" s="8">
        <f>D32</f>
        <v/>
      </c>
    </row>
    <row r="33">
      <c r="A33" s="8" t="n">
        <v>2013</v>
      </c>
      <c r="B33" s="6" t="n">
        <v>7.6608</v>
      </c>
      <c r="C33" s="6" t="n">
        <v>20.1575</v>
      </c>
      <c r="D33" s="6" t="n">
        <v>31.4067</v>
      </c>
      <c r="E33" s="8">
        <f>D33</f>
        <v/>
      </c>
    </row>
    <row r="34">
      <c r="A34" s="8" t="n">
        <v>2014</v>
      </c>
      <c r="B34" s="6" t="n">
        <v>7.6023</v>
      </c>
      <c r="C34" s="6" t="n">
        <v>21.3583</v>
      </c>
      <c r="D34" s="6" t="n">
        <v>32.0542</v>
      </c>
      <c r="E34" s="8">
        <f>D34</f>
        <v/>
      </c>
    </row>
    <row r="35">
      <c r="A35" s="8" t="n">
        <v>2015</v>
      </c>
      <c r="B35" s="6" t="n">
        <v>6.3242</v>
      </c>
      <c r="C35" s="6" t="n">
        <v>20.3935</v>
      </c>
      <c r="D35" s="6" t="n">
        <v>29.6887</v>
      </c>
      <c r="E35" s="8">
        <f>D35</f>
        <v/>
      </c>
    </row>
    <row r="36">
      <c r="A36" s="8" t="n">
        <v>2016</v>
      </c>
      <c r="B36" s="6" t="n">
        <v>6.1211</v>
      </c>
      <c r="C36" s="6" t="n">
        <v>19.8335</v>
      </c>
      <c r="D36" s="6" t="n">
        <v>27.6297</v>
      </c>
      <c r="E36" s="8">
        <f>D36</f>
        <v/>
      </c>
    </row>
    <row r="37">
      <c r="A37" s="8" t="n">
        <v>2017</v>
      </c>
      <c r="B37" s="6" t="n">
        <v>8.3187</v>
      </c>
      <c r="C37" s="6" t="n">
        <v>24.9108</v>
      </c>
      <c r="D37" s="6" t="n">
        <v>34.6197</v>
      </c>
      <c r="E37" s="8">
        <f>D37</f>
        <v/>
      </c>
    </row>
    <row r="38">
      <c r="A38" s="8" t="n">
        <v>2018</v>
      </c>
      <c r="B38" s="6" t="n">
        <v>8.7828</v>
      </c>
      <c r="C38" s="6" t="n">
        <v>27.0613</v>
      </c>
      <c r="D38" s="6" t="n">
        <v>37.2893</v>
      </c>
      <c r="E38" s="8">
        <f>D38</f>
        <v/>
      </c>
    </row>
    <row r="39">
      <c r="A39" s="8" t="n">
        <v>2019</v>
      </c>
      <c r="B39" s="6" t="n">
        <v>9.197699999999999</v>
      </c>
      <c r="C39" s="6" t="n">
        <v>28.2194</v>
      </c>
      <c r="D39" s="6" t="n">
        <v>36.0805</v>
      </c>
      <c r="E39" s="8">
        <f>D39</f>
        <v/>
      </c>
    </row>
    <row r="40">
      <c r="A40" s="8" t="n">
        <v>2020</v>
      </c>
      <c r="B40" s="6" t="n">
        <v>9.754899999999999</v>
      </c>
      <c r="C40" s="6" t="n">
        <v>33.2214</v>
      </c>
      <c r="D40" s="6" t="n">
        <v>37.4866</v>
      </c>
      <c r="E40" s="8">
        <f>D40</f>
        <v/>
      </c>
    </row>
    <row r="41">
      <c r="A41" s="8" t="n">
        <v>2021</v>
      </c>
      <c r="B41" s="6" t="n">
        <v>12.4622</v>
      </c>
      <c r="C41" s="6" t="n">
        <v>43.1772</v>
      </c>
      <c r="D41" s="6" t="n">
        <v>47.1645</v>
      </c>
      <c r="E41" s="8">
        <f>D41</f>
        <v/>
      </c>
    </row>
    <row r="42">
      <c r="A42" s="8" t="n">
        <v>2022</v>
      </c>
      <c r="B42" s="6" t="n">
        <v>9.081200000000001</v>
      </c>
      <c r="C42" s="6" t="n">
        <v>33.1772</v>
      </c>
      <c r="D42" s="6" t="n">
        <v>37.5908</v>
      </c>
      <c r="E42" s="8">
        <f>D42</f>
        <v/>
      </c>
    </row>
    <row r="43">
      <c r="A43" s="8" t="n">
        <v>2023</v>
      </c>
      <c r="B43" s="6" t="n">
        <v>9.3781</v>
      </c>
      <c r="C43" s="6" t="n">
        <v>33.6327</v>
      </c>
      <c r="D43" s="6" t="n">
        <v>36.7</v>
      </c>
      <c r="E43" s="8">
        <f>D43</f>
        <v/>
      </c>
    </row>
    <row r="44">
      <c r="A44" s="8" t="n">
        <v>2024</v>
      </c>
      <c r="B44" s="6" t="n">
        <v>10.4823</v>
      </c>
      <c r="C44" s="6" t="n">
        <v>38.0531</v>
      </c>
      <c r="D44" s="6" t="n">
        <v>40.5483</v>
      </c>
      <c r="E44" s="8">
        <f>D44</f>
        <v/>
      </c>
    </row>
    <row r="45">
      <c r="A45" s="8" t="n">
        <v>2025</v>
      </c>
      <c r="B45" s="6" t="n">
        <v>13.471</v>
      </c>
      <c r="C45" s="6" t="n">
        <v>43.2573</v>
      </c>
      <c r="D45" s="6" t="n">
        <v>47.5193</v>
      </c>
      <c r="E45" s="8">
        <f>D45</f>
        <v/>
      </c>
    </row>
    <row r="46">
      <c r="A46" s="8" t="n">
        <v>2026</v>
      </c>
      <c r="B46" s="6" t="n">
        <v>21.3018</v>
      </c>
      <c r="C46" s="6" t="n">
        <v>56.3817</v>
      </c>
      <c r="D46" s="6" t="n">
        <v>60.6179</v>
      </c>
      <c r="E46" s="8">
        <f>D46</f>
        <v/>
      </c>
    </row>
  </sheetData>
  <hyperlinks>
    <hyperlink xmlns:r="http://schemas.openxmlformats.org/officeDocument/2006/relationships" ref="B5" r:id="rId1"/>
    <hyperlink xmlns:r="http://schemas.openxmlformats.org/officeDocument/2006/relationships" ref="C5" r:id="rId2"/>
    <hyperlink xmlns:r="http://schemas.openxmlformats.org/officeDocument/2006/relationships" ref="D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3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US cash — total-return index, compounded monthly from the rate leg</t>
        </is>
      </c>
    </row>
    <row r="2">
      <c r="A2" s="2" t="inlineStr">
        <is>
          <t>NY commercial paper (bill-equivalised -0.56pp) before 1934, then 3-month T-bill, compounded monthly.</t>
        </is>
      </c>
    </row>
    <row r="3">
      <c r="A3" t="inlineStr">
        <is>
          <t>maturity (yrs) =</t>
        </is>
      </c>
      <c r="B3" s="6" t="n">
        <v>0</v>
      </c>
      <c r="D3" s="5" t="inlineStr">
        <is>
          <t>FRED NY commercial paper (M13002) + 3m T-bill (TB3MS)</t>
        </is>
      </c>
    </row>
    <row r="5">
      <c r="A5" s="7" t="inlineStr">
        <is>
          <t>Date</t>
        </is>
      </c>
      <c r="B5" s="7" t="inlineStr">
        <is>
          <t>Short rate % (raw)</t>
        </is>
      </c>
      <c r="C5" s="7" t="inlineStr">
        <is>
          <t>Monthly TR (formula)</t>
        </is>
      </c>
      <c r="D5" s="7" t="inlineStr">
        <is>
          <t>TR index (formula)</t>
        </is>
      </c>
    </row>
    <row r="6">
      <c r="A6" s="8" t="inlineStr">
        <is>
          <t>1857-01-01</t>
        </is>
      </c>
      <c r="B6" s="6" t="n">
        <v>8.25</v>
      </c>
      <c r="C6" s="8" t="n">
        <v>0</v>
      </c>
      <c r="D6" s="8" t="n">
        <v>1</v>
      </c>
    </row>
    <row r="7">
      <c r="A7" s="8" t="inlineStr">
        <is>
          <t>1857-02-01</t>
        </is>
      </c>
      <c r="B7" s="6" t="n">
        <v>8.25</v>
      </c>
      <c r="C7" s="8">
        <f>B7/100/12</f>
        <v/>
      </c>
      <c r="D7" s="8">
        <f>D6*(1+C7)</f>
        <v/>
      </c>
    </row>
    <row r="8">
      <c r="A8" s="8" t="inlineStr">
        <is>
          <t>1857-03-01</t>
        </is>
      </c>
      <c r="B8" s="6" t="n">
        <v>8.69</v>
      </c>
      <c r="C8" s="8">
        <f>B8/100/12</f>
        <v/>
      </c>
      <c r="D8" s="8">
        <f>D7*(1+C8)</f>
        <v/>
      </c>
    </row>
    <row r="9">
      <c r="A9" s="8" t="inlineStr">
        <is>
          <t>1857-04-01</t>
        </is>
      </c>
      <c r="B9" s="6" t="n">
        <v>8.44</v>
      </c>
      <c r="C9" s="8">
        <f>B9/100/12</f>
        <v/>
      </c>
      <c r="D9" s="8">
        <f>D8*(1+C9)</f>
        <v/>
      </c>
    </row>
    <row r="10">
      <c r="A10" s="8" t="inlineStr">
        <is>
          <t>1857-05-01</t>
        </is>
      </c>
      <c r="B10" s="6" t="n">
        <v>7.63</v>
      </c>
      <c r="C10" s="8">
        <f>B10/100/12</f>
        <v/>
      </c>
      <c r="D10" s="8">
        <f>D9*(1+C10)</f>
        <v/>
      </c>
    </row>
    <row r="11">
      <c r="A11" s="8" t="inlineStr">
        <is>
          <t>1857-06-01</t>
        </is>
      </c>
      <c r="B11" s="6" t="n">
        <v>7.34</v>
      </c>
      <c r="C11" s="8">
        <f>B11/100/12</f>
        <v/>
      </c>
      <c r="D11" s="8">
        <f>D10*(1+C11)</f>
        <v/>
      </c>
    </row>
    <row r="12">
      <c r="A12" s="8" t="inlineStr">
        <is>
          <t>1857-07-01</t>
        </is>
      </c>
      <c r="B12" s="6" t="n">
        <v>7.94</v>
      </c>
      <c r="C12" s="8">
        <f>B12/100/12</f>
        <v/>
      </c>
      <c r="D12" s="8">
        <f>D11*(1+C12)</f>
        <v/>
      </c>
    </row>
    <row r="13">
      <c r="A13" s="8" t="inlineStr">
        <is>
          <t>1857-08-01</t>
        </is>
      </c>
      <c r="B13" s="6" t="n">
        <v>9.44</v>
      </c>
      <c r="C13" s="8">
        <f>B13/100/12</f>
        <v/>
      </c>
      <c r="D13" s="8">
        <f>D12*(1+C13)</f>
        <v/>
      </c>
    </row>
    <row r="14">
      <c r="A14" s="8" t="inlineStr">
        <is>
          <t>1857-09-01</t>
        </is>
      </c>
      <c r="B14" s="6" t="n">
        <v>17.44</v>
      </c>
      <c r="C14" s="8">
        <f>B14/100/12</f>
        <v/>
      </c>
      <c r="D14" s="8">
        <f>D13*(1+C14)</f>
        <v/>
      </c>
    </row>
    <row r="15">
      <c r="A15" s="8" t="inlineStr">
        <is>
          <t>1857-10-01</t>
        </is>
      </c>
      <c r="B15" s="6" t="n">
        <v>23.44</v>
      </c>
      <c r="C15" s="8">
        <f>B15/100/12</f>
        <v/>
      </c>
      <c r="D15" s="8">
        <f>D14*(1+C15)</f>
        <v/>
      </c>
    </row>
    <row r="16">
      <c r="A16" s="8" t="inlineStr">
        <is>
          <t>1857-11-01</t>
        </is>
      </c>
      <c r="B16" s="6" t="n">
        <v>10.94</v>
      </c>
      <c r="C16" s="8">
        <f>B16/100/12</f>
        <v/>
      </c>
      <c r="D16" s="8">
        <f>D15*(1+C16)</f>
        <v/>
      </c>
    </row>
    <row r="17">
      <c r="A17" s="8" t="inlineStr">
        <is>
          <t>1857-12-01</t>
        </is>
      </c>
      <c r="B17" s="6" t="n">
        <v>7.44</v>
      </c>
      <c r="C17" s="8">
        <f>B17/100/12</f>
        <v/>
      </c>
      <c r="D17" s="8">
        <f>D16*(1+C17)</f>
        <v/>
      </c>
    </row>
    <row r="18">
      <c r="A18" s="8" t="inlineStr">
        <is>
          <t>1858-01-01</t>
        </is>
      </c>
      <c r="B18" s="6" t="n">
        <v>6.94</v>
      </c>
      <c r="C18" s="8">
        <f>B18/100/12</f>
        <v/>
      </c>
      <c r="D18" s="8">
        <f>D17*(1+C18)</f>
        <v/>
      </c>
    </row>
    <row r="19">
      <c r="A19" s="8" t="inlineStr">
        <is>
          <t>1858-02-01</t>
        </is>
      </c>
      <c r="B19" s="6" t="n">
        <v>5.19</v>
      </c>
      <c r="C19" s="8">
        <f>B19/100/12</f>
        <v/>
      </c>
      <c r="D19" s="8">
        <f>D18*(1+C19)</f>
        <v/>
      </c>
    </row>
    <row r="20">
      <c r="A20" s="8" t="inlineStr">
        <is>
          <t>1858-03-01</t>
        </is>
      </c>
      <c r="B20" s="6" t="n">
        <v>4.94</v>
      </c>
      <c r="C20" s="8">
        <f>B20/100/12</f>
        <v/>
      </c>
      <c r="D20" s="8">
        <f>D19*(1+C20)</f>
        <v/>
      </c>
    </row>
    <row r="21">
      <c r="A21" s="8" t="inlineStr">
        <is>
          <t>1858-04-01</t>
        </is>
      </c>
      <c r="B21" s="6" t="n">
        <v>4.63</v>
      </c>
      <c r="C21" s="8">
        <f>B21/100/12</f>
        <v/>
      </c>
      <c r="D21" s="8">
        <f>D20*(1+C21)</f>
        <v/>
      </c>
    </row>
    <row r="22">
      <c r="A22" s="8" t="inlineStr">
        <is>
          <t>1858-05-01</t>
        </is>
      </c>
      <c r="B22" s="6" t="n">
        <v>3.08</v>
      </c>
      <c r="C22" s="8">
        <f>B22/100/12</f>
        <v/>
      </c>
      <c r="D22" s="8">
        <f>D21*(1+C22)</f>
        <v/>
      </c>
    </row>
    <row r="23">
      <c r="A23" s="8" t="inlineStr">
        <is>
          <t>1858-06-01</t>
        </is>
      </c>
      <c r="B23" s="6" t="n">
        <v>3.75</v>
      </c>
      <c r="C23" s="8">
        <f>B23/100/12</f>
        <v/>
      </c>
      <c r="D23" s="8">
        <f>D22*(1+C23)</f>
        <v/>
      </c>
    </row>
    <row r="24">
      <c r="A24" s="8" t="inlineStr">
        <is>
          <t>1858-07-01</t>
        </is>
      </c>
      <c r="B24" s="6" t="n">
        <v>3.15</v>
      </c>
      <c r="C24" s="8">
        <f>B24/100/12</f>
        <v/>
      </c>
      <c r="D24" s="8">
        <f>D23*(1+C24)</f>
        <v/>
      </c>
    </row>
    <row r="25">
      <c r="A25" s="8" t="inlineStr">
        <is>
          <t>1858-08-01</t>
        </is>
      </c>
      <c r="B25" s="6" t="n">
        <v>3.49</v>
      </c>
      <c r="C25" s="8">
        <f>B25/100/12</f>
        <v/>
      </c>
      <c r="D25" s="8">
        <f>D24*(1+C25)</f>
        <v/>
      </c>
    </row>
    <row r="26">
      <c r="A26" s="8" t="inlineStr">
        <is>
          <t>1858-09-01</t>
        </is>
      </c>
      <c r="B26" s="6" t="n">
        <v>3.88</v>
      </c>
      <c r="C26" s="8">
        <f>B26/100/12</f>
        <v/>
      </c>
      <c r="D26" s="8">
        <f>D25*(1+C26)</f>
        <v/>
      </c>
    </row>
    <row r="27">
      <c r="A27" s="8" t="inlineStr">
        <is>
          <t>1858-10-01</t>
        </is>
      </c>
      <c r="B27" s="6" t="n">
        <v>3.84</v>
      </c>
      <c r="C27" s="8">
        <f>B27/100/12</f>
        <v/>
      </c>
      <c r="D27" s="8">
        <f>D26*(1+C27)</f>
        <v/>
      </c>
    </row>
    <row r="28">
      <c r="A28" s="8" t="inlineStr">
        <is>
          <t>1858-11-01</t>
        </is>
      </c>
      <c r="B28" s="6" t="n">
        <v>4.13</v>
      </c>
      <c r="C28" s="8">
        <f>B28/100/12</f>
        <v/>
      </c>
      <c r="D28" s="8">
        <f>D27*(1+C28)</f>
        <v/>
      </c>
    </row>
    <row r="29">
      <c r="A29" s="8" t="inlineStr">
        <is>
          <t>1858-12-01</t>
        </is>
      </c>
      <c r="B29" s="6" t="n">
        <v>4.06</v>
      </c>
      <c r="C29" s="8">
        <f>B29/100/12</f>
        <v/>
      </c>
      <c r="D29" s="8">
        <f>D28*(1+C29)</f>
        <v/>
      </c>
    </row>
    <row r="30">
      <c r="A30" s="8" t="inlineStr">
        <is>
          <t>1859-01-01</t>
        </is>
      </c>
      <c r="B30" s="6" t="n">
        <v>4.06</v>
      </c>
      <c r="C30" s="8">
        <f>B30/100/12</f>
        <v/>
      </c>
      <c r="D30" s="8">
        <f>D29*(1+C30)</f>
        <v/>
      </c>
    </row>
    <row r="31">
      <c r="A31" s="8" t="inlineStr">
        <is>
          <t>1859-02-01</t>
        </is>
      </c>
      <c r="B31" s="6" t="n">
        <v>4.94</v>
      </c>
      <c r="C31" s="8">
        <f>B31/100/12</f>
        <v/>
      </c>
      <c r="D31" s="8">
        <f>D30*(1+C31)</f>
        <v/>
      </c>
    </row>
    <row r="32">
      <c r="A32" s="8" t="inlineStr">
        <is>
          <t>1859-03-01</t>
        </is>
      </c>
      <c r="B32" s="6" t="n">
        <v>4.61</v>
      </c>
      <c r="C32" s="8">
        <f>B32/100/12</f>
        <v/>
      </c>
      <c r="D32" s="8">
        <f>D31*(1+C32)</f>
        <v/>
      </c>
    </row>
    <row r="33">
      <c r="A33" s="8" t="inlineStr">
        <is>
          <t>1859-04-01</t>
        </is>
      </c>
      <c r="B33" s="6" t="n">
        <v>4.72</v>
      </c>
      <c r="C33" s="8">
        <f>B33/100/12</f>
        <v/>
      </c>
      <c r="D33" s="8">
        <f>D32*(1+C33)</f>
        <v/>
      </c>
    </row>
    <row r="34">
      <c r="A34" s="8" t="inlineStr">
        <is>
          <t>1859-05-01</t>
        </is>
      </c>
      <c r="B34" s="6" t="n">
        <v>5.91</v>
      </c>
      <c r="C34" s="8">
        <f>B34/100/12</f>
        <v/>
      </c>
      <c r="D34" s="8">
        <f>D33*(1+C34)</f>
        <v/>
      </c>
    </row>
    <row r="35">
      <c r="A35" s="8" t="inlineStr">
        <is>
          <t>1859-06-01</t>
        </is>
      </c>
      <c r="B35" s="6" t="n">
        <v>6.33</v>
      </c>
      <c r="C35" s="8">
        <f>B35/100/12</f>
        <v/>
      </c>
      <c r="D35" s="8">
        <f>D34*(1+C35)</f>
        <v/>
      </c>
    </row>
    <row r="36">
      <c r="A36" s="8" t="inlineStr">
        <is>
          <t>1859-07-01</t>
        </is>
      </c>
      <c r="B36" s="6" t="n">
        <v>6.06</v>
      </c>
      <c r="C36" s="8">
        <f>B36/100/12</f>
        <v/>
      </c>
      <c r="D36" s="8">
        <f>D35*(1+C36)</f>
        <v/>
      </c>
    </row>
    <row r="37">
      <c r="A37" s="8" t="inlineStr">
        <is>
          <t>1859-08-01</t>
        </is>
      </c>
      <c r="B37" s="6" t="n">
        <v>6.48</v>
      </c>
      <c r="C37" s="8">
        <f>B37/100/12</f>
        <v/>
      </c>
      <c r="D37" s="8">
        <f>D36*(1+C37)</f>
        <v/>
      </c>
    </row>
    <row r="38">
      <c r="A38" s="8" t="inlineStr">
        <is>
          <t>1859-09-01</t>
        </is>
      </c>
      <c r="B38" s="6" t="n">
        <v>5.98</v>
      </c>
      <c r="C38" s="8">
        <f>B38/100/12</f>
        <v/>
      </c>
      <c r="D38" s="8">
        <f>D37*(1+C38)</f>
        <v/>
      </c>
    </row>
    <row r="39">
      <c r="A39" s="8" t="inlineStr">
        <is>
          <t>1859-10-01</t>
        </is>
      </c>
      <c r="B39" s="6" t="n">
        <v>6.19</v>
      </c>
      <c r="C39" s="8">
        <f>B39/100/12</f>
        <v/>
      </c>
      <c r="D39" s="8">
        <f>D38*(1+C39)</f>
        <v/>
      </c>
    </row>
    <row r="40">
      <c r="A40" s="8" t="inlineStr">
        <is>
          <t>1859-11-01</t>
        </is>
      </c>
      <c r="B40" s="6" t="n">
        <v>5.63</v>
      </c>
      <c r="C40" s="8">
        <f>B40/100/12</f>
        <v/>
      </c>
      <c r="D40" s="8">
        <f>D39*(1+C40)</f>
        <v/>
      </c>
    </row>
    <row r="41">
      <c r="A41" s="8" t="inlineStr">
        <is>
          <t>1859-12-01</t>
        </is>
      </c>
      <c r="B41" s="6" t="n">
        <v>6.19</v>
      </c>
      <c r="C41" s="8">
        <f>B41/100/12</f>
        <v/>
      </c>
      <c r="D41" s="8">
        <f>D40*(1+C41)</f>
        <v/>
      </c>
    </row>
    <row r="42">
      <c r="A42" s="8" t="inlineStr">
        <is>
          <t>1860-01-01</t>
        </is>
      </c>
      <c r="B42" s="6" t="n">
        <v>7.44</v>
      </c>
      <c r="C42" s="8">
        <f>B42/100/12</f>
        <v/>
      </c>
      <c r="D42" s="8">
        <f>D41*(1+C42)</f>
        <v/>
      </c>
    </row>
    <row r="43">
      <c r="A43" s="8" t="inlineStr">
        <is>
          <t>1860-02-01</t>
        </is>
      </c>
      <c r="B43" s="6" t="n">
        <v>6.54</v>
      </c>
      <c r="C43" s="8">
        <f>B43/100/12</f>
        <v/>
      </c>
      <c r="D43" s="8">
        <f>D42*(1+C43)</f>
        <v/>
      </c>
    </row>
    <row r="44">
      <c r="A44" s="8" t="inlineStr">
        <is>
          <t>1860-03-01</t>
        </is>
      </c>
      <c r="B44" s="6" t="n">
        <v>5.34</v>
      </c>
      <c r="C44" s="8">
        <f>B44/100/12</f>
        <v/>
      </c>
      <c r="D44" s="8">
        <f>D43*(1+C44)</f>
        <v/>
      </c>
    </row>
    <row r="45">
      <c r="A45" s="8" t="inlineStr">
        <is>
          <t>1860-04-01</t>
        </is>
      </c>
      <c r="B45" s="6" t="n">
        <v>5.04</v>
      </c>
      <c r="C45" s="8">
        <f>B45/100/12</f>
        <v/>
      </c>
      <c r="D45" s="8">
        <f>D44*(1+C45)</f>
        <v/>
      </c>
    </row>
    <row r="46">
      <c r="A46" s="8" t="inlineStr">
        <is>
          <t>1860-05-01</t>
        </is>
      </c>
      <c r="B46" s="6" t="n">
        <v>5.24</v>
      </c>
      <c r="C46" s="8">
        <f>B46/100/12</f>
        <v/>
      </c>
      <c r="D46" s="8">
        <f>D45*(1+C46)</f>
        <v/>
      </c>
    </row>
    <row r="47">
      <c r="A47" s="8" t="inlineStr">
        <is>
          <t>1860-06-01</t>
        </is>
      </c>
      <c r="B47" s="6" t="n">
        <v>4.94</v>
      </c>
      <c r="C47" s="8">
        <f>B47/100/12</f>
        <v/>
      </c>
      <c r="D47" s="8">
        <f>D46*(1+C47)</f>
        <v/>
      </c>
    </row>
    <row r="48">
      <c r="A48" s="8" t="inlineStr">
        <is>
          <t>1860-07-01</t>
        </is>
      </c>
      <c r="B48" s="6" t="n">
        <v>4.84</v>
      </c>
      <c r="C48" s="8">
        <f>B48/100/12</f>
        <v/>
      </c>
      <c r="D48" s="8">
        <f>D47*(1+C48)</f>
        <v/>
      </c>
    </row>
    <row r="49">
      <c r="A49" s="8" t="inlineStr">
        <is>
          <t>1860-08-01</t>
        </is>
      </c>
      <c r="B49" s="6" t="n">
        <v>5.54</v>
      </c>
      <c r="C49" s="8">
        <f>B49/100/12</f>
        <v/>
      </c>
      <c r="D49" s="8">
        <f>D48*(1+C49)</f>
        <v/>
      </c>
    </row>
    <row r="50">
      <c r="A50" s="8" t="inlineStr">
        <is>
          <t>1860-09-01</t>
        </is>
      </c>
      <c r="B50" s="6" t="n">
        <v>6.44</v>
      </c>
      <c r="C50" s="8">
        <f>B50/100/12</f>
        <v/>
      </c>
      <c r="D50" s="8">
        <f>D49*(1+C50)</f>
        <v/>
      </c>
    </row>
    <row r="51">
      <c r="A51" s="8" t="inlineStr">
        <is>
          <t>1860-10-01</t>
        </is>
      </c>
      <c r="B51" s="6" t="n">
        <v>6.24</v>
      </c>
      <c r="C51" s="8">
        <f>B51/100/12</f>
        <v/>
      </c>
      <c r="D51" s="8">
        <f>D50*(1+C51)</f>
        <v/>
      </c>
    </row>
    <row r="52">
      <c r="A52" s="8" t="inlineStr">
        <is>
          <t>1860-11-01</t>
        </is>
      </c>
      <c r="B52" s="6" t="n">
        <v>10.54</v>
      </c>
      <c r="C52" s="8">
        <f>B52/100/12</f>
        <v/>
      </c>
      <c r="D52" s="8">
        <f>D51*(1+C52)</f>
        <v/>
      </c>
    </row>
    <row r="53">
      <c r="A53" s="8" t="inlineStr">
        <is>
          <t>1860-12-01</t>
        </is>
      </c>
      <c r="B53" s="6" t="n">
        <v>12.34</v>
      </c>
      <c r="C53" s="8">
        <f>B53/100/12</f>
        <v/>
      </c>
      <c r="D53" s="8">
        <f>D52*(1+C53)</f>
        <v/>
      </c>
    </row>
    <row r="54">
      <c r="A54" s="8" t="inlineStr">
        <is>
          <t>1861-01-01</t>
        </is>
      </c>
      <c r="B54" s="6" t="n">
        <v>7.44</v>
      </c>
      <c r="C54" s="8">
        <f>B54/100/12</f>
        <v/>
      </c>
      <c r="D54" s="8">
        <f>D53*(1+C54)</f>
        <v/>
      </c>
    </row>
    <row r="55">
      <c r="A55" s="8" t="inlineStr">
        <is>
          <t>1861-02-01</t>
        </is>
      </c>
      <c r="B55" s="6" t="n">
        <v>6.74</v>
      </c>
      <c r="C55" s="8">
        <f>B55/100/12</f>
        <v/>
      </c>
      <c r="D55" s="8">
        <f>D54*(1+C55)</f>
        <v/>
      </c>
    </row>
    <row r="56">
      <c r="A56" s="8" t="inlineStr">
        <is>
          <t>1861-03-01</t>
        </is>
      </c>
      <c r="B56" s="6" t="n">
        <v>5.54</v>
      </c>
      <c r="C56" s="8">
        <f>B56/100/12</f>
        <v/>
      </c>
      <c r="D56" s="8">
        <f>D55*(1+C56)</f>
        <v/>
      </c>
    </row>
    <row r="57">
      <c r="A57" s="8" t="inlineStr">
        <is>
          <t>1861-04-01</t>
        </is>
      </c>
      <c r="B57" s="6" t="n">
        <v>5.64</v>
      </c>
      <c r="C57" s="8">
        <f>B57/100/12</f>
        <v/>
      </c>
      <c r="D57" s="8">
        <f>D56*(1+C57)</f>
        <v/>
      </c>
    </row>
    <row r="58">
      <c r="A58" s="8" t="inlineStr">
        <is>
          <t>1861-05-01</t>
        </is>
      </c>
      <c r="B58" s="6" t="n">
        <v>7.54</v>
      </c>
      <c r="C58" s="8">
        <f>B58/100/12</f>
        <v/>
      </c>
      <c r="D58" s="8">
        <f>D57*(1+C58)</f>
        <v/>
      </c>
    </row>
    <row r="59">
      <c r="A59" s="8" t="inlineStr">
        <is>
          <t>1861-06-01</t>
        </is>
      </c>
      <c r="B59" s="6" t="n">
        <v>5.94</v>
      </c>
      <c r="C59" s="8">
        <f>B59/100/12</f>
        <v/>
      </c>
      <c r="D59" s="8">
        <f>D58*(1+C59)</f>
        <v/>
      </c>
    </row>
    <row r="60">
      <c r="A60" s="8" t="inlineStr">
        <is>
          <t>1861-07-01</t>
        </is>
      </c>
      <c r="B60" s="6" t="n">
        <v>4.94</v>
      </c>
      <c r="C60" s="8">
        <f>B60/100/12</f>
        <v/>
      </c>
      <c r="D60" s="8">
        <f>D59*(1+C60)</f>
        <v/>
      </c>
    </row>
    <row r="61">
      <c r="A61" s="8" t="inlineStr">
        <is>
          <t>1861-08-01</t>
        </is>
      </c>
      <c r="B61" s="6" t="n">
        <v>5.94</v>
      </c>
      <c r="C61" s="8">
        <f>B61/100/12</f>
        <v/>
      </c>
      <c r="D61" s="8">
        <f>D60*(1+C61)</f>
        <v/>
      </c>
    </row>
    <row r="62">
      <c r="A62" s="8" t="inlineStr">
        <is>
          <t>1861-09-01</t>
        </is>
      </c>
      <c r="B62" s="6" t="n">
        <v>5.74</v>
      </c>
      <c r="C62" s="8">
        <f>B62/100/12</f>
        <v/>
      </c>
      <c r="D62" s="8">
        <f>D61*(1+C62)</f>
        <v/>
      </c>
    </row>
    <row r="63">
      <c r="A63" s="8" t="inlineStr">
        <is>
          <t>1861-10-01</t>
        </is>
      </c>
      <c r="B63" s="6" t="n">
        <v>6.24</v>
      </c>
      <c r="C63" s="8">
        <f>B63/100/12</f>
        <v/>
      </c>
      <c r="D63" s="8">
        <f>D62*(1+C63)</f>
        <v/>
      </c>
    </row>
    <row r="64">
      <c r="A64" s="8" t="inlineStr">
        <is>
          <t>1861-11-01</t>
        </is>
      </c>
      <c r="B64" s="6" t="n">
        <v>5.74</v>
      </c>
      <c r="C64" s="8">
        <f>B64/100/12</f>
        <v/>
      </c>
      <c r="D64" s="8">
        <f>D63*(1+C64)</f>
        <v/>
      </c>
    </row>
    <row r="65">
      <c r="A65" s="8" t="inlineStr">
        <is>
          <t>1861-12-01</t>
        </is>
      </c>
      <c r="B65" s="6" t="n">
        <v>6.44</v>
      </c>
      <c r="C65" s="8">
        <f>B65/100/12</f>
        <v/>
      </c>
      <c r="D65" s="8">
        <f>D64*(1+C65)</f>
        <v/>
      </c>
    </row>
    <row r="66">
      <c r="A66" s="8" t="inlineStr">
        <is>
          <t>1862-01-01</t>
        </is>
      </c>
      <c r="B66" s="6" t="n">
        <v>5.74</v>
      </c>
      <c r="C66" s="8">
        <f>B66/100/12</f>
        <v/>
      </c>
      <c r="D66" s="8">
        <f>D65*(1+C66)</f>
        <v/>
      </c>
    </row>
    <row r="67">
      <c r="A67" s="8" t="inlineStr">
        <is>
          <t>1862-02-01</t>
        </is>
      </c>
      <c r="B67" s="6" t="n">
        <v>5.34</v>
      </c>
      <c r="C67" s="8">
        <f>B67/100/12</f>
        <v/>
      </c>
      <c r="D67" s="8">
        <f>D66*(1+C67)</f>
        <v/>
      </c>
    </row>
    <row r="68">
      <c r="A68" s="8" t="inlineStr">
        <is>
          <t>1862-03-01</t>
        </is>
      </c>
      <c r="B68" s="6" t="n">
        <v>5.74</v>
      </c>
      <c r="C68" s="8">
        <f>B68/100/12</f>
        <v/>
      </c>
      <c r="D68" s="8">
        <f>D67*(1+C68)</f>
        <v/>
      </c>
    </row>
    <row r="69">
      <c r="A69" s="8" t="inlineStr">
        <is>
          <t>1862-04-01</t>
        </is>
      </c>
      <c r="B69" s="6" t="n">
        <v>5.54</v>
      </c>
      <c r="C69" s="8">
        <f>B69/100/12</f>
        <v/>
      </c>
      <c r="D69" s="8">
        <f>D68*(1+C69)</f>
        <v/>
      </c>
    </row>
    <row r="70">
      <c r="A70" s="8" t="inlineStr">
        <is>
          <t>1862-05-01</t>
        </is>
      </c>
      <c r="B70" s="6" t="n">
        <v>4.44</v>
      </c>
      <c r="C70" s="8">
        <f>B70/100/12</f>
        <v/>
      </c>
      <c r="D70" s="8">
        <f>D69*(1+C70)</f>
        <v/>
      </c>
    </row>
    <row r="71">
      <c r="A71" s="8" t="inlineStr">
        <is>
          <t>1862-06-01</t>
        </is>
      </c>
      <c r="B71" s="6" t="n">
        <v>3.94</v>
      </c>
      <c r="C71" s="8">
        <f>B71/100/12</f>
        <v/>
      </c>
      <c r="D71" s="8">
        <f>D70*(1+C71)</f>
        <v/>
      </c>
    </row>
    <row r="72">
      <c r="A72" s="8" t="inlineStr">
        <is>
          <t>1862-07-01</t>
        </is>
      </c>
      <c r="B72" s="6" t="n">
        <v>4.94</v>
      </c>
      <c r="C72" s="8">
        <f>B72/100/12</f>
        <v/>
      </c>
      <c r="D72" s="8">
        <f>D71*(1+C72)</f>
        <v/>
      </c>
    </row>
    <row r="73">
      <c r="A73" s="8" t="inlineStr">
        <is>
          <t>1862-08-01</t>
        </is>
      </c>
      <c r="B73" s="6" t="n">
        <v>3.94</v>
      </c>
      <c r="C73" s="8">
        <f>B73/100/12</f>
        <v/>
      </c>
      <c r="D73" s="8">
        <f>D72*(1+C73)</f>
        <v/>
      </c>
    </row>
    <row r="74">
      <c r="A74" s="8" t="inlineStr">
        <is>
          <t>1862-09-01</t>
        </is>
      </c>
      <c r="B74" s="6" t="n">
        <v>4.44</v>
      </c>
      <c r="C74" s="8">
        <f>B74/100/12</f>
        <v/>
      </c>
      <c r="D74" s="8">
        <f>D73*(1+C74)</f>
        <v/>
      </c>
    </row>
    <row r="75">
      <c r="A75" s="8" t="inlineStr">
        <is>
          <t>1862-10-01</t>
        </is>
      </c>
      <c r="B75" s="6" t="n">
        <v>3.94</v>
      </c>
      <c r="C75" s="8">
        <f>B75/100/12</f>
        <v/>
      </c>
      <c r="D75" s="8">
        <f>D74*(1+C75)</f>
        <v/>
      </c>
    </row>
    <row r="76">
      <c r="A76" s="8" t="inlineStr">
        <is>
          <t>1862-11-01</t>
        </is>
      </c>
      <c r="B76" s="6" t="n">
        <v>4.14</v>
      </c>
      <c r="C76" s="8">
        <f>B76/100/12</f>
        <v/>
      </c>
      <c r="D76" s="8">
        <f>D75*(1+C76)</f>
        <v/>
      </c>
    </row>
    <row r="77">
      <c r="A77" s="8" t="inlineStr">
        <is>
          <t>1862-12-01</t>
        </is>
      </c>
      <c r="B77" s="6" t="n">
        <v>4.94</v>
      </c>
      <c r="C77" s="8">
        <f>B77/100/12</f>
        <v/>
      </c>
      <c r="D77" s="8">
        <f>D76*(1+C77)</f>
        <v/>
      </c>
    </row>
    <row r="78">
      <c r="A78" s="8" t="inlineStr">
        <is>
          <t>1863-01-01</t>
        </is>
      </c>
      <c r="B78" s="6" t="n">
        <v>4.74</v>
      </c>
      <c r="C78" s="8">
        <f>B78/100/12</f>
        <v/>
      </c>
      <c r="D78" s="8">
        <f>D77*(1+C78)</f>
        <v/>
      </c>
    </row>
    <row r="79">
      <c r="A79" s="8" t="inlineStr">
        <is>
          <t>1863-02-01</t>
        </is>
      </c>
      <c r="B79" s="6" t="n">
        <v>5.14</v>
      </c>
      <c r="C79" s="8">
        <f>B79/100/12</f>
        <v/>
      </c>
      <c r="D79" s="8">
        <f>D78*(1+C79)</f>
        <v/>
      </c>
    </row>
    <row r="80">
      <c r="A80" s="8" t="inlineStr">
        <is>
          <t>1863-03-01</t>
        </is>
      </c>
      <c r="B80" s="6" t="n">
        <v>4.74</v>
      </c>
      <c r="C80" s="8">
        <f>B80/100/12</f>
        <v/>
      </c>
      <c r="D80" s="8">
        <f>D79*(1+C80)</f>
        <v/>
      </c>
    </row>
    <row r="81">
      <c r="A81" s="8" t="inlineStr">
        <is>
          <t>1863-04-01</t>
        </is>
      </c>
      <c r="B81" s="6" t="n">
        <v>4.74</v>
      </c>
      <c r="C81" s="8">
        <f>B81/100/12</f>
        <v/>
      </c>
      <c r="D81" s="8">
        <f>D80*(1+C81)</f>
        <v/>
      </c>
    </row>
    <row r="82">
      <c r="A82" s="8" t="inlineStr">
        <is>
          <t>1863-05-01</t>
        </is>
      </c>
      <c r="B82" s="6" t="n">
        <v>4.64</v>
      </c>
      <c r="C82" s="8">
        <f>B82/100/12</f>
        <v/>
      </c>
      <c r="D82" s="8">
        <f>D81*(1+C82)</f>
        <v/>
      </c>
    </row>
    <row r="83">
      <c r="A83" s="8" t="inlineStr">
        <is>
          <t>1863-06-01</t>
        </is>
      </c>
      <c r="B83" s="6" t="n">
        <v>4.84</v>
      </c>
      <c r="C83" s="8">
        <f>B83/100/12</f>
        <v/>
      </c>
      <c r="D83" s="8">
        <f>D82*(1+C83)</f>
        <v/>
      </c>
    </row>
    <row r="84">
      <c r="A84" s="8" t="inlineStr">
        <is>
          <t>1863-07-01</t>
        </is>
      </c>
      <c r="B84" s="6" t="n">
        <v>5.04</v>
      </c>
      <c r="C84" s="8">
        <f>B84/100/12</f>
        <v/>
      </c>
      <c r="D84" s="8">
        <f>D83*(1+C84)</f>
        <v/>
      </c>
    </row>
    <row r="85">
      <c r="A85" s="8" t="inlineStr">
        <is>
          <t>1863-08-01</t>
        </is>
      </c>
      <c r="B85" s="6" t="n">
        <v>4.74</v>
      </c>
      <c r="C85" s="8">
        <f>B85/100/12</f>
        <v/>
      </c>
      <c r="D85" s="8">
        <f>D84*(1+C85)</f>
        <v/>
      </c>
    </row>
    <row r="86">
      <c r="A86" s="8" t="inlineStr">
        <is>
          <t>1863-09-01</t>
        </is>
      </c>
      <c r="B86" s="6" t="n">
        <v>5.04</v>
      </c>
      <c r="C86" s="8">
        <f>B86/100/12</f>
        <v/>
      </c>
      <c r="D86" s="8">
        <f>D85*(1+C86)</f>
        <v/>
      </c>
    </row>
    <row r="87">
      <c r="A87" s="8" t="inlineStr">
        <is>
          <t>1863-10-01</t>
        </is>
      </c>
      <c r="B87" s="6" t="n">
        <v>5.14</v>
      </c>
      <c r="C87" s="8">
        <f>B87/100/12</f>
        <v/>
      </c>
      <c r="D87" s="8">
        <f>D86*(1+C87)</f>
        <v/>
      </c>
    </row>
    <row r="88">
      <c r="A88" s="8" t="inlineStr">
        <is>
          <t>1863-11-01</t>
        </is>
      </c>
      <c r="B88" s="6" t="n">
        <v>6.04</v>
      </c>
      <c r="C88" s="8">
        <f>B88/100/12</f>
        <v/>
      </c>
      <c r="D88" s="8">
        <f>D87*(1+C88)</f>
        <v/>
      </c>
    </row>
    <row r="89">
      <c r="A89" s="8" t="inlineStr">
        <is>
          <t>1863-12-01</t>
        </is>
      </c>
      <c r="B89" s="6" t="n">
        <v>6.24</v>
      </c>
      <c r="C89" s="8">
        <f>B89/100/12</f>
        <v/>
      </c>
      <c r="D89" s="8">
        <f>D88*(1+C89)</f>
        <v/>
      </c>
    </row>
    <row r="90">
      <c r="A90" s="8" t="inlineStr">
        <is>
          <t>1864-01-01</t>
        </is>
      </c>
      <c r="B90" s="6" t="n">
        <v>6.74</v>
      </c>
      <c r="C90" s="8">
        <f>B90/100/12</f>
        <v/>
      </c>
      <c r="D90" s="8">
        <f>D89*(1+C90)</f>
        <v/>
      </c>
    </row>
    <row r="91">
      <c r="A91" s="8" t="inlineStr">
        <is>
          <t>1864-02-01</t>
        </is>
      </c>
      <c r="B91" s="6" t="n">
        <v>5.94</v>
      </c>
      <c r="C91" s="8">
        <f>B91/100/12</f>
        <v/>
      </c>
      <c r="D91" s="8">
        <f>D90*(1+C91)</f>
        <v/>
      </c>
    </row>
    <row r="92">
      <c r="A92" s="8" t="inlineStr">
        <is>
          <t>1864-03-01</t>
        </is>
      </c>
      <c r="B92" s="6" t="n">
        <v>5.04</v>
      </c>
      <c r="C92" s="8">
        <f>B92/100/12</f>
        <v/>
      </c>
      <c r="D92" s="8">
        <f>D91*(1+C92)</f>
        <v/>
      </c>
    </row>
    <row r="93">
      <c r="A93" s="8" t="inlineStr">
        <is>
          <t>1864-04-01</t>
        </is>
      </c>
      <c r="B93" s="6" t="n">
        <v>6.14</v>
      </c>
      <c r="C93" s="8">
        <f>B93/100/12</f>
        <v/>
      </c>
      <c r="D93" s="8">
        <f>D92*(1+C93)</f>
        <v/>
      </c>
    </row>
    <row r="94">
      <c r="A94" s="8" t="inlineStr">
        <is>
          <t>1864-05-01</t>
        </is>
      </c>
      <c r="B94" s="6" t="n">
        <v>6.34</v>
      </c>
      <c r="C94" s="8">
        <f>B94/100/12</f>
        <v/>
      </c>
      <c r="D94" s="8">
        <f>D93*(1+C94)</f>
        <v/>
      </c>
    </row>
    <row r="95">
      <c r="A95" s="8" t="inlineStr">
        <is>
          <t>1864-06-01</t>
        </is>
      </c>
      <c r="B95" s="6" t="n">
        <v>6.24</v>
      </c>
      <c r="C95" s="8">
        <f>B95/100/12</f>
        <v/>
      </c>
      <c r="D95" s="8">
        <f>D94*(1+C95)</f>
        <v/>
      </c>
    </row>
    <row r="96">
      <c r="A96" s="8" t="inlineStr">
        <is>
          <t>1864-07-01</t>
        </is>
      </c>
      <c r="B96" s="6" t="n">
        <v>5.94</v>
      </c>
      <c r="C96" s="8">
        <f>B96/100/12</f>
        <v/>
      </c>
      <c r="D96" s="8">
        <f>D95*(1+C96)</f>
        <v/>
      </c>
    </row>
    <row r="97">
      <c r="A97" s="8" t="inlineStr">
        <is>
          <t>1864-08-01</t>
        </is>
      </c>
      <c r="B97" s="6" t="n">
        <v>7.14</v>
      </c>
      <c r="C97" s="8">
        <f>B97/100/12</f>
        <v/>
      </c>
      <c r="D97" s="8">
        <f>D96*(1+C97)</f>
        <v/>
      </c>
    </row>
    <row r="98">
      <c r="A98" s="8" t="inlineStr">
        <is>
          <t>1864-09-01</t>
        </is>
      </c>
      <c r="B98" s="6" t="n">
        <v>8.44</v>
      </c>
      <c r="C98" s="8">
        <f>B98/100/12</f>
        <v/>
      </c>
      <c r="D98" s="8">
        <f>D97*(1+C98)</f>
        <v/>
      </c>
    </row>
    <row r="99">
      <c r="A99" s="8" t="inlineStr">
        <is>
          <t>1864-10-01</t>
        </is>
      </c>
      <c r="B99" s="6" t="n">
        <v>8.640000000000001</v>
      </c>
      <c r="C99" s="8">
        <f>B99/100/12</f>
        <v/>
      </c>
      <c r="D99" s="8">
        <f>D98*(1+C99)</f>
        <v/>
      </c>
    </row>
    <row r="100">
      <c r="A100" s="8" t="inlineStr">
        <is>
          <t>1864-11-01</t>
        </is>
      </c>
      <c r="B100" s="6" t="n">
        <v>7.74</v>
      </c>
      <c r="C100" s="8">
        <f>B100/100/12</f>
        <v/>
      </c>
      <c r="D100" s="8">
        <f>D99*(1+C100)</f>
        <v/>
      </c>
    </row>
    <row r="101">
      <c r="A101" s="8" t="inlineStr">
        <is>
          <t>1864-12-01</t>
        </is>
      </c>
      <c r="B101" s="6" t="n">
        <v>7.24</v>
      </c>
      <c r="C101" s="8">
        <f>B101/100/12</f>
        <v/>
      </c>
      <c r="D101" s="8">
        <f>D100*(1+C101)</f>
        <v/>
      </c>
    </row>
    <row r="102">
      <c r="A102" s="8" t="inlineStr">
        <is>
          <t>1865-01-01</t>
        </is>
      </c>
      <c r="B102" s="6" t="n">
        <v>7.44</v>
      </c>
      <c r="C102" s="8">
        <f>B102/100/12</f>
        <v/>
      </c>
      <c r="D102" s="8">
        <f>D101*(1+C102)</f>
        <v/>
      </c>
    </row>
    <row r="103">
      <c r="A103" s="8" t="inlineStr">
        <is>
          <t>1865-02-01</t>
        </is>
      </c>
      <c r="B103" s="6" t="n">
        <v>7.94</v>
      </c>
      <c r="C103" s="8">
        <f>B103/100/12</f>
        <v/>
      </c>
      <c r="D103" s="8">
        <f>D102*(1+C103)</f>
        <v/>
      </c>
    </row>
    <row r="104">
      <c r="A104" s="8" t="inlineStr">
        <is>
          <t>1865-03-01</t>
        </is>
      </c>
      <c r="B104" s="6" t="n">
        <v>8.44</v>
      </c>
      <c r="C104" s="8">
        <f>B104/100/12</f>
        <v/>
      </c>
      <c r="D104" s="8">
        <f>D103*(1+C104)</f>
        <v/>
      </c>
    </row>
    <row r="105">
      <c r="A105" s="8" t="inlineStr">
        <is>
          <t>1865-04-01</t>
        </is>
      </c>
      <c r="B105" s="6" t="n">
        <v>7.94</v>
      </c>
      <c r="C105" s="8">
        <f>B105/100/12</f>
        <v/>
      </c>
      <c r="D105" s="8">
        <f>D104*(1+C105)</f>
        <v/>
      </c>
    </row>
    <row r="106">
      <c r="A106" s="8" t="inlineStr">
        <is>
          <t>1865-05-01</t>
        </is>
      </c>
      <c r="B106" s="6" t="n">
        <v>6.64</v>
      </c>
      <c r="C106" s="8">
        <f>B106/100/12</f>
        <v/>
      </c>
      <c r="D106" s="8">
        <f>D105*(1+C106)</f>
        <v/>
      </c>
    </row>
    <row r="107">
      <c r="A107" s="8" t="inlineStr">
        <is>
          <t>1865-06-01</t>
        </is>
      </c>
      <c r="B107" s="6" t="n">
        <v>6.14</v>
      </c>
      <c r="C107" s="8">
        <f>B107/100/12</f>
        <v/>
      </c>
      <c r="D107" s="8">
        <f>D106*(1+C107)</f>
        <v/>
      </c>
    </row>
    <row r="108">
      <c r="A108" s="8" t="inlineStr">
        <is>
          <t>1865-07-01</t>
        </is>
      </c>
      <c r="B108" s="6" t="n">
        <v>6.74</v>
      </c>
      <c r="C108" s="8">
        <f>B108/100/12</f>
        <v/>
      </c>
      <c r="D108" s="8">
        <f>D107*(1+C108)</f>
        <v/>
      </c>
    </row>
    <row r="109">
      <c r="A109" s="8" t="inlineStr">
        <is>
          <t>1865-08-01</t>
        </is>
      </c>
      <c r="B109" s="6" t="n">
        <v>7.14</v>
      </c>
      <c r="C109" s="8">
        <f>B109/100/12</f>
        <v/>
      </c>
      <c r="D109" s="8">
        <f>D108*(1+C109)</f>
        <v/>
      </c>
    </row>
    <row r="110">
      <c r="A110" s="8" t="inlineStr">
        <is>
          <t>1865-09-01</t>
        </is>
      </c>
      <c r="B110" s="6" t="n">
        <v>6.54</v>
      </c>
      <c r="C110" s="8">
        <f>B110/100/12</f>
        <v/>
      </c>
      <c r="D110" s="8">
        <f>D109*(1+C110)</f>
        <v/>
      </c>
    </row>
    <row r="111">
      <c r="A111" s="8" t="inlineStr">
        <is>
          <t>1865-10-01</t>
        </is>
      </c>
      <c r="B111" s="6" t="n">
        <v>7.04</v>
      </c>
      <c r="C111" s="8">
        <f>B111/100/12</f>
        <v/>
      </c>
      <c r="D111" s="8">
        <f>D110*(1+C111)</f>
        <v/>
      </c>
    </row>
    <row r="112">
      <c r="A112" s="8" t="inlineStr">
        <is>
          <t>1865-11-01</t>
        </is>
      </c>
      <c r="B112" s="6" t="n">
        <v>7.44</v>
      </c>
      <c r="C112" s="8">
        <f>B112/100/12</f>
        <v/>
      </c>
      <c r="D112" s="8">
        <f>D111*(1+C112)</f>
        <v/>
      </c>
    </row>
    <row r="113">
      <c r="A113" s="8" t="inlineStr">
        <is>
          <t>1865-12-01</t>
        </is>
      </c>
      <c r="B113" s="6" t="n">
        <v>7.24</v>
      </c>
      <c r="C113" s="8">
        <f>B113/100/12</f>
        <v/>
      </c>
      <c r="D113" s="8">
        <f>D112*(1+C113)</f>
        <v/>
      </c>
    </row>
    <row r="114">
      <c r="A114" s="8" t="inlineStr">
        <is>
          <t>1866-01-01</t>
        </is>
      </c>
      <c r="B114" s="6" t="n">
        <v>6.81</v>
      </c>
      <c r="C114" s="8">
        <f>B114/100/12</f>
        <v/>
      </c>
      <c r="D114" s="8">
        <f>D113*(1+C114)</f>
        <v/>
      </c>
    </row>
    <row r="115">
      <c r="A115" s="8" t="inlineStr">
        <is>
          <t>1866-02-01</t>
        </is>
      </c>
      <c r="B115" s="6" t="n">
        <v>6.72</v>
      </c>
      <c r="C115" s="8">
        <f>B115/100/12</f>
        <v/>
      </c>
      <c r="D115" s="8">
        <f>D114*(1+C115)</f>
        <v/>
      </c>
    </row>
    <row r="116">
      <c r="A116" s="8" t="inlineStr">
        <is>
          <t>1866-03-01</t>
        </is>
      </c>
      <c r="B116" s="6" t="n">
        <v>6.76</v>
      </c>
      <c r="C116" s="8">
        <f>B116/100/12</f>
        <v/>
      </c>
      <c r="D116" s="8">
        <f>D115*(1+C116)</f>
        <v/>
      </c>
    </row>
    <row r="117">
      <c r="A117" s="8" t="inlineStr">
        <is>
          <t>1866-04-01</t>
        </is>
      </c>
      <c r="B117" s="6" t="n">
        <v>6.13</v>
      </c>
      <c r="C117" s="8">
        <f>B117/100/12</f>
        <v/>
      </c>
      <c r="D117" s="8">
        <f>D116*(1+C117)</f>
        <v/>
      </c>
    </row>
    <row r="118">
      <c r="A118" s="8" t="inlineStr">
        <is>
          <t>1866-05-01</t>
        </is>
      </c>
      <c r="B118" s="6" t="n">
        <v>5.49</v>
      </c>
      <c r="C118" s="8">
        <f>B118/100/12</f>
        <v/>
      </c>
      <c r="D118" s="8">
        <f>D117*(1+C118)</f>
        <v/>
      </c>
    </row>
    <row r="119">
      <c r="A119" s="8" t="inlineStr">
        <is>
          <t>1866-06-01</t>
        </is>
      </c>
      <c r="B119" s="6" t="n">
        <v>5</v>
      </c>
      <c r="C119" s="8">
        <f>B119/100/12</f>
        <v/>
      </c>
      <c r="D119" s="8">
        <f>D118*(1+C119)</f>
        <v/>
      </c>
    </row>
    <row r="120">
      <c r="A120" s="8" t="inlineStr">
        <is>
          <t>1866-07-01</t>
        </is>
      </c>
      <c r="B120" s="6" t="n">
        <v>5.33</v>
      </c>
      <c r="C120" s="8">
        <f>B120/100/12</f>
        <v/>
      </c>
      <c r="D120" s="8">
        <f>D119*(1+C120)</f>
        <v/>
      </c>
    </row>
    <row r="121">
      <c r="A121" s="8" t="inlineStr">
        <is>
          <t>1866-08-01</t>
        </is>
      </c>
      <c r="B121" s="6" t="n">
        <v>5.33</v>
      </c>
      <c r="C121" s="8">
        <f>B121/100/12</f>
        <v/>
      </c>
      <c r="D121" s="8">
        <f>D120*(1+C121)</f>
        <v/>
      </c>
    </row>
    <row r="122">
      <c r="A122" s="8" t="inlineStr">
        <is>
          <t>1866-09-01</t>
        </is>
      </c>
      <c r="B122" s="6" t="n">
        <v>4.69</v>
      </c>
      <c r="C122" s="8">
        <f>B122/100/12</f>
        <v/>
      </c>
      <c r="D122" s="8">
        <f>D121*(1+C122)</f>
        <v/>
      </c>
    </row>
    <row r="123">
      <c r="A123" s="8" t="inlineStr">
        <is>
          <t>1866-10-01</t>
        </is>
      </c>
      <c r="B123" s="6" t="n">
        <v>4.89</v>
      </c>
      <c r="C123" s="8">
        <f>B123/100/12</f>
        <v/>
      </c>
      <c r="D123" s="8">
        <f>D122*(1+C123)</f>
        <v/>
      </c>
    </row>
    <row r="124">
      <c r="A124" s="8" t="inlineStr">
        <is>
          <t>1866-11-01</t>
        </is>
      </c>
      <c r="B124" s="6" t="n">
        <v>6.13</v>
      </c>
      <c r="C124" s="8">
        <f>B124/100/12</f>
        <v/>
      </c>
      <c r="D124" s="8">
        <f>D123*(1+C124)</f>
        <v/>
      </c>
    </row>
    <row r="125">
      <c r="A125" s="8" t="inlineStr">
        <is>
          <t>1866-12-01</t>
        </is>
      </c>
      <c r="B125" s="6" t="n">
        <v>6.32</v>
      </c>
      <c r="C125" s="8">
        <f>B125/100/12</f>
        <v/>
      </c>
      <c r="D125" s="8">
        <f>D124*(1+C125)</f>
        <v/>
      </c>
    </row>
    <row r="126">
      <c r="A126" s="8" t="inlineStr">
        <is>
          <t>1867-01-01</t>
        </is>
      </c>
      <c r="B126" s="6" t="n">
        <v>6.84</v>
      </c>
      <c r="C126" s="8">
        <f>B126/100/12</f>
        <v/>
      </c>
      <c r="D126" s="8">
        <f>D125*(1+C126)</f>
        <v/>
      </c>
    </row>
    <row r="127">
      <c r="A127" s="8" t="inlineStr">
        <is>
          <t>1867-02-01</t>
        </is>
      </c>
      <c r="B127" s="6" t="n">
        <v>6.5</v>
      </c>
      <c r="C127" s="8">
        <f>B127/100/12</f>
        <v/>
      </c>
      <c r="D127" s="8">
        <f>D126*(1+C127)</f>
        <v/>
      </c>
    </row>
    <row r="128">
      <c r="A128" s="8" t="inlineStr">
        <is>
          <t>1867-03-01</t>
        </is>
      </c>
      <c r="B128" s="6" t="n">
        <v>6.63</v>
      </c>
      <c r="C128" s="8">
        <f>B128/100/12</f>
        <v/>
      </c>
      <c r="D128" s="8">
        <f>D127*(1+C128)</f>
        <v/>
      </c>
    </row>
    <row r="129">
      <c r="A129" s="8" t="inlineStr">
        <is>
          <t>1867-04-01</t>
        </is>
      </c>
      <c r="B129" s="6" t="n">
        <v>6.61</v>
      </c>
      <c r="C129" s="8">
        <f>B129/100/12</f>
        <v/>
      </c>
      <c r="D129" s="8">
        <f>D128*(1+C129)</f>
        <v/>
      </c>
    </row>
    <row r="130">
      <c r="A130" s="8" t="inlineStr">
        <is>
          <t>1867-05-01</t>
        </is>
      </c>
      <c r="B130" s="6" t="n">
        <v>6.11</v>
      </c>
      <c r="C130" s="8">
        <f>B130/100/12</f>
        <v/>
      </c>
      <c r="D130" s="8">
        <f>D129*(1+C130)</f>
        <v/>
      </c>
    </row>
    <row r="131">
      <c r="A131" s="8" t="inlineStr">
        <is>
          <t>1867-06-01</t>
        </is>
      </c>
      <c r="B131" s="6" t="n">
        <v>6.82</v>
      </c>
      <c r="C131" s="8">
        <f>B131/100/12</f>
        <v/>
      </c>
      <c r="D131" s="8">
        <f>D130*(1+C131)</f>
        <v/>
      </c>
    </row>
    <row r="132">
      <c r="A132" s="8" t="inlineStr">
        <is>
          <t>1867-07-01</t>
        </is>
      </c>
      <c r="B132" s="6" t="n">
        <v>5.99</v>
      </c>
      <c r="C132" s="8">
        <f>B132/100/12</f>
        <v/>
      </c>
      <c r="D132" s="8">
        <f>D131*(1+C132)</f>
        <v/>
      </c>
    </row>
    <row r="133">
      <c r="A133" s="8" t="inlineStr">
        <is>
          <t>1867-08-01</t>
        </is>
      </c>
      <c r="B133" s="6" t="n">
        <v>5.94</v>
      </c>
      <c r="C133" s="8">
        <f>B133/100/12</f>
        <v/>
      </c>
      <c r="D133" s="8">
        <f>D132*(1+C133)</f>
        <v/>
      </c>
    </row>
    <row r="134">
      <c r="A134" s="8" t="inlineStr">
        <is>
          <t>1867-09-01</t>
        </is>
      </c>
      <c r="B134" s="6" t="n">
        <v>6.56</v>
      </c>
      <c r="C134" s="8">
        <f>B134/100/12</f>
        <v/>
      </c>
      <c r="D134" s="8">
        <f>D133*(1+C134)</f>
        <v/>
      </c>
    </row>
    <row r="135">
      <c r="A135" s="8" t="inlineStr">
        <is>
          <t>1867-10-01</t>
        </is>
      </c>
      <c r="B135" s="6" t="n">
        <v>7.84</v>
      </c>
      <c r="C135" s="8">
        <f>B135/100/12</f>
        <v/>
      </c>
      <c r="D135" s="8">
        <f>D134*(1+C135)</f>
        <v/>
      </c>
    </row>
    <row r="136">
      <c r="A136" s="8" t="inlineStr">
        <is>
          <t>1867-11-01</t>
        </is>
      </c>
      <c r="B136" s="6" t="n">
        <v>8</v>
      </c>
      <c r="C136" s="8">
        <f>B136/100/12</f>
        <v/>
      </c>
      <c r="D136" s="8">
        <f>D135*(1+C136)</f>
        <v/>
      </c>
    </row>
    <row r="137">
      <c r="A137" s="8" t="inlineStr">
        <is>
          <t>1867-12-01</t>
        </is>
      </c>
      <c r="B137" s="6" t="n">
        <v>7.38</v>
      </c>
      <c r="C137" s="8">
        <f>B137/100/12</f>
        <v/>
      </c>
      <c r="D137" s="8">
        <f>D136*(1+C137)</f>
        <v/>
      </c>
    </row>
    <row r="138">
      <c r="A138" s="8" t="inlineStr">
        <is>
          <t>1868-01-01</t>
        </is>
      </c>
      <c r="B138" s="6" t="n">
        <v>6.5</v>
      </c>
      <c r="C138" s="8">
        <f>B138/100/12</f>
        <v/>
      </c>
      <c r="D138" s="8">
        <f>D137*(1+C138)</f>
        <v/>
      </c>
    </row>
    <row r="139">
      <c r="A139" s="8" t="inlineStr">
        <is>
          <t>1868-02-01</t>
        </is>
      </c>
      <c r="B139" s="6" t="n">
        <v>5.94</v>
      </c>
      <c r="C139" s="8">
        <f>B139/100/12</f>
        <v/>
      </c>
      <c r="D139" s="8">
        <f>D138*(1+C139)</f>
        <v/>
      </c>
    </row>
    <row r="140">
      <c r="A140" s="8" t="inlineStr">
        <is>
          <t>1868-03-01</t>
        </is>
      </c>
      <c r="B140" s="6" t="n">
        <v>7.11</v>
      </c>
      <c r="C140" s="8">
        <f>B140/100/12</f>
        <v/>
      </c>
      <c r="D140" s="8">
        <f>D139*(1+C140)</f>
        <v/>
      </c>
    </row>
    <row r="141">
      <c r="A141" s="8" t="inlineStr">
        <is>
          <t>1868-04-01</t>
        </is>
      </c>
      <c r="B141" s="6" t="n">
        <v>7.44</v>
      </c>
      <c r="C141" s="8">
        <f>B141/100/12</f>
        <v/>
      </c>
      <c r="D141" s="8">
        <f>D140*(1+C141)</f>
        <v/>
      </c>
    </row>
    <row r="142">
      <c r="A142" s="8" t="inlineStr">
        <is>
          <t>1868-05-01</t>
        </is>
      </c>
      <c r="B142" s="6" t="n">
        <v>6.06</v>
      </c>
      <c r="C142" s="8">
        <f>B142/100/12</f>
        <v/>
      </c>
      <c r="D142" s="8">
        <f>D141*(1+C142)</f>
        <v/>
      </c>
    </row>
    <row r="143">
      <c r="A143" s="8" t="inlineStr">
        <is>
          <t>1868-06-01</t>
        </is>
      </c>
      <c r="B143" s="6" t="n">
        <v>5.16</v>
      </c>
      <c r="C143" s="8">
        <f>B143/100/12</f>
        <v/>
      </c>
      <c r="D143" s="8">
        <f>D142*(1+C143)</f>
        <v/>
      </c>
    </row>
    <row r="144">
      <c r="A144" s="8" t="inlineStr">
        <is>
          <t>1868-07-01</t>
        </is>
      </c>
      <c r="B144" s="6" t="n">
        <v>5.94</v>
      </c>
      <c r="C144" s="8">
        <f>B144/100/12</f>
        <v/>
      </c>
      <c r="D144" s="8">
        <f>D143*(1+C144)</f>
        <v/>
      </c>
    </row>
    <row r="145">
      <c r="A145" s="8" t="inlineStr">
        <is>
          <t>1868-08-01</t>
        </is>
      </c>
      <c r="B145" s="6" t="n">
        <v>6.06</v>
      </c>
      <c r="C145" s="8">
        <f>B145/100/12</f>
        <v/>
      </c>
      <c r="D145" s="8">
        <f>D144*(1+C145)</f>
        <v/>
      </c>
    </row>
    <row r="146">
      <c r="A146" s="8" t="inlineStr">
        <is>
          <t>1868-09-01</t>
        </is>
      </c>
      <c r="B146" s="6" t="n">
        <v>6.19</v>
      </c>
      <c r="C146" s="8">
        <f>B146/100/12</f>
        <v/>
      </c>
      <c r="D146" s="8">
        <f>D145*(1+C146)</f>
        <v/>
      </c>
    </row>
    <row r="147">
      <c r="A147" s="8" t="inlineStr">
        <is>
          <t>1868-10-01</t>
        </is>
      </c>
      <c r="B147" s="6" t="n">
        <v>6.88</v>
      </c>
      <c r="C147" s="8">
        <f>B147/100/12</f>
        <v/>
      </c>
      <c r="D147" s="8">
        <f>D146*(1+C147)</f>
        <v/>
      </c>
    </row>
    <row r="148">
      <c r="A148" s="8" t="inlineStr">
        <is>
          <t>1868-11-01</t>
        </is>
      </c>
      <c r="B148" s="6" t="n">
        <v>9.44</v>
      </c>
      <c r="C148" s="8">
        <f>B148/100/12</f>
        <v/>
      </c>
      <c r="D148" s="8">
        <f>D147*(1+C148)</f>
        <v/>
      </c>
    </row>
    <row r="149">
      <c r="A149" s="8" t="inlineStr">
        <is>
          <t>1868-12-01</t>
        </is>
      </c>
      <c r="B149" s="6" t="n">
        <v>7.69</v>
      </c>
      <c r="C149" s="8">
        <f>B149/100/12</f>
        <v/>
      </c>
      <c r="D149" s="8">
        <f>D148*(1+C149)</f>
        <v/>
      </c>
    </row>
    <row r="150">
      <c r="A150" s="8" t="inlineStr">
        <is>
          <t>1869-01-01</t>
        </is>
      </c>
      <c r="B150" s="6" t="n">
        <v>7.75</v>
      </c>
      <c r="C150" s="8">
        <f>B150/100/12</f>
        <v/>
      </c>
      <c r="D150" s="8">
        <f>D149*(1+C150)</f>
        <v/>
      </c>
    </row>
    <row r="151">
      <c r="A151" s="8" t="inlineStr">
        <is>
          <t>1869-02-01</t>
        </is>
      </c>
      <c r="B151" s="6" t="n">
        <v>7.13</v>
      </c>
      <c r="C151" s="8">
        <f>B151/100/12</f>
        <v/>
      </c>
      <c r="D151" s="8">
        <f>D150*(1+C151)</f>
        <v/>
      </c>
    </row>
    <row r="152">
      <c r="A152" s="8" t="inlineStr">
        <is>
          <t>1869-03-01</t>
        </is>
      </c>
      <c r="B152" s="6" t="n">
        <v>8.84</v>
      </c>
      <c r="C152" s="8">
        <f>B152/100/12</f>
        <v/>
      </c>
      <c r="D152" s="8">
        <f>D151*(1+C152)</f>
        <v/>
      </c>
    </row>
    <row r="153">
      <c r="A153" s="8" t="inlineStr">
        <is>
          <t>1869-04-01</t>
        </is>
      </c>
      <c r="B153" s="6" t="n">
        <v>9.32</v>
      </c>
      <c r="C153" s="8">
        <f>B153/100/12</f>
        <v/>
      </c>
      <c r="D153" s="8">
        <f>D152*(1+C153)</f>
        <v/>
      </c>
    </row>
    <row r="154">
      <c r="A154" s="8" t="inlineStr">
        <is>
          <t>1869-05-01</t>
        </is>
      </c>
      <c r="B154" s="6" t="n">
        <v>7.25</v>
      </c>
      <c r="C154" s="8">
        <f>B154/100/12</f>
        <v/>
      </c>
      <c r="D154" s="8">
        <f>D153*(1+C154)</f>
        <v/>
      </c>
    </row>
    <row r="155">
      <c r="A155" s="8" t="inlineStr">
        <is>
          <t>1869-06-01</t>
        </is>
      </c>
      <c r="B155" s="6" t="n">
        <v>9.09</v>
      </c>
      <c r="C155" s="8">
        <f>B155/100/12</f>
        <v/>
      </c>
      <c r="D155" s="8">
        <f>D154*(1+C155)</f>
        <v/>
      </c>
    </row>
    <row r="156">
      <c r="A156" s="8" t="inlineStr">
        <is>
          <t>1869-07-01</t>
        </is>
      </c>
      <c r="B156" s="6" t="n">
        <v>9.69</v>
      </c>
      <c r="C156" s="8">
        <f>B156/100/12</f>
        <v/>
      </c>
      <c r="D156" s="8">
        <f>D155*(1+C156)</f>
        <v/>
      </c>
    </row>
    <row r="157">
      <c r="A157" s="8" t="inlineStr">
        <is>
          <t>1869-08-01</t>
        </is>
      </c>
      <c r="B157" s="6" t="n">
        <v>9</v>
      </c>
      <c r="C157" s="8">
        <f>B157/100/12</f>
        <v/>
      </c>
      <c r="D157" s="8">
        <f>D156*(1+C157)</f>
        <v/>
      </c>
    </row>
    <row r="158">
      <c r="A158" s="8" t="inlineStr">
        <is>
          <t>1869-09-01</t>
        </is>
      </c>
      <c r="B158" s="6" t="n">
        <v>10.38</v>
      </c>
      <c r="C158" s="8">
        <f>B158/100/12</f>
        <v/>
      </c>
      <c r="D158" s="8">
        <f>D157*(1+C158)</f>
        <v/>
      </c>
    </row>
    <row r="159">
      <c r="A159" s="8" t="inlineStr">
        <is>
          <t>1869-10-01</t>
        </is>
      </c>
      <c r="B159" s="6" t="n">
        <v>9.82</v>
      </c>
      <c r="C159" s="8">
        <f>B159/100/12</f>
        <v/>
      </c>
      <c r="D159" s="8">
        <f>D158*(1+C159)</f>
        <v/>
      </c>
    </row>
    <row r="160">
      <c r="A160" s="8" t="inlineStr">
        <is>
          <t>1869-11-01</t>
        </is>
      </c>
      <c r="B160" s="6" t="n">
        <v>11.38</v>
      </c>
      <c r="C160" s="8">
        <f>B160/100/12</f>
        <v/>
      </c>
      <c r="D160" s="8">
        <f>D159*(1+C160)</f>
        <v/>
      </c>
    </row>
    <row r="161">
      <c r="A161" s="8" t="inlineStr">
        <is>
          <t>1869-12-01</t>
        </is>
      </c>
      <c r="B161" s="6" t="n">
        <v>9.609999999999999</v>
      </c>
      <c r="C161" s="8">
        <f>B161/100/12</f>
        <v/>
      </c>
      <c r="D161" s="8">
        <f>D160*(1+C161)</f>
        <v/>
      </c>
    </row>
    <row r="162">
      <c r="A162" s="8" t="inlineStr">
        <is>
          <t>1870-01-01</t>
        </is>
      </c>
      <c r="B162" s="6" t="n">
        <v>8.44</v>
      </c>
      <c r="C162" s="8">
        <f>B162/100/12</f>
        <v/>
      </c>
      <c r="D162" s="8">
        <f>D161*(1+C162)</f>
        <v/>
      </c>
    </row>
    <row r="163">
      <c r="A163" s="8" t="inlineStr">
        <is>
          <t>1870-02-01</t>
        </is>
      </c>
      <c r="B163" s="6" t="n">
        <v>6.82</v>
      </c>
      <c r="C163" s="8">
        <f>B163/100/12</f>
        <v/>
      </c>
      <c r="D163" s="8">
        <f>D162*(1+C163)</f>
        <v/>
      </c>
    </row>
    <row r="164">
      <c r="A164" s="8" t="inlineStr">
        <is>
          <t>1870-03-01</t>
        </is>
      </c>
      <c r="B164" s="6" t="n">
        <v>6.94</v>
      </c>
      <c r="C164" s="8">
        <f>B164/100/12</f>
        <v/>
      </c>
      <c r="D164" s="8">
        <f>D163*(1+C164)</f>
        <v/>
      </c>
    </row>
    <row r="165">
      <c r="A165" s="8" t="inlineStr">
        <is>
          <t>1870-04-01</t>
        </is>
      </c>
      <c r="B165" s="6" t="n">
        <v>6.63</v>
      </c>
      <c r="C165" s="8">
        <f>B165/100/12</f>
        <v/>
      </c>
      <c r="D165" s="8">
        <f>D164*(1+C165)</f>
        <v/>
      </c>
    </row>
    <row r="166">
      <c r="A166" s="8" t="inlineStr">
        <is>
          <t>1870-05-01</t>
        </is>
      </c>
      <c r="B166" s="6" t="n">
        <v>5.82</v>
      </c>
      <c r="C166" s="8">
        <f>B166/100/12</f>
        <v/>
      </c>
      <c r="D166" s="8">
        <f>D165*(1+C166)</f>
        <v/>
      </c>
    </row>
    <row r="167">
      <c r="A167" s="8" t="inlineStr">
        <is>
          <t>1870-06-01</t>
        </is>
      </c>
      <c r="B167" s="6" t="n">
        <v>4.9</v>
      </c>
      <c r="C167" s="8">
        <f>B167/100/12</f>
        <v/>
      </c>
      <c r="D167" s="8">
        <f>D166*(1+C167)</f>
        <v/>
      </c>
    </row>
    <row r="168">
      <c r="A168" s="8" t="inlineStr">
        <is>
          <t>1870-07-01</t>
        </is>
      </c>
      <c r="B168" s="6" t="n">
        <v>5.82</v>
      </c>
      <c r="C168" s="8">
        <f>B168/100/12</f>
        <v/>
      </c>
      <c r="D168" s="8">
        <f>D167*(1+C168)</f>
        <v/>
      </c>
    </row>
    <row r="169">
      <c r="A169" s="8" t="inlineStr">
        <is>
          <t>1870-08-01</t>
        </is>
      </c>
      <c r="B169" s="6" t="n">
        <v>6.62</v>
      </c>
      <c r="C169" s="8">
        <f>B169/100/12</f>
        <v/>
      </c>
      <c r="D169" s="8">
        <f>D168*(1+C169)</f>
        <v/>
      </c>
    </row>
    <row r="170">
      <c r="A170" s="8" t="inlineStr">
        <is>
          <t>1870-09-01</t>
        </is>
      </c>
      <c r="B170" s="6" t="n">
        <v>6.69</v>
      </c>
      <c r="C170" s="8">
        <f>B170/100/12</f>
        <v/>
      </c>
      <c r="D170" s="8">
        <f>D169*(1+C170)</f>
        <v/>
      </c>
    </row>
    <row r="171">
      <c r="A171" s="8" t="inlineStr">
        <is>
          <t>1870-10-01</t>
        </is>
      </c>
      <c r="B171" s="6" t="n">
        <v>6.72</v>
      </c>
      <c r="C171" s="8">
        <f>B171/100/12</f>
        <v/>
      </c>
      <c r="D171" s="8">
        <f>D170*(1+C171)</f>
        <v/>
      </c>
    </row>
    <row r="172">
      <c r="A172" s="8" t="inlineStr">
        <is>
          <t>1870-11-01</t>
        </is>
      </c>
      <c r="B172" s="6" t="n">
        <v>6.69</v>
      </c>
      <c r="C172" s="8">
        <f>B172/100/12</f>
        <v/>
      </c>
      <c r="D172" s="8">
        <f>D171*(1+C172)</f>
        <v/>
      </c>
    </row>
    <row r="173">
      <c r="A173" s="8" t="inlineStr">
        <is>
          <t>1870-12-01</t>
        </is>
      </c>
      <c r="B173" s="6" t="n">
        <v>8.19</v>
      </c>
      <c r="C173" s="8">
        <f>B173/100/12</f>
        <v/>
      </c>
      <c r="D173" s="8">
        <f>D172*(1+C173)</f>
        <v/>
      </c>
    </row>
    <row r="174">
      <c r="A174" s="8" t="inlineStr">
        <is>
          <t>1871-01-01</t>
        </is>
      </c>
      <c r="B174" s="6" t="n">
        <v>6.66</v>
      </c>
      <c r="C174" s="8">
        <f>B174/100/12</f>
        <v/>
      </c>
      <c r="D174" s="8">
        <f>D173*(1+C174)</f>
        <v/>
      </c>
    </row>
    <row r="175">
      <c r="A175" s="8" t="inlineStr">
        <is>
          <t>1871-02-01</t>
        </is>
      </c>
      <c r="B175" s="6" t="n">
        <v>6.06</v>
      </c>
      <c r="C175" s="8">
        <f>B175/100/12</f>
        <v/>
      </c>
      <c r="D175" s="8">
        <f>D174*(1+C175)</f>
        <v/>
      </c>
    </row>
    <row r="176">
      <c r="A176" s="8" t="inlineStr">
        <is>
          <t>1871-03-01</t>
        </is>
      </c>
      <c r="B176" s="6" t="n">
        <v>5.69</v>
      </c>
      <c r="C176" s="8">
        <f>B176/100/12</f>
        <v/>
      </c>
      <c r="D176" s="8">
        <f>D175*(1+C176)</f>
        <v/>
      </c>
    </row>
    <row r="177">
      <c r="A177" s="8" t="inlineStr">
        <is>
          <t>1871-04-01</t>
        </is>
      </c>
      <c r="B177" s="6" t="n">
        <v>6.22</v>
      </c>
      <c r="C177" s="8">
        <f>B177/100/12</f>
        <v/>
      </c>
      <c r="D177" s="8">
        <f>D176*(1+C177)</f>
        <v/>
      </c>
    </row>
    <row r="178">
      <c r="A178" s="8" t="inlineStr">
        <is>
          <t>1871-05-01</t>
        </is>
      </c>
      <c r="B178" s="6" t="n">
        <v>4.94</v>
      </c>
      <c r="C178" s="8">
        <f>B178/100/12</f>
        <v/>
      </c>
      <c r="D178" s="8">
        <f>D177*(1+C178)</f>
        <v/>
      </c>
    </row>
    <row r="179">
      <c r="A179" s="8" t="inlineStr">
        <is>
          <t>1871-06-01</t>
        </is>
      </c>
      <c r="B179" s="6" t="n">
        <v>4.5</v>
      </c>
      <c r="C179" s="8">
        <f>B179/100/12</f>
        <v/>
      </c>
      <c r="D179" s="8">
        <f>D178*(1+C179)</f>
        <v/>
      </c>
    </row>
    <row r="180">
      <c r="A180" s="8" t="inlineStr">
        <is>
          <t>1871-07-01</t>
        </is>
      </c>
      <c r="B180" s="6" t="n">
        <v>4.34</v>
      </c>
      <c r="C180" s="8">
        <f>B180/100/12</f>
        <v/>
      </c>
      <c r="D180" s="8">
        <f>D179*(1+C180)</f>
        <v/>
      </c>
    </row>
    <row r="181">
      <c r="A181" s="8" t="inlineStr">
        <is>
          <t>1871-08-01</t>
        </is>
      </c>
      <c r="B181" s="6" t="n">
        <v>4.96</v>
      </c>
      <c r="C181" s="8">
        <f>B181/100/12</f>
        <v/>
      </c>
      <c r="D181" s="8">
        <f>D180*(1+C181)</f>
        <v/>
      </c>
    </row>
    <row r="182">
      <c r="A182" s="8" t="inlineStr">
        <is>
          <t>1871-09-01</t>
        </is>
      </c>
      <c r="B182" s="6" t="n">
        <v>6.1</v>
      </c>
      <c r="C182" s="8">
        <f>B182/100/12</f>
        <v/>
      </c>
      <c r="D182" s="8">
        <f>D181*(1+C182)</f>
        <v/>
      </c>
    </row>
    <row r="183">
      <c r="A183" s="8" t="inlineStr">
        <is>
          <t>1871-10-01</t>
        </is>
      </c>
      <c r="B183" s="6" t="n">
        <v>9.470000000000001</v>
      </c>
      <c r="C183" s="8">
        <f>B183/100/12</f>
        <v/>
      </c>
      <c r="D183" s="8">
        <f>D182*(1+C183)</f>
        <v/>
      </c>
    </row>
    <row r="184">
      <c r="A184" s="8" t="inlineStr">
        <is>
          <t>1871-11-01</t>
        </is>
      </c>
      <c r="B184" s="6" t="n">
        <v>8.720000000000001</v>
      </c>
      <c r="C184" s="8">
        <f>B184/100/12</f>
        <v/>
      </c>
      <c r="D184" s="8">
        <f>D183*(1+C184)</f>
        <v/>
      </c>
    </row>
    <row r="185">
      <c r="A185" s="8" t="inlineStr">
        <is>
          <t>1871-12-01</t>
        </is>
      </c>
      <c r="B185" s="6" t="n">
        <v>9.380000000000001</v>
      </c>
      <c r="C185" s="8">
        <f>B185/100/12</f>
        <v/>
      </c>
      <c r="D185" s="8">
        <f>D184*(1+C185)</f>
        <v/>
      </c>
    </row>
    <row r="186">
      <c r="A186" s="8" t="inlineStr">
        <is>
          <t>1872-01-01</t>
        </is>
      </c>
      <c r="B186" s="6" t="n">
        <v>7.74</v>
      </c>
      <c r="C186" s="8">
        <f>B186/100/12</f>
        <v/>
      </c>
      <c r="D186" s="8">
        <f>D185*(1+C186)</f>
        <v/>
      </c>
    </row>
    <row r="187">
      <c r="A187" s="8" t="inlineStr">
        <is>
          <t>1872-02-01</t>
        </is>
      </c>
      <c r="B187" s="6" t="n">
        <v>7</v>
      </c>
      <c r="C187" s="8">
        <f>B187/100/12</f>
        <v/>
      </c>
      <c r="D187" s="8">
        <f>D186*(1+C187)</f>
        <v/>
      </c>
    </row>
    <row r="188">
      <c r="A188" s="8" t="inlineStr">
        <is>
          <t>1872-03-01</t>
        </is>
      </c>
      <c r="B188" s="6" t="n">
        <v>8.06</v>
      </c>
      <c r="C188" s="8">
        <f>B188/100/12</f>
        <v/>
      </c>
      <c r="D188" s="8">
        <f>D187*(1+C188)</f>
        <v/>
      </c>
    </row>
    <row r="189">
      <c r="A189" s="8" t="inlineStr">
        <is>
          <t>1872-04-01</t>
        </is>
      </c>
      <c r="B189" s="6" t="n">
        <v>8.1</v>
      </c>
      <c r="C189" s="8">
        <f>B189/100/12</f>
        <v/>
      </c>
      <c r="D189" s="8">
        <f>D188*(1+C189)</f>
        <v/>
      </c>
    </row>
    <row r="190">
      <c r="A190" s="8" t="inlineStr">
        <is>
          <t>1872-05-01</t>
        </is>
      </c>
      <c r="B190" s="6" t="n">
        <v>6.64</v>
      </c>
      <c r="C190" s="8">
        <f>B190/100/12</f>
        <v/>
      </c>
      <c r="D190" s="8">
        <f>D189*(1+C190)</f>
        <v/>
      </c>
    </row>
    <row r="191">
      <c r="A191" s="8" t="inlineStr">
        <is>
          <t>1872-06-01</t>
        </is>
      </c>
      <c r="B191" s="6" t="n">
        <v>5.44</v>
      </c>
      <c r="C191" s="8">
        <f>B191/100/12</f>
        <v/>
      </c>
      <c r="D191" s="8">
        <f>D190*(1+C191)</f>
        <v/>
      </c>
    </row>
    <row r="192">
      <c r="A192" s="8" t="inlineStr">
        <is>
          <t>1872-07-01</t>
        </is>
      </c>
      <c r="B192" s="6" t="n">
        <v>5.89</v>
      </c>
      <c r="C192" s="8">
        <f>B192/100/12</f>
        <v/>
      </c>
      <c r="D192" s="8">
        <f>D191*(1+C192)</f>
        <v/>
      </c>
    </row>
    <row r="193">
      <c r="A193" s="8" t="inlineStr">
        <is>
          <t>1872-08-01</t>
        </is>
      </c>
      <c r="B193" s="6" t="n">
        <v>7</v>
      </c>
      <c r="C193" s="8">
        <f>B193/100/12</f>
        <v/>
      </c>
      <c r="D193" s="8">
        <f>D192*(1+C193)</f>
        <v/>
      </c>
    </row>
    <row r="194">
      <c r="A194" s="8" t="inlineStr">
        <is>
          <t>1872-09-01</t>
        </is>
      </c>
      <c r="B194" s="6" t="n">
        <v>9.44</v>
      </c>
      <c r="C194" s="8">
        <f>B194/100/12</f>
        <v/>
      </c>
      <c r="D194" s="8">
        <f>D193*(1+C194)</f>
        <v/>
      </c>
    </row>
    <row r="195">
      <c r="A195" s="8" t="inlineStr">
        <is>
          <t>1872-10-01</t>
        </is>
      </c>
      <c r="B195" s="6" t="n">
        <v>10.24</v>
      </c>
      <c r="C195" s="8">
        <f>B195/100/12</f>
        <v/>
      </c>
      <c r="D195" s="8">
        <f>D194*(1+C195)</f>
        <v/>
      </c>
    </row>
    <row r="196">
      <c r="A196" s="8" t="inlineStr">
        <is>
          <t>1872-11-01</t>
        </is>
      </c>
      <c r="B196" s="6" t="n">
        <v>11.06</v>
      </c>
      <c r="C196" s="8">
        <f>B196/100/12</f>
        <v/>
      </c>
      <c r="D196" s="8">
        <f>D195*(1+C196)</f>
        <v/>
      </c>
    </row>
    <row r="197">
      <c r="A197" s="8" t="inlineStr">
        <is>
          <t>1872-12-01</t>
        </is>
      </c>
      <c r="B197" s="6" t="n">
        <v>10.27</v>
      </c>
      <c r="C197" s="8">
        <f>B197/100/12</f>
        <v/>
      </c>
      <c r="D197" s="8">
        <f>D196*(1+C197)</f>
        <v/>
      </c>
    </row>
    <row r="198">
      <c r="A198" s="8" t="inlineStr">
        <is>
          <t>1873-01-01</t>
        </is>
      </c>
      <c r="B198" s="6" t="n">
        <v>8.720000000000001</v>
      </c>
      <c r="C198" s="8">
        <f>B198/100/12</f>
        <v/>
      </c>
      <c r="D198" s="8">
        <f>D197*(1+C198)</f>
        <v/>
      </c>
    </row>
    <row r="199">
      <c r="A199" s="8" t="inlineStr">
        <is>
          <t>1873-02-01</t>
        </is>
      </c>
      <c r="B199" s="6" t="n">
        <v>8.82</v>
      </c>
      <c r="C199" s="8">
        <f>B199/100/12</f>
        <v/>
      </c>
      <c r="D199" s="8">
        <f>D198*(1+C199)</f>
        <v/>
      </c>
    </row>
    <row r="200">
      <c r="A200" s="8" t="inlineStr">
        <is>
          <t>1873-03-01</t>
        </is>
      </c>
      <c r="B200" s="6" t="n">
        <v>9.56</v>
      </c>
      <c r="C200" s="8">
        <f>B200/100/12</f>
        <v/>
      </c>
      <c r="D200" s="8">
        <f>D199*(1+C200)</f>
        <v/>
      </c>
    </row>
    <row r="201">
      <c r="A201" s="8" t="inlineStr">
        <is>
          <t>1873-04-01</t>
        </is>
      </c>
      <c r="B201" s="6" t="n">
        <v>10.84</v>
      </c>
      <c r="C201" s="8">
        <f>B201/100/12</f>
        <v/>
      </c>
      <c r="D201" s="8">
        <f>D200*(1+C201)</f>
        <v/>
      </c>
    </row>
    <row r="202">
      <c r="A202" s="8" t="inlineStr">
        <is>
          <t>1873-05-01</t>
        </is>
      </c>
      <c r="B202" s="6" t="n">
        <v>7.56</v>
      </c>
      <c r="C202" s="8">
        <f>B202/100/12</f>
        <v/>
      </c>
      <c r="D202" s="8">
        <f>D201*(1+C202)</f>
        <v/>
      </c>
    </row>
    <row r="203">
      <c r="A203" s="8" t="inlineStr">
        <is>
          <t>1873-06-01</t>
        </is>
      </c>
      <c r="B203" s="6" t="n">
        <v>6.27</v>
      </c>
      <c r="C203" s="8">
        <f>B203/100/12</f>
        <v/>
      </c>
      <c r="D203" s="8">
        <f>D202*(1+C203)</f>
        <v/>
      </c>
    </row>
    <row r="204">
      <c r="A204" s="8" t="inlineStr">
        <is>
          <t>1873-07-01</t>
        </is>
      </c>
      <c r="B204" s="6" t="n">
        <v>5.88</v>
      </c>
      <c r="C204" s="8">
        <f>B204/100/12</f>
        <v/>
      </c>
      <c r="D204" s="8">
        <f>D203*(1+C204)</f>
        <v/>
      </c>
    </row>
    <row r="205">
      <c r="A205" s="8" t="inlineStr">
        <is>
          <t>1873-08-01</t>
        </is>
      </c>
      <c r="B205" s="6" t="n">
        <v>6.5</v>
      </c>
      <c r="C205" s="8">
        <f>B205/100/12</f>
        <v/>
      </c>
      <c r="D205" s="8">
        <f>D204*(1+C205)</f>
        <v/>
      </c>
    </row>
    <row r="206">
      <c r="A206" s="8" t="inlineStr">
        <is>
          <t>1873-09-01</t>
        </is>
      </c>
      <c r="B206" s="6" t="n">
        <v>13.72</v>
      </c>
      <c r="C206" s="8">
        <f>B206/100/12</f>
        <v/>
      </c>
      <c r="D206" s="8">
        <f>D205*(1+C206)</f>
        <v/>
      </c>
    </row>
    <row r="207">
      <c r="A207" s="8" t="inlineStr">
        <is>
          <t>1873-10-01</t>
        </is>
      </c>
      <c r="B207" s="6" t="n">
        <v>15.94</v>
      </c>
      <c r="C207" s="8">
        <f>B207/100/12</f>
        <v/>
      </c>
      <c r="D207" s="8">
        <f>D206*(1+C207)</f>
        <v/>
      </c>
    </row>
    <row r="208">
      <c r="A208" s="8" t="inlineStr">
        <is>
          <t>1873-11-01</t>
        </is>
      </c>
      <c r="B208" s="6" t="n">
        <v>13.94</v>
      </c>
      <c r="C208" s="8">
        <f>B208/100/12</f>
        <v/>
      </c>
      <c r="D208" s="8">
        <f>D207*(1+C208)</f>
        <v/>
      </c>
    </row>
    <row r="209">
      <c r="A209" s="8" t="inlineStr">
        <is>
          <t>1873-12-01</t>
        </is>
      </c>
      <c r="B209" s="6" t="n">
        <v>9.24</v>
      </c>
      <c r="C209" s="8">
        <f>B209/100/12</f>
        <v/>
      </c>
      <c r="D209" s="8">
        <f>D208*(1+C209)</f>
        <v/>
      </c>
    </row>
    <row r="210">
      <c r="A210" s="8" t="inlineStr">
        <is>
          <t>1874-01-01</t>
        </is>
      </c>
      <c r="B210" s="6" t="n">
        <v>6.88</v>
      </c>
      <c r="C210" s="8">
        <f>B210/100/12</f>
        <v/>
      </c>
      <c r="D210" s="8">
        <f>D209*(1+C210)</f>
        <v/>
      </c>
    </row>
    <row r="211">
      <c r="A211" s="8" t="inlineStr">
        <is>
          <t>1874-02-01</t>
        </is>
      </c>
      <c r="B211" s="6" t="n">
        <v>5.44</v>
      </c>
      <c r="C211" s="8">
        <f>B211/100/12</f>
        <v/>
      </c>
      <c r="D211" s="8">
        <f>D210*(1+C211)</f>
        <v/>
      </c>
    </row>
    <row r="212">
      <c r="A212" s="8" t="inlineStr">
        <is>
          <t>1874-03-01</t>
        </is>
      </c>
      <c r="B212" s="6" t="n">
        <v>5.58</v>
      </c>
      <c r="C212" s="8">
        <f>B212/100/12</f>
        <v/>
      </c>
      <c r="D212" s="8">
        <f>D211*(1+C212)</f>
        <v/>
      </c>
    </row>
    <row r="213">
      <c r="A213" s="8" t="inlineStr">
        <is>
          <t>1874-04-01</t>
        </is>
      </c>
      <c r="B213" s="6" t="n">
        <v>5.69</v>
      </c>
      <c r="C213" s="8">
        <f>B213/100/12</f>
        <v/>
      </c>
      <c r="D213" s="8">
        <f>D212*(1+C213)</f>
        <v/>
      </c>
    </row>
    <row r="214">
      <c r="A214" s="8" t="inlineStr">
        <is>
          <t>1874-05-01</t>
        </is>
      </c>
      <c r="B214" s="6" t="n">
        <v>5.1</v>
      </c>
      <c r="C214" s="8">
        <f>B214/100/12</f>
        <v/>
      </c>
      <c r="D214" s="8">
        <f>D213*(1+C214)</f>
        <v/>
      </c>
    </row>
    <row r="215">
      <c r="A215" s="8" t="inlineStr">
        <is>
          <t>1874-06-01</t>
        </is>
      </c>
      <c r="B215" s="6" t="n">
        <v>5</v>
      </c>
      <c r="C215" s="8">
        <f>B215/100/12</f>
        <v/>
      </c>
      <c r="D215" s="8">
        <f>D214*(1+C215)</f>
        <v/>
      </c>
    </row>
    <row r="216">
      <c r="A216" s="8" t="inlineStr">
        <is>
          <t>1874-07-01</t>
        </is>
      </c>
      <c r="B216" s="6" t="n">
        <v>5.05</v>
      </c>
      <c r="C216" s="8">
        <f>B216/100/12</f>
        <v/>
      </c>
      <c r="D216" s="8">
        <f>D215*(1+C216)</f>
        <v/>
      </c>
    </row>
    <row r="217">
      <c r="A217" s="8" t="inlineStr">
        <is>
          <t>1874-08-01</t>
        </is>
      </c>
      <c r="B217" s="6" t="n">
        <v>4.88</v>
      </c>
      <c r="C217" s="8">
        <f>B217/100/12</f>
        <v/>
      </c>
      <c r="D217" s="8">
        <f>D216*(1+C217)</f>
        <v/>
      </c>
    </row>
    <row r="218">
      <c r="A218" s="8" t="inlineStr">
        <is>
          <t>1874-09-01</t>
        </is>
      </c>
      <c r="B218" s="6" t="n">
        <v>5.69</v>
      </c>
      <c r="C218" s="8">
        <f>B218/100/12</f>
        <v/>
      </c>
      <c r="D218" s="8">
        <f>D217*(1+C218)</f>
        <v/>
      </c>
    </row>
    <row r="219">
      <c r="A219" s="8" t="inlineStr">
        <is>
          <t>1874-10-01</t>
        </is>
      </c>
      <c r="B219" s="6" t="n">
        <v>5.25</v>
      </c>
      <c r="C219" s="8">
        <f>B219/100/12</f>
        <v/>
      </c>
      <c r="D219" s="8">
        <f>D218*(1+C219)</f>
        <v/>
      </c>
    </row>
    <row r="220">
      <c r="A220" s="8" t="inlineStr">
        <is>
          <t>1874-11-01</t>
        </is>
      </c>
      <c r="B220" s="6" t="n">
        <v>5.06</v>
      </c>
      <c r="C220" s="8">
        <f>B220/100/12</f>
        <v/>
      </c>
      <c r="D220" s="8">
        <f>D219*(1+C220)</f>
        <v/>
      </c>
    </row>
    <row r="221">
      <c r="A221" s="8" t="inlineStr">
        <is>
          <t>1874-12-01</t>
        </is>
      </c>
      <c r="B221" s="6" t="n">
        <v>5.44</v>
      </c>
      <c r="C221" s="8">
        <f>B221/100/12</f>
        <v/>
      </c>
      <c r="D221" s="8">
        <f>D220*(1+C221)</f>
        <v/>
      </c>
    </row>
    <row r="222">
      <c r="A222" s="8" t="inlineStr">
        <is>
          <t>1875-01-01</t>
        </is>
      </c>
      <c r="B222" s="6" t="n">
        <v>4.69</v>
      </c>
      <c r="C222" s="8">
        <f>B222/100/12</f>
        <v/>
      </c>
      <c r="D222" s="8">
        <f>D221*(1+C222)</f>
        <v/>
      </c>
    </row>
    <row r="223">
      <c r="A223" s="8" t="inlineStr">
        <is>
          <t>1875-02-01</t>
        </is>
      </c>
      <c r="B223" s="6" t="n">
        <v>4.63</v>
      </c>
      <c r="C223" s="8">
        <f>B223/100/12</f>
        <v/>
      </c>
      <c r="D223" s="8">
        <f>D222*(1+C223)</f>
        <v/>
      </c>
    </row>
    <row r="224">
      <c r="A224" s="8" t="inlineStr">
        <is>
          <t>1875-03-01</t>
        </is>
      </c>
      <c r="B224" s="6" t="n">
        <v>5.34</v>
      </c>
      <c r="C224" s="8">
        <f>B224/100/12</f>
        <v/>
      </c>
      <c r="D224" s="8">
        <f>D223*(1+C224)</f>
        <v/>
      </c>
    </row>
    <row r="225">
      <c r="A225" s="8" t="inlineStr">
        <is>
          <t>1875-04-01</t>
        </is>
      </c>
      <c r="B225" s="6" t="n">
        <v>4.88</v>
      </c>
      <c r="C225" s="8">
        <f>B225/100/12</f>
        <v/>
      </c>
      <c r="D225" s="8">
        <f>D224*(1+C225)</f>
        <v/>
      </c>
    </row>
    <row r="226">
      <c r="A226" s="8" t="inlineStr">
        <is>
          <t>1875-05-01</t>
        </is>
      </c>
      <c r="B226" s="6" t="n">
        <v>4</v>
      </c>
      <c r="C226" s="8">
        <f>B226/100/12</f>
        <v/>
      </c>
      <c r="D226" s="8">
        <f>D225*(1+C226)</f>
        <v/>
      </c>
    </row>
    <row r="227">
      <c r="A227" s="8" t="inlineStr">
        <is>
          <t>1875-06-01</t>
        </is>
      </c>
      <c r="B227" s="6" t="n">
        <v>3.99</v>
      </c>
      <c r="C227" s="8">
        <f>B227/100/12</f>
        <v/>
      </c>
      <c r="D227" s="8">
        <f>D226*(1+C227)</f>
        <v/>
      </c>
    </row>
    <row r="228">
      <c r="A228" s="8" t="inlineStr">
        <is>
          <t>1875-07-01</t>
        </is>
      </c>
      <c r="B228" s="6" t="n">
        <v>3.75</v>
      </c>
      <c r="C228" s="8">
        <f>B228/100/12</f>
        <v/>
      </c>
      <c r="D228" s="8">
        <f>D227*(1+C228)</f>
        <v/>
      </c>
    </row>
    <row r="229">
      <c r="A229" s="8" t="inlineStr">
        <is>
          <t>1875-08-01</t>
        </is>
      </c>
      <c r="B229" s="6" t="n">
        <v>4.38</v>
      </c>
      <c r="C229" s="8">
        <f>B229/100/12</f>
        <v/>
      </c>
      <c r="D229" s="8">
        <f>D228*(1+C229)</f>
        <v/>
      </c>
    </row>
    <row r="230">
      <c r="A230" s="8" t="inlineStr">
        <is>
          <t>1875-09-01</t>
        </is>
      </c>
      <c r="B230" s="6" t="n">
        <v>5.33</v>
      </c>
      <c r="C230" s="8">
        <f>B230/100/12</f>
        <v/>
      </c>
      <c r="D230" s="8">
        <f>D229*(1+C230)</f>
        <v/>
      </c>
    </row>
    <row r="231">
      <c r="A231" s="8" t="inlineStr">
        <is>
          <t>1875-10-01</t>
        </is>
      </c>
      <c r="B231" s="6" t="n">
        <v>5.75</v>
      </c>
      <c r="C231" s="8">
        <f>B231/100/12</f>
        <v/>
      </c>
      <c r="D231" s="8">
        <f>D230*(1+C231)</f>
        <v/>
      </c>
    </row>
    <row r="232">
      <c r="A232" s="8" t="inlineStr">
        <is>
          <t>1875-11-01</t>
        </is>
      </c>
      <c r="B232" s="6" t="n">
        <v>5.83</v>
      </c>
      <c r="C232" s="8">
        <f>B232/100/12</f>
        <v/>
      </c>
      <c r="D232" s="8">
        <f>D231*(1+C232)</f>
        <v/>
      </c>
    </row>
    <row r="233">
      <c r="A233" s="8" t="inlineStr">
        <is>
          <t>1875-12-01</t>
        </is>
      </c>
      <c r="B233" s="6" t="n">
        <v>6.05</v>
      </c>
      <c r="C233" s="8">
        <f>B233/100/12</f>
        <v/>
      </c>
      <c r="D233" s="8">
        <f>D232*(1+C233)</f>
        <v/>
      </c>
    </row>
    <row r="234">
      <c r="A234" s="8" t="inlineStr">
        <is>
          <t>1876-01-01</t>
        </is>
      </c>
      <c r="B234" s="6" t="n">
        <v>5.88</v>
      </c>
      <c r="C234" s="8">
        <f>B234/100/12</f>
        <v/>
      </c>
      <c r="D234" s="8">
        <f>D233*(1+C234)</f>
        <v/>
      </c>
    </row>
    <row r="235">
      <c r="A235" s="8" t="inlineStr">
        <is>
          <t>1876-02-01</t>
        </is>
      </c>
      <c r="B235" s="6" t="n">
        <v>4.77</v>
      </c>
      <c r="C235" s="8">
        <f>B235/100/12</f>
        <v/>
      </c>
      <c r="D235" s="8">
        <f>D234*(1+C235)</f>
        <v/>
      </c>
    </row>
    <row r="236">
      <c r="A236" s="8" t="inlineStr">
        <is>
          <t>1876-03-01</t>
        </is>
      </c>
      <c r="B236" s="6" t="n">
        <v>4.83</v>
      </c>
      <c r="C236" s="8">
        <f>B236/100/12</f>
        <v/>
      </c>
      <c r="D236" s="8">
        <f>D235*(1+C236)</f>
        <v/>
      </c>
    </row>
    <row r="237">
      <c r="A237" s="8" t="inlineStr">
        <is>
          <t>1876-04-01</t>
        </is>
      </c>
      <c r="B237" s="6" t="n">
        <v>4.94</v>
      </c>
      <c r="C237" s="8">
        <f>B237/100/12</f>
        <v/>
      </c>
      <c r="D237" s="8">
        <f>D236*(1+C237)</f>
        <v/>
      </c>
    </row>
    <row r="238">
      <c r="A238" s="8" t="inlineStr">
        <is>
          <t>1876-05-01</t>
        </is>
      </c>
      <c r="B238" s="6" t="n">
        <v>4.49</v>
      </c>
      <c r="C238" s="8">
        <f>B238/100/12</f>
        <v/>
      </c>
      <c r="D238" s="8">
        <f>D237*(1+C238)</f>
        <v/>
      </c>
    </row>
    <row r="239">
      <c r="A239" s="8" t="inlineStr">
        <is>
          <t>1876-06-01</t>
        </is>
      </c>
      <c r="B239" s="6" t="n">
        <v>4.19</v>
      </c>
      <c r="C239" s="8">
        <f>B239/100/12</f>
        <v/>
      </c>
      <c r="D239" s="8">
        <f>D238*(1+C239)</f>
        <v/>
      </c>
    </row>
    <row r="240">
      <c r="A240" s="8" t="inlineStr">
        <is>
          <t>1876-07-01</t>
        </is>
      </c>
      <c r="B240" s="6" t="n">
        <v>3.25</v>
      </c>
      <c r="C240" s="8">
        <f>B240/100/12</f>
        <v/>
      </c>
      <c r="D240" s="8">
        <f>D239*(1+C240)</f>
        <v/>
      </c>
    </row>
    <row r="241">
      <c r="A241" s="8" t="inlineStr">
        <is>
          <t>1876-08-01</t>
        </is>
      </c>
      <c r="B241" s="6" t="n">
        <v>3.04</v>
      </c>
      <c r="C241" s="8">
        <f>B241/100/12</f>
        <v/>
      </c>
      <c r="D241" s="8">
        <f>D240*(1+C241)</f>
        <v/>
      </c>
    </row>
    <row r="242">
      <c r="A242" s="8" t="inlineStr">
        <is>
          <t>1876-09-01</t>
        </is>
      </c>
      <c r="B242" s="6" t="n">
        <v>4.19</v>
      </c>
      <c r="C242" s="8">
        <f>B242/100/12</f>
        <v/>
      </c>
      <c r="D242" s="8">
        <f>D241*(1+C242)</f>
        <v/>
      </c>
    </row>
    <row r="243">
      <c r="A243" s="8" t="inlineStr">
        <is>
          <t>1876-10-01</t>
        </is>
      </c>
      <c r="B243" s="6" t="n">
        <v>5.11</v>
      </c>
      <c r="C243" s="8">
        <f>B243/100/12</f>
        <v/>
      </c>
      <c r="D243" s="8">
        <f>D242*(1+C243)</f>
        <v/>
      </c>
    </row>
    <row r="244">
      <c r="A244" s="8" t="inlineStr">
        <is>
          <t>1876-11-01</t>
        </is>
      </c>
      <c r="B244" s="6" t="n">
        <v>4.88</v>
      </c>
      <c r="C244" s="8">
        <f>B244/100/12</f>
        <v/>
      </c>
      <c r="D244" s="8">
        <f>D243*(1+C244)</f>
        <v/>
      </c>
    </row>
    <row r="245">
      <c r="A245" s="8" t="inlineStr">
        <is>
          <t>1876-12-01</t>
        </is>
      </c>
      <c r="B245" s="6" t="n">
        <v>5.32</v>
      </c>
      <c r="C245" s="8">
        <f>B245/100/12</f>
        <v/>
      </c>
      <c r="D245" s="8">
        <f>D244*(1+C245)</f>
        <v/>
      </c>
    </row>
    <row r="246">
      <c r="A246" s="8" t="inlineStr">
        <is>
          <t>1877-01-01</t>
        </is>
      </c>
      <c r="B246" s="6" t="n">
        <v>4.99</v>
      </c>
      <c r="C246" s="8">
        <f>B246/100/12</f>
        <v/>
      </c>
      <c r="D246" s="8">
        <f>D245*(1+C246)</f>
        <v/>
      </c>
    </row>
    <row r="247">
      <c r="A247" s="8" t="inlineStr">
        <is>
          <t>1877-02-01</t>
        </is>
      </c>
      <c r="B247" s="6" t="n">
        <v>3.94</v>
      </c>
      <c r="C247" s="8">
        <f>B247/100/12</f>
        <v/>
      </c>
      <c r="D247" s="8">
        <f>D246*(1+C247)</f>
        <v/>
      </c>
    </row>
    <row r="248">
      <c r="A248" s="8" t="inlineStr">
        <is>
          <t>1877-03-01</t>
        </is>
      </c>
      <c r="B248" s="6" t="n">
        <v>3.88</v>
      </c>
      <c r="C248" s="8">
        <f>B248/100/12</f>
        <v/>
      </c>
      <c r="D248" s="8">
        <f>D247*(1+C248)</f>
        <v/>
      </c>
    </row>
    <row r="249">
      <c r="A249" s="8" t="inlineStr">
        <is>
          <t>1877-04-01</t>
        </is>
      </c>
      <c r="B249" s="6" t="n">
        <v>3.82</v>
      </c>
      <c r="C249" s="8">
        <f>B249/100/12</f>
        <v/>
      </c>
      <c r="D249" s="8">
        <f>D248*(1+C249)</f>
        <v/>
      </c>
    </row>
    <row r="250">
      <c r="A250" s="8" t="inlineStr">
        <is>
          <t>1877-05-01</t>
        </is>
      </c>
      <c r="B250" s="6" t="n">
        <v>3.44</v>
      </c>
      <c r="C250" s="8">
        <f>B250/100/12</f>
        <v/>
      </c>
      <c r="D250" s="8">
        <f>D249*(1+C250)</f>
        <v/>
      </c>
    </row>
    <row r="251">
      <c r="A251" s="8" t="inlineStr">
        <is>
          <t>1877-06-01</t>
        </is>
      </c>
      <c r="B251" s="6" t="n">
        <v>3.5</v>
      </c>
      <c r="C251" s="8">
        <f>B251/100/12</f>
        <v/>
      </c>
      <c r="D251" s="8">
        <f>D250*(1+C251)</f>
        <v/>
      </c>
    </row>
    <row r="252">
      <c r="A252" s="8" t="inlineStr">
        <is>
          <t>1877-07-01</t>
        </is>
      </c>
      <c r="B252" s="6" t="n">
        <v>3.58</v>
      </c>
      <c r="C252" s="8">
        <f>B252/100/12</f>
        <v/>
      </c>
      <c r="D252" s="8">
        <f>D251*(1+C252)</f>
        <v/>
      </c>
    </row>
    <row r="253">
      <c r="A253" s="8" t="inlineStr">
        <is>
          <t>1877-08-01</t>
        </is>
      </c>
      <c r="B253" s="6" t="n">
        <v>5.08</v>
      </c>
      <c r="C253" s="8">
        <f>B253/100/12</f>
        <v/>
      </c>
      <c r="D253" s="8">
        <f>D252*(1+C253)</f>
        <v/>
      </c>
    </row>
    <row r="254">
      <c r="A254" s="8" t="inlineStr">
        <is>
          <t>1877-09-01</t>
        </is>
      </c>
      <c r="B254" s="6" t="n">
        <v>5.82</v>
      </c>
      <c r="C254" s="8">
        <f>B254/100/12</f>
        <v/>
      </c>
      <c r="D254" s="8">
        <f>D253*(1+C254)</f>
        <v/>
      </c>
    </row>
    <row r="255">
      <c r="A255" s="8" t="inlineStr">
        <is>
          <t>1877-10-01</t>
        </is>
      </c>
      <c r="B255" s="6" t="n">
        <v>6.69</v>
      </c>
      <c r="C255" s="8">
        <f>B255/100/12</f>
        <v/>
      </c>
      <c r="D255" s="8">
        <f>D254*(1+C255)</f>
        <v/>
      </c>
    </row>
    <row r="256">
      <c r="A256" s="8" t="inlineStr">
        <is>
          <t>1877-11-01</t>
        </is>
      </c>
      <c r="B256" s="6" t="n">
        <v>5.63</v>
      </c>
      <c r="C256" s="8">
        <f>B256/100/12</f>
        <v/>
      </c>
      <c r="D256" s="8">
        <f>D255*(1+C256)</f>
        <v/>
      </c>
    </row>
    <row r="257">
      <c r="A257" s="8" t="inlineStr">
        <is>
          <t>1877-12-01</t>
        </is>
      </c>
      <c r="B257" s="6" t="n">
        <v>5.06</v>
      </c>
      <c r="C257" s="8">
        <f>B257/100/12</f>
        <v/>
      </c>
      <c r="D257" s="8">
        <f>D256*(1+C257)</f>
        <v/>
      </c>
    </row>
    <row r="258">
      <c r="A258" s="8" t="inlineStr">
        <is>
          <t>1878-01-01</t>
        </is>
      </c>
      <c r="B258" s="6" t="n">
        <v>5.29</v>
      </c>
      <c r="C258" s="8">
        <f>B258/100/12</f>
        <v/>
      </c>
      <c r="D258" s="8">
        <f>D257*(1+C258)</f>
        <v/>
      </c>
    </row>
    <row r="259">
      <c r="A259" s="8" t="inlineStr">
        <is>
          <t>1878-02-01</t>
        </is>
      </c>
      <c r="B259" s="6" t="n">
        <v>4.75</v>
      </c>
      <c r="C259" s="8">
        <f>B259/100/12</f>
        <v/>
      </c>
      <c r="D259" s="8">
        <f>D258*(1+C259)</f>
        <v/>
      </c>
    </row>
    <row r="260">
      <c r="A260" s="8" t="inlineStr">
        <is>
          <t>1878-03-01</t>
        </is>
      </c>
      <c r="B260" s="6" t="n">
        <v>4.56</v>
      </c>
      <c r="C260" s="8">
        <f>B260/100/12</f>
        <v/>
      </c>
      <c r="D260" s="8">
        <f>D259*(1+C260)</f>
        <v/>
      </c>
    </row>
    <row r="261">
      <c r="A261" s="8" t="inlineStr">
        <is>
          <t>1878-04-01</t>
        </is>
      </c>
      <c r="B261" s="6" t="n">
        <v>4.8</v>
      </c>
      <c r="C261" s="8">
        <f>B261/100/12</f>
        <v/>
      </c>
      <c r="D261" s="8">
        <f>D260*(1+C261)</f>
        <v/>
      </c>
    </row>
    <row r="262">
      <c r="A262" s="8" t="inlineStr">
        <is>
          <t>1878-05-01</t>
        </is>
      </c>
      <c r="B262" s="6" t="n">
        <v>3.97</v>
      </c>
      <c r="C262" s="8">
        <f>B262/100/12</f>
        <v/>
      </c>
      <c r="D262" s="8">
        <f>D261*(1+C262)</f>
        <v/>
      </c>
    </row>
    <row r="263">
      <c r="A263" s="8" t="inlineStr">
        <is>
          <t>1878-06-01</t>
        </is>
      </c>
      <c r="B263" s="6" t="n">
        <v>3.25</v>
      </c>
      <c r="C263" s="8">
        <f>B263/100/12</f>
        <v/>
      </c>
      <c r="D263" s="8">
        <f>D262*(1+C263)</f>
        <v/>
      </c>
    </row>
    <row r="264">
      <c r="A264" s="8" t="inlineStr">
        <is>
          <t>1878-07-01</t>
        </is>
      </c>
      <c r="B264" s="6" t="n">
        <v>3.04</v>
      </c>
      <c r="C264" s="8">
        <f>B264/100/12</f>
        <v/>
      </c>
      <c r="D264" s="8">
        <f>D263*(1+C264)</f>
        <v/>
      </c>
    </row>
    <row r="265">
      <c r="A265" s="8" t="inlineStr">
        <is>
          <t>1878-08-01</t>
        </is>
      </c>
      <c r="B265" s="6" t="n">
        <v>3.25</v>
      </c>
      <c r="C265" s="8">
        <f>B265/100/12</f>
        <v/>
      </c>
      <c r="D265" s="8">
        <f>D264*(1+C265)</f>
        <v/>
      </c>
    </row>
    <row r="266">
      <c r="A266" s="8" t="inlineStr">
        <is>
          <t>1878-09-01</t>
        </is>
      </c>
      <c r="B266" s="6" t="n">
        <v>4.06</v>
      </c>
      <c r="C266" s="8">
        <f>B266/100/12</f>
        <v/>
      </c>
      <c r="D266" s="8">
        <f>D265*(1+C266)</f>
        <v/>
      </c>
    </row>
    <row r="267">
      <c r="A267" s="8" t="inlineStr">
        <is>
          <t>1878-10-01</t>
        </is>
      </c>
      <c r="B267" s="6" t="n">
        <v>4.89</v>
      </c>
      <c r="C267" s="8">
        <f>B267/100/12</f>
        <v/>
      </c>
      <c r="D267" s="8">
        <f>D266*(1+C267)</f>
        <v/>
      </c>
    </row>
    <row r="268">
      <c r="A268" s="8" t="inlineStr">
        <is>
          <t>1878-11-01</t>
        </is>
      </c>
      <c r="B268" s="6" t="n">
        <v>4.56</v>
      </c>
      <c r="C268" s="8">
        <f>B268/100/12</f>
        <v/>
      </c>
      <c r="D268" s="8">
        <f>D267*(1+C268)</f>
        <v/>
      </c>
    </row>
    <row r="269">
      <c r="A269" s="8" t="inlineStr">
        <is>
          <t>1878-12-01</t>
        </is>
      </c>
      <c r="B269" s="6" t="n">
        <v>4.5</v>
      </c>
      <c r="C269" s="8">
        <f>B269/100/12</f>
        <v/>
      </c>
      <c r="D269" s="8">
        <f>D268*(1+C269)</f>
        <v/>
      </c>
    </row>
    <row r="270">
      <c r="A270" s="8" t="inlineStr">
        <is>
          <t>1879-01-01</t>
        </is>
      </c>
      <c r="B270" s="6" t="n">
        <v>3.77</v>
      </c>
      <c r="C270" s="8">
        <f>B270/100/12</f>
        <v/>
      </c>
      <c r="D270" s="8">
        <f>D269*(1+C270)</f>
        <v/>
      </c>
    </row>
    <row r="271">
      <c r="A271" s="8" t="inlineStr">
        <is>
          <t>1879-02-01</t>
        </is>
      </c>
      <c r="B271" s="6" t="n">
        <v>3.25</v>
      </c>
      <c r="C271" s="8">
        <f>B271/100/12</f>
        <v/>
      </c>
      <c r="D271" s="8">
        <f>D270*(1+C271)</f>
        <v/>
      </c>
    </row>
    <row r="272">
      <c r="A272" s="8" t="inlineStr">
        <is>
          <t>1879-03-01</t>
        </is>
      </c>
      <c r="B272" s="6" t="n">
        <v>4.5</v>
      </c>
      <c r="C272" s="8">
        <f>B272/100/12</f>
        <v/>
      </c>
      <c r="D272" s="8">
        <f>D271*(1+C272)</f>
        <v/>
      </c>
    </row>
    <row r="273">
      <c r="A273" s="8" t="inlineStr">
        <is>
          <t>1879-04-01</t>
        </is>
      </c>
      <c r="B273" s="6" t="n">
        <v>4.89</v>
      </c>
      <c r="C273" s="8">
        <f>B273/100/12</f>
        <v/>
      </c>
      <c r="D273" s="8">
        <f>D272*(1+C273)</f>
        <v/>
      </c>
    </row>
    <row r="274">
      <c r="A274" s="8" t="inlineStr">
        <is>
          <t>1879-05-01</t>
        </is>
      </c>
      <c r="B274" s="6" t="n">
        <v>3.88</v>
      </c>
      <c r="C274" s="8">
        <f>B274/100/12</f>
        <v/>
      </c>
      <c r="D274" s="8">
        <f>D273*(1+C274)</f>
        <v/>
      </c>
    </row>
    <row r="275">
      <c r="A275" s="8" t="inlineStr">
        <is>
          <t>1879-06-01</t>
        </is>
      </c>
      <c r="B275" s="6" t="n">
        <v>3.69</v>
      </c>
      <c r="C275" s="8">
        <f>B275/100/12</f>
        <v/>
      </c>
      <c r="D275" s="8">
        <f>D274*(1+C275)</f>
        <v/>
      </c>
    </row>
    <row r="276">
      <c r="A276" s="8" t="inlineStr">
        <is>
          <t>1879-07-01</t>
        </is>
      </c>
      <c r="B276" s="6" t="n">
        <v>3.34</v>
      </c>
      <c r="C276" s="8">
        <f>B276/100/12</f>
        <v/>
      </c>
      <c r="D276" s="8">
        <f>D275*(1+C276)</f>
        <v/>
      </c>
    </row>
    <row r="277">
      <c r="A277" s="8" t="inlineStr">
        <is>
          <t>1879-08-01</t>
        </is>
      </c>
      <c r="B277" s="6" t="n">
        <v>5</v>
      </c>
      <c r="C277" s="8">
        <f>B277/100/12</f>
        <v/>
      </c>
      <c r="D277" s="8">
        <f>D276*(1+C277)</f>
        <v/>
      </c>
    </row>
    <row r="278">
      <c r="A278" s="8" t="inlineStr">
        <is>
          <t>1879-09-01</t>
        </is>
      </c>
      <c r="B278" s="6" t="n">
        <v>5.22</v>
      </c>
      <c r="C278" s="8">
        <f>B278/100/12</f>
        <v/>
      </c>
      <c r="D278" s="8">
        <f>D277*(1+C278)</f>
        <v/>
      </c>
    </row>
    <row r="279">
      <c r="A279" s="8" t="inlineStr">
        <is>
          <t>1879-10-01</t>
        </is>
      </c>
      <c r="B279" s="6" t="n">
        <v>5.38</v>
      </c>
      <c r="C279" s="8">
        <f>B279/100/12</f>
        <v/>
      </c>
      <c r="D279" s="8">
        <f>D278*(1+C279)</f>
        <v/>
      </c>
    </row>
    <row r="280">
      <c r="A280" s="8" t="inlineStr">
        <is>
          <t>1879-11-01</t>
        </is>
      </c>
      <c r="B280" s="6" t="n">
        <v>5.69</v>
      </c>
      <c r="C280" s="8">
        <f>B280/100/12</f>
        <v/>
      </c>
      <c r="D280" s="8">
        <f>D279*(1+C280)</f>
        <v/>
      </c>
    </row>
    <row r="281">
      <c r="A281" s="8" t="inlineStr">
        <is>
          <t>1879-12-01</t>
        </is>
      </c>
      <c r="B281" s="6" t="n">
        <v>5.39</v>
      </c>
      <c r="C281" s="8">
        <f>B281/100/12</f>
        <v/>
      </c>
      <c r="D281" s="8">
        <f>D280*(1+C281)</f>
        <v/>
      </c>
    </row>
    <row r="282">
      <c r="A282" s="8" t="inlineStr">
        <is>
          <t>1880-01-01</t>
        </is>
      </c>
      <c r="B282" s="6" t="n">
        <v>4.82</v>
      </c>
      <c r="C282" s="8">
        <f>B282/100/12</f>
        <v/>
      </c>
      <c r="D282" s="8">
        <f>D281*(1+C282)</f>
        <v/>
      </c>
    </row>
    <row r="283">
      <c r="A283" s="8" t="inlineStr">
        <is>
          <t>1880-02-01</t>
        </is>
      </c>
      <c r="B283" s="6" t="n">
        <v>4.75</v>
      </c>
      <c r="C283" s="8">
        <f>B283/100/12</f>
        <v/>
      </c>
      <c r="D283" s="8">
        <f>D282*(1+C283)</f>
        <v/>
      </c>
    </row>
    <row r="284">
      <c r="A284" s="8" t="inlineStr">
        <is>
          <t>1880-03-01</t>
        </is>
      </c>
      <c r="B284" s="6" t="n">
        <v>4.94</v>
      </c>
      <c r="C284" s="8">
        <f>B284/100/12</f>
        <v/>
      </c>
      <c r="D284" s="8">
        <f>D283*(1+C284)</f>
        <v/>
      </c>
    </row>
    <row r="285">
      <c r="A285" s="8" t="inlineStr">
        <is>
          <t>1880-04-01</t>
        </is>
      </c>
      <c r="B285" s="6" t="n">
        <v>4.94</v>
      </c>
      <c r="C285" s="8">
        <f>B285/100/12</f>
        <v/>
      </c>
      <c r="D285" s="8">
        <f>D284*(1+C285)</f>
        <v/>
      </c>
    </row>
    <row r="286">
      <c r="A286" s="8" t="inlineStr">
        <is>
          <t>1880-05-01</t>
        </is>
      </c>
      <c r="B286" s="6" t="n">
        <v>4.63</v>
      </c>
      <c r="C286" s="8">
        <f>B286/100/12</f>
        <v/>
      </c>
      <c r="D286" s="8">
        <f>D285*(1+C286)</f>
        <v/>
      </c>
    </row>
    <row r="287">
      <c r="A287" s="8" t="inlineStr">
        <is>
          <t>1880-06-01</t>
        </is>
      </c>
      <c r="B287" s="6" t="n">
        <v>3.99</v>
      </c>
      <c r="C287" s="8">
        <f>B287/100/12</f>
        <v/>
      </c>
      <c r="D287" s="8">
        <f>D286*(1+C287)</f>
        <v/>
      </c>
    </row>
    <row r="288">
      <c r="A288" s="8" t="inlineStr">
        <is>
          <t>1880-07-01</t>
        </is>
      </c>
      <c r="B288" s="6" t="n">
        <v>3.88</v>
      </c>
      <c r="C288" s="8">
        <f>B288/100/12</f>
        <v/>
      </c>
      <c r="D288" s="8">
        <f>D287*(1+C288)</f>
        <v/>
      </c>
    </row>
    <row r="289">
      <c r="A289" s="8" t="inlineStr">
        <is>
          <t>1880-08-01</t>
        </is>
      </c>
      <c r="B289" s="6" t="n">
        <v>4.47</v>
      </c>
      <c r="C289" s="8">
        <f>B289/100/12</f>
        <v/>
      </c>
      <c r="D289" s="8">
        <f>D288*(1+C289)</f>
        <v/>
      </c>
    </row>
    <row r="290">
      <c r="A290" s="8" t="inlineStr">
        <is>
          <t>1880-09-01</t>
        </is>
      </c>
      <c r="B290" s="6" t="n">
        <v>4.69</v>
      </c>
      <c r="C290" s="8">
        <f>B290/100/12</f>
        <v/>
      </c>
      <c r="D290" s="8">
        <f>D289*(1+C290)</f>
        <v/>
      </c>
    </row>
    <row r="291">
      <c r="A291" s="8" t="inlineStr">
        <is>
          <t>1880-10-01</t>
        </is>
      </c>
      <c r="B291" s="6" t="n">
        <v>4.56</v>
      </c>
      <c r="C291" s="8">
        <f>B291/100/12</f>
        <v/>
      </c>
      <c r="D291" s="8">
        <f>D290*(1+C291)</f>
        <v/>
      </c>
    </row>
    <row r="292">
      <c r="A292" s="8" t="inlineStr">
        <is>
          <t>1880-11-01</t>
        </is>
      </c>
      <c r="B292" s="6" t="n">
        <v>4.88</v>
      </c>
      <c r="C292" s="8">
        <f>B292/100/12</f>
        <v/>
      </c>
      <c r="D292" s="8">
        <f>D291*(1+C292)</f>
        <v/>
      </c>
    </row>
    <row r="293">
      <c r="A293" s="8" t="inlineStr">
        <is>
          <t>1880-12-01</t>
        </is>
      </c>
      <c r="B293" s="6" t="n">
        <v>5.44</v>
      </c>
      <c r="C293" s="8">
        <f>B293/100/12</f>
        <v/>
      </c>
      <c r="D293" s="8">
        <f>D292*(1+C293)</f>
        <v/>
      </c>
    </row>
    <row r="294">
      <c r="A294" s="8" t="inlineStr">
        <is>
          <t>1881-01-01</t>
        </is>
      </c>
      <c r="B294" s="6" t="n">
        <v>4.69</v>
      </c>
      <c r="C294" s="8">
        <f>B294/100/12</f>
        <v/>
      </c>
      <c r="D294" s="8">
        <f>D293*(1+C294)</f>
        <v/>
      </c>
    </row>
    <row r="295">
      <c r="A295" s="8" t="inlineStr">
        <is>
          <t>1881-02-01</t>
        </is>
      </c>
      <c r="B295" s="6" t="n">
        <v>4.82</v>
      </c>
      <c r="C295" s="8">
        <f>B295/100/12</f>
        <v/>
      </c>
      <c r="D295" s="8">
        <f>D294*(1+C295)</f>
        <v/>
      </c>
    </row>
    <row r="296">
      <c r="A296" s="8" t="inlineStr">
        <is>
          <t>1881-03-01</t>
        </is>
      </c>
      <c r="B296" s="6" t="n">
        <v>4.99</v>
      </c>
      <c r="C296" s="8">
        <f>B296/100/12</f>
        <v/>
      </c>
      <c r="D296" s="8">
        <f>D295*(1+C296)</f>
        <v/>
      </c>
    </row>
    <row r="297">
      <c r="A297" s="8" t="inlineStr">
        <is>
          <t>1881-04-01</t>
        </is>
      </c>
      <c r="B297" s="6" t="n">
        <v>4.63</v>
      </c>
      <c r="C297" s="8">
        <f>B297/100/12</f>
        <v/>
      </c>
      <c r="D297" s="8">
        <f>D296*(1+C297)</f>
        <v/>
      </c>
    </row>
    <row r="298">
      <c r="A298" s="8" t="inlineStr">
        <is>
          <t>1881-05-01</t>
        </is>
      </c>
      <c r="B298" s="6" t="n">
        <v>3.5</v>
      </c>
      <c r="C298" s="8">
        <f>B298/100/12</f>
        <v/>
      </c>
      <c r="D298" s="8">
        <f>D297*(1+C298)</f>
        <v/>
      </c>
    </row>
    <row r="299">
      <c r="A299" s="8" t="inlineStr">
        <is>
          <t>1881-06-01</t>
        </is>
      </c>
      <c r="B299" s="6" t="n">
        <v>2.94</v>
      </c>
      <c r="C299" s="8">
        <f>B299/100/12</f>
        <v/>
      </c>
      <c r="D299" s="8">
        <f>D298*(1+C299)</f>
        <v/>
      </c>
    </row>
    <row r="300">
      <c r="A300" s="8" t="inlineStr">
        <is>
          <t>1881-07-01</t>
        </is>
      </c>
      <c r="B300" s="6" t="n">
        <v>3.44</v>
      </c>
      <c r="C300" s="8">
        <f>B300/100/12</f>
        <v/>
      </c>
      <c r="D300" s="8">
        <f>D299*(1+C300)</f>
        <v/>
      </c>
    </row>
    <row r="301">
      <c r="A301" s="8" t="inlineStr">
        <is>
          <t>1881-08-01</t>
        </is>
      </c>
      <c r="B301" s="6" t="n">
        <v>4.39</v>
      </c>
      <c r="C301" s="8">
        <f>B301/100/12</f>
        <v/>
      </c>
      <c r="D301" s="8">
        <f>D300*(1+C301)</f>
        <v/>
      </c>
    </row>
    <row r="302">
      <c r="A302" s="8" t="inlineStr">
        <is>
          <t>1881-09-01</t>
        </is>
      </c>
      <c r="B302" s="6" t="n">
        <v>5.13</v>
      </c>
      <c r="C302" s="8">
        <f>B302/100/12</f>
        <v/>
      </c>
      <c r="D302" s="8">
        <f>D301*(1+C302)</f>
        <v/>
      </c>
    </row>
    <row r="303">
      <c r="A303" s="8" t="inlineStr">
        <is>
          <t>1881-10-01</t>
        </is>
      </c>
      <c r="B303" s="6" t="n">
        <v>5.69</v>
      </c>
      <c r="C303" s="8">
        <f>B303/100/12</f>
        <v/>
      </c>
      <c r="D303" s="8">
        <f>D302*(1+C303)</f>
        <v/>
      </c>
    </row>
    <row r="304">
      <c r="A304" s="8" t="inlineStr">
        <is>
          <t>1881-11-01</t>
        </is>
      </c>
      <c r="B304" s="6" t="n">
        <v>5.74</v>
      </c>
      <c r="C304" s="8">
        <f>B304/100/12</f>
        <v/>
      </c>
      <c r="D304" s="8">
        <f>D303*(1+C304)</f>
        <v/>
      </c>
    </row>
    <row r="305">
      <c r="A305" s="8" t="inlineStr">
        <is>
          <t>1881-12-01</t>
        </is>
      </c>
      <c r="B305" s="6" t="n">
        <v>5.69</v>
      </c>
      <c r="C305" s="8">
        <f>B305/100/12</f>
        <v/>
      </c>
      <c r="D305" s="8">
        <f>D304*(1+C305)</f>
        <v/>
      </c>
    </row>
    <row r="306">
      <c r="A306" s="8" t="inlineStr">
        <is>
          <t>1882-01-01</t>
        </is>
      </c>
      <c r="B306" s="6" t="n">
        <v>4.94</v>
      </c>
      <c r="C306" s="8">
        <f>B306/100/12</f>
        <v/>
      </c>
      <c r="D306" s="8">
        <f>D305*(1+C306)</f>
        <v/>
      </c>
    </row>
    <row r="307">
      <c r="A307" s="8" t="inlineStr">
        <is>
          <t>1882-02-01</t>
        </is>
      </c>
      <c r="B307" s="6" t="n">
        <v>4.91</v>
      </c>
      <c r="C307" s="8">
        <f>B307/100/12</f>
        <v/>
      </c>
      <c r="D307" s="8">
        <f>D306*(1+C307)</f>
        <v/>
      </c>
    </row>
    <row r="308">
      <c r="A308" s="8" t="inlineStr">
        <is>
          <t>1882-03-01</t>
        </is>
      </c>
      <c r="B308" s="6" t="n">
        <v>5.08</v>
      </c>
      <c r="C308" s="8">
        <f>B308/100/12</f>
        <v/>
      </c>
      <c r="D308" s="8">
        <f>D307*(1+C308)</f>
        <v/>
      </c>
    </row>
    <row r="309">
      <c r="A309" s="8" t="inlineStr">
        <is>
          <t>1882-04-01</t>
        </is>
      </c>
      <c r="B309" s="6" t="n">
        <v>4.5</v>
      </c>
      <c r="C309" s="8">
        <f>B309/100/12</f>
        <v/>
      </c>
      <c r="D309" s="8">
        <f>D308*(1+C309)</f>
        <v/>
      </c>
    </row>
    <row r="310">
      <c r="A310" s="8" t="inlineStr">
        <is>
          <t>1882-05-01</t>
        </is>
      </c>
      <c r="B310" s="6" t="n">
        <v>4.29</v>
      </c>
      <c r="C310" s="8">
        <f>B310/100/12</f>
        <v/>
      </c>
      <c r="D310" s="8">
        <f>D309*(1+C310)</f>
        <v/>
      </c>
    </row>
    <row r="311">
      <c r="A311" s="8" t="inlineStr">
        <is>
          <t>1882-06-01</t>
        </is>
      </c>
      <c r="B311" s="6" t="n">
        <v>4.56</v>
      </c>
      <c r="C311" s="8">
        <f>B311/100/12</f>
        <v/>
      </c>
      <c r="D311" s="8">
        <f>D310*(1+C311)</f>
        <v/>
      </c>
    </row>
    <row r="312">
      <c r="A312" s="8" t="inlineStr">
        <is>
          <t>1882-07-01</t>
        </is>
      </c>
      <c r="B312" s="6" t="n">
        <v>4.06</v>
      </c>
      <c r="C312" s="8">
        <f>B312/100/12</f>
        <v/>
      </c>
      <c r="D312" s="8">
        <f>D311*(1+C312)</f>
        <v/>
      </c>
    </row>
    <row r="313">
      <c r="A313" s="8" t="inlineStr">
        <is>
          <t>1882-08-01</t>
        </is>
      </c>
      <c r="B313" s="6" t="n">
        <v>5.09</v>
      </c>
      <c r="C313" s="8">
        <f>B313/100/12</f>
        <v/>
      </c>
      <c r="D313" s="8">
        <f>D312*(1+C313)</f>
        <v/>
      </c>
    </row>
    <row r="314">
      <c r="A314" s="8" t="inlineStr">
        <is>
          <t>1882-09-01</t>
        </is>
      </c>
      <c r="B314" s="6" t="n">
        <v>6.19</v>
      </c>
      <c r="C314" s="8">
        <f>B314/100/12</f>
        <v/>
      </c>
      <c r="D314" s="8">
        <f>D313*(1+C314)</f>
        <v/>
      </c>
    </row>
    <row r="315">
      <c r="A315" s="8" t="inlineStr">
        <is>
          <t>1882-10-01</t>
        </is>
      </c>
      <c r="B315" s="6" t="n">
        <v>6.11</v>
      </c>
      <c r="C315" s="8">
        <f>B315/100/12</f>
        <v/>
      </c>
      <c r="D315" s="8">
        <f>D314*(1+C315)</f>
        <v/>
      </c>
    </row>
    <row r="316">
      <c r="A316" s="8" t="inlineStr">
        <is>
          <t>1882-11-01</t>
        </is>
      </c>
      <c r="B316" s="6" t="n">
        <v>5.94</v>
      </c>
      <c r="C316" s="8">
        <f>B316/100/12</f>
        <v/>
      </c>
      <c r="D316" s="8">
        <f>D315*(1+C316)</f>
        <v/>
      </c>
    </row>
    <row r="317">
      <c r="A317" s="8" t="inlineStr">
        <is>
          <t>1882-12-01</t>
        </is>
      </c>
      <c r="B317" s="6" t="n">
        <v>5.32</v>
      </c>
      <c r="C317" s="8">
        <f>B317/100/12</f>
        <v/>
      </c>
      <c r="D317" s="8">
        <f>D316*(1+C317)</f>
        <v/>
      </c>
    </row>
    <row r="318">
      <c r="A318" s="8" t="inlineStr">
        <is>
          <t>1883-01-01</t>
        </is>
      </c>
      <c r="B318" s="6" t="n">
        <v>4.94</v>
      </c>
      <c r="C318" s="8">
        <f>B318/100/12</f>
        <v/>
      </c>
      <c r="D318" s="8">
        <f>D317*(1+C318)</f>
        <v/>
      </c>
    </row>
    <row r="319">
      <c r="A319" s="8" t="inlineStr">
        <is>
          <t>1883-02-01</t>
        </is>
      </c>
      <c r="B319" s="6" t="n">
        <v>4.82</v>
      </c>
      <c r="C319" s="8">
        <f>B319/100/12</f>
        <v/>
      </c>
      <c r="D319" s="8">
        <f>D318*(1+C319)</f>
        <v/>
      </c>
    </row>
    <row r="320">
      <c r="A320" s="8" t="inlineStr">
        <is>
          <t>1883-03-01</t>
        </is>
      </c>
      <c r="B320" s="6" t="n">
        <v>5.82</v>
      </c>
      <c r="C320" s="8">
        <f>B320/100/12</f>
        <v/>
      </c>
      <c r="D320" s="8">
        <f>D319*(1+C320)</f>
        <v/>
      </c>
    </row>
    <row r="321">
      <c r="A321" s="8" t="inlineStr">
        <is>
          <t>1883-04-01</t>
        </is>
      </c>
      <c r="B321" s="6" t="n">
        <v>5.25</v>
      </c>
      <c r="C321" s="8">
        <f>B321/100/12</f>
        <v/>
      </c>
      <c r="D321" s="8">
        <f>D320*(1+C321)</f>
        <v/>
      </c>
    </row>
    <row r="322">
      <c r="A322" s="8" t="inlineStr">
        <is>
          <t>1883-05-01</t>
        </is>
      </c>
      <c r="B322" s="6" t="n">
        <v>4.79</v>
      </c>
      <c r="C322" s="8">
        <f>B322/100/12</f>
        <v/>
      </c>
      <c r="D322" s="8">
        <f>D321*(1+C322)</f>
        <v/>
      </c>
    </row>
    <row r="323">
      <c r="A323" s="8" t="inlineStr">
        <is>
          <t>1883-06-01</t>
        </is>
      </c>
      <c r="B323" s="6" t="n">
        <v>4.94</v>
      </c>
      <c r="C323" s="8">
        <f>B323/100/12</f>
        <v/>
      </c>
      <c r="D323" s="8">
        <f>D322*(1+C323)</f>
        <v/>
      </c>
    </row>
    <row r="324">
      <c r="A324" s="8" t="inlineStr">
        <is>
          <t>1883-07-01</t>
        </is>
      </c>
      <c r="B324" s="6" t="n">
        <v>4.22</v>
      </c>
      <c r="C324" s="8">
        <f>B324/100/12</f>
        <v/>
      </c>
      <c r="D324" s="8">
        <f>D323*(1+C324)</f>
        <v/>
      </c>
    </row>
    <row r="325">
      <c r="A325" s="8" t="inlineStr">
        <is>
          <t>1883-08-01</t>
        </is>
      </c>
      <c r="B325" s="6" t="n">
        <v>5.05</v>
      </c>
      <c r="C325" s="8">
        <f>B325/100/12</f>
        <v/>
      </c>
      <c r="D325" s="8">
        <f>D324*(1+C325)</f>
        <v/>
      </c>
    </row>
    <row r="326">
      <c r="A326" s="8" t="inlineStr">
        <is>
          <t>1883-09-01</t>
        </is>
      </c>
      <c r="B326" s="6" t="n">
        <v>5.44</v>
      </c>
      <c r="C326" s="8">
        <f>B326/100/12</f>
        <v/>
      </c>
      <c r="D326" s="8">
        <f>D325*(1+C326)</f>
        <v/>
      </c>
    </row>
    <row r="327">
      <c r="A327" s="8" t="inlineStr">
        <is>
          <t>1883-10-01</t>
        </is>
      </c>
      <c r="B327" s="6" t="n">
        <v>5.44</v>
      </c>
      <c r="C327" s="8">
        <f>B327/100/12</f>
        <v/>
      </c>
      <c r="D327" s="8">
        <f>D326*(1+C327)</f>
        <v/>
      </c>
    </row>
    <row r="328">
      <c r="A328" s="8" t="inlineStr">
        <is>
          <t>1883-11-01</t>
        </is>
      </c>
      <c r="B328" s="6" t="n">
        <v>5.13</v>
      </c>
      <c r="C328" s="8">
        <f>B328/100/12</f>
        <v/>
      </c>
      <c r="D328" s="8">
        <f>D327*(1+C328)</f>
        <v/>
      </c>
    </row>
    <row r="329">
      <c r="A329" s="8" t="inlineStr">
        <is>
          <t>1883-12-01</t>
        </is>
      </c>
      <c r="B329" s="6" t="n">
        <v>4.94</v>
      </c>
      <c r="C329" s="8">
        <f>B329/100/12</f>
        <v/>
      </c>
      <c r="D329" s="8">
        <f>D328*(1+C329)</f>
        <v/>
      </c>
    </row>
    <row r="330">
      <c r="A330" s="8" t="inlineStr">
        <is>
          <t>1884-01-01</t>
        </is>
      </c>
      <c r="B330" s="6" t="n">
        <v>4.33</v>
      </c>
      <c r="C330" s="8">
        <f>B330/100/12</f>
        <v/>
      </c>
      <c r="D330" s="8">
        <f>D329*(1+C330)</f>
        <v/>
      </c>
    </row>
    <row r="331">
      <c r="A331" s="8" t="inlineStr">
        <is>
          <t>1884-02-01</t>
        </is>
      </c>
      <c r="B331" s="6" t="n">
        <v>4.19</v>
      </c>
      <c r="C331" s="8">
        <f>B331/100/12</f>
        <v/>
      </c>
      <c r="D331" s="8">
        <f>D330*(1+C331)</f>
        <v/>
      </c>
    </row>
    <row r="332">
      <c r="A332" s="8" t="inlineStr">
        <is>
          <t>1884-03-01</t>
        </is>
      </c>
      <c r="B332" s="6" t="n">
        <v>4.06</v>
      </c>
      <c r="C332" s="8">
        <f>B332/100/12</f>
        <v/>
      </c>
      <c r="D332" s="8">
        <f>D331*(1+C332)</f>
        <v/>
      </c>
    </row>
    <row r="333">
      <c r="A333" s="8" t="inlineStr">
        <is>
          <t>1884-04-01</t>
        </is>
      </c>
      <c r="B333" s="6" t="n">
        <v>4.16</v>
      </c>
      <c r="C333" s="8">
        <f>B333/100/12</f>
        <v/>
      </c>
      <c r="D333" s="8">
        <f>D332*(1+C333)</f>
        <v/>
      </c>
    </row>
    <row r="334">
      <c r="A334" s="8" t="inlineStr">
        <is>
          <t>1884-05-01</t>
        </is>
      </c>
      <c r="B334" s="6" t="n">
        <v>4.5</v>
      </c>
      <c r="C334" s="8">
        <f>B334/100/12</f>
        <v/>
      </c>
      <c r="D334" s="8">
        <f>D333*(1+C334)</f>
        <v/>
      </c>
    </row>
    <row r="335">
      <c r="A335" s="8" t="inlineStr">
        <is>
          <t>1884-06-01</t>
        </is>
      </c>
      <c r="B335" s="6" t="n">
        <v>5.19</v>
      </c>
      <c r="C335" s="8">
        <f>B335/100/12</f>
        <v/>
      </c>
      <c r="D335" s="8">
        <f>D334*(1+C335)</f>
        <v/>
      </c>
    </row>
    <row r="336">
      <c r="A336" s="8" t="inlineStr">
        <is>
          <t>1884-07-01</t>
        </is>
      </c>
      <c r="B336" s="6" t="n">
        <v>5.39</v>
      </c>
      <c r="C336" s="8">
        <f>B336/100/12</f>
        <v/>
      </c>
      <c r="D336" s="8">
        <f>D335*(1+C336)</f>
        <v/>
      </c>
    </row>
    <row r="337">
      <c r="A337" s="8" t="inlineStr">
        <is>
          <t>1884-08-01</t>
        </is>
      </c>
      <c r="B337" s="6" t="n">
        <v>4.94</v>
      </c>
      <c r="C337" s="8">
        <f>B337/100/12</f>
        <v/>
      </c>
      <c r="D337" s="8">
        <f>D336*(1+C337)</f>
        <v/>
      </c>
    </row>
    <row r="338">
      <c r="A338" s="8" t="inlineStr">
        <is>
          <t>1884-09-01</t>
        </is>
      </c>
      <c r="B338" s="6" t="n">
        <v>4.94</v>
      </c>
      <c r="C338" s="8">
        <f>B338/100/12</f>
        <v/>
      </c>
      <c r="D338" s="8">
        <f>D337*(1+C338)</f>
        <v/>
      </c>
    </row>
    <row r="339">
      <c r="A339" s="8" t="inlineStr">
        <is>
          <t>1884-10-01</t>
        </is>
      </c>
      <c r="B339" s="6" t="n">
        <v>4.94</v>
      </c>
      <c r="C339" s="8">
        <f>B339/100/12</f>
        <v/>
      </c>
      <c r="D339" s="8">
        <f>D338*(1+C339)</f>
        <v/>
      </c>
    </row>
    <row r="340">
      <c r="A340" s="8" t="inlineStr">
        <is>
          <t>1884-11-01</t>
        </is>
      </c>
      <c r="B340" s="6" t="n">
        <v>4.63</v>
      </c>
      <c r="C340" s="8">
        <f>B340/100/12</f>
        <v/>
      </c>
      <c r="D340" s="8">
        <f>D339*(1+C340)</f>
        <v/>
      </c>
    </row>
    <row r="341">
      <c r="A341" s="8" t="inlineStr">
        <is>
          <t>1884-12-01</t>
        </is>
      </c>
      <c r="B341" s="6" t="n">
        <v>4.44</v>
      </c>
      <c r="C341" s="8">
        <f>B341/100/12</f>
        <v/>
      </c>
      <c r="D341" s="8">
        <f>D340*(1+C341)</f>
        <v/>
      </c>
    </row>
    <row r="342">
      <c r="A342" s="8" t="inlineStr">
        <is>
          <t>1885-01-01</t>
        </is>
      </c>
      <c r="B342" s="6" t="n">
        <v>4.13</v>
      </c>
      <c r="C342" s="8">
        <f>B342/100/12</f>
        <v/>
      </c>
      <c r="D342" s="8">
        <f>D341*(1+C342)</f>
        <v/>
      </c>
    </row>
    <row r="343">
      <c r="A343" s="8" t="inlineStr">
        <is>
          <t>1885-02-01</t>
        </is>
      </c>
      <c r="B343" s="6" t="n">
        <v>3.94</v>
      </c>
      <c r="C343" s="8">
        <f>B343/100/12</f>
        <v/>
      </c>
      <c r="D343" s="8">
        <f>D342*(1+C343)</f>
        <v/>
      </c>
    </row>
    <row r="344">
      <c r="A344" s="8" t="inlineStr">
        <is>
          <t>1885-03-01</t>
        </is>
      </c>
      <c r="B344" s="6" t="n">
        <v>3.91</v>
      </c>
      <c r="C344" s="8">
        <f>B344/100/12</f>
        <v/>
      </c>
      <c r="D344" s="8">
        <f>D343*(1+C344)</f>
        <v/>
      </c>
    </row>
    <row r="345">
      <c r="A345" s="8" t="inlineStr">
        <is>
          <t>1885-04-01</t>
        </is>
      </c>
      <c r="B345" s="6" t="n">
        <v>3.41</v>
      </c>
      <c r="C345" s="8">
        <f>B345/100/12</f>
        <v/>
      </c>
      <c r="D345" s="8">
        <f>D344*(1+C345)</f>
        <v/>
      </c>
    </row>
    <row r="346">
      <c r="A346" s="8" t="inlineStr">
        <is>
          <t>1885-05-01</t>
        </is>
      </c>
      <c r="B346" s="6" t="n">
        <v>3.12</v>
      </c>
      <c r="C346" s="8">
        <f>B346/100/12</f>
        <v/>
      </c>
      <c r="D346" s="8">
        <f>D345*(1+C346)</f>
        <v/>
      </c>
    </row>
    <row r="347">
      <c r="A347" s="8" t="inlineStr">
        <is>
          <t>1885-06-01</t>
        </is>
      </c>
      <c r="B347" s="6" t="n">
        <v>2.99</v>
      </c>
      <c r="C347" s="8">
        <f>B347/100/12</f>
        <v/>
      </c>
      <c r="D347" s="8">
        <f>D346*(1+C347)</f>
        <v/>
      </c>
    </row>
    <row r="348">
      <c r="A348" s="8" t="inlineStr">
        <is>
          <t>1885-07-01</t>
        </is>
      </c>
      <c r="B348" s="6" t="n">
        <v>2.94</v>
      </c>
      <c r="C348" s="8">
        <f>B348/100/12</f>
        <v/>
      </c>
      <c r="D348" s="8">
        <f>D347*(1+C348)</f>
        <v/>
      </c>
    </row>
    <row r="349">
      <c r="A349" s="8" t="inlineStr">
        <is>
          <t>1885-08-01</t>
        </is>
      </c>
      <c r="B349" s="6" t="n">
        <v>3.12</v>
      </c>
      <c r="C349" s="8">
        <f>B349/100/12</f>
        <v/>
      </c>
      <c r="D349" s="8">
        <f>D348*(1+C349)</f>
        <v/>
      </c>
    </row>
    <row r="350">
      <c r="A350" s="8" t="inlineStr">
        <is>
          <t>1885-09-01</t>
        </is>
      </c>
      <c r="B350" s="6" t="n">
        <v>3.19</v>
      </c>
      <c r="C350" s="8">
        <f>B350/100/12</f>
        <v/>
      </c>
      <c r="D350" s="8">
        <f>D349*(1+C350)</f>
        <v/>
      </c>
    </row>
    <row r="351">
      <c r="A351" s="8" t="inlineStr">
        <is>
          <t>1885-10-01</t>
        </is>
      </c>
      <c r="B351" s="6" t="n">
        <v>3.44</v>
      </c>
      <c r="C351" s="8">
        <f>B351/100/12</f>
        <v/>
      </c>
      <c r="D351" s="8">
        <f>D350*(1+C351)</f>
        <v/>
      </c>
    </row>
    <row r="352">
      <c r="A352" s="8" t="inlineStr">
        <is>
          <t>1885-11-01</t>
        </is>
      </c>
      <c r="B352" s="6" t="n">
        <v>3.88</v>
      </c>
      <c r="C352" s="8">
        <f>B352/100/12</f>
        <v/>
      </c>
      <c r="D352" s="8">
        <f>D351*(1+C352)</f>
        <v/>
      </c>
    </row>
    <row r="353">
      <c r="A353" s="8" t="inlineStr">
        <is>
          <t>1885-12-01</t>
        </is>
      </c>
      <c r="B353" s="6" t="n">
        <v>3.94</v>
      </c>
      <c r="C353" s="8">
        <f>B353/100/12</f>
        <v/>
      </c>
      <c r="D353" s="8">
        <f>D352*(1+C353)</f>
        <v/>
      </c>
    </row>
    <row r="354">
      <c r="A354" s="8" t="inlineStr">
        <is>
          <t>1886-01-01</t>
        </is>
      </c>
      <c r="B354" s="6" t="n">
        <v>3.75</v>
      </c>
      <c r="C354" s="8">
        <f>B354/100/12</f>
        <v/>
      </c>
      <c r="D354" s="8">
        <f>D353*(1+C354)</f>
        <v/>
      </c>
    </row>
    <row r="355">
      <c r="A355" s="8" t="inlineStr">
        <is>
          <t>1886-02-01</t>
        </is>
      </c>
      <c r="B355" s="6" t="n">
        <v>3.34</v>
      </c>
      <c r="C355" s="8">
        <f>B355/100/12</f>
        <v/>
      </c>
      <c r="D355" s="8">
        <f>D354*(1+C355)</f>
        <v/>
      </c>
    </row>
    <row r="356">
      <c r="A356" s="8" t="inlineStr">
        <is>
          <t>1886-03-01</t>
        </is>
      </c>
      <c r="B356" s="6" t="n">
        <v>3.31</v>
      </c>
      <c r="C356" s="8">
        <f>B356/100/12</f>
        <v/>
      </c>
      <c r="D356" s="8">
        <f>D355*(1+C356)</f>
        <v/>
      </c>
    </row>
    <row r="357">
      <c r="A357" s="8" t="inlineStr">
        <is>
          <t>1886-04-01</t>
        </is>
      </c>
      <c r="B357" s="6" t="n">
        <v>3.69</v>
      </c>
      <c r="C357" s="8">
        <f>B357/100/12</f>
        <v/>
      </c>
      <c r="D357" s="8">
        <f>D356*(1+C357)</f>
        <v/>
      </c>
    </row>
    <row r="358">
      <c r="A358" s="8" t="inlineStr">
        <is>
          <t>1886-05-01</t>
        </is>
      </c>
      <c r="B358" s="6" t="n">
        <v>3.5</v>
      </c>
      <c r="C358" s="8">
        <f>B358/100/12</f>
        <v/>
      </c>
      <c r="D358" s="8">
        <f>D357*(1+C358)</f>
        <v/>
      </c>
    </row>
    <row r="359">
      <c r="A359" s="8" t="inlineStr">
        <is>
          <t>1886-06-01</t>
        </is>
      </c>
      <c r="B359" s="6" t="n">
        <v>3.29</v>
      </c>
      <c r="C359" s="8">
        <f>B359/100/12</f>
        <v/>
      </c>
      <c r="D359" s="8">
        <f>D358*(1+C359)</f>
        <v/>
      </c>
    </row>
    <row r="360">
      <c r="A360" s="8" t="inlineStr">
        <is>
          <t>1886-07-01</t>
        </is>
      </c>
      <c r="B360" s="6" t="n">
        <v>3.38</v>
      </c>
      <c r="C360" s="8">
        <f>B360/100/12</f>
        <v/>
      </c>
      <c r="D360" s="8">
        <f>D359*(1+C360)</f>
        <v/>
      </c>
    </row>
    <row r="361">
      <c r="A361" s="8" t="inlineStr">
        <is>
          <t>1886-08-01</t>
        </is>
      </c>
      <c r="B361" s="6" t="n">
        <v>4.63</v>
      </c>
      <c r="C361" s="8">
        <f>B361/100/12</f>
        <v/>
      </c>
      <c r="D361" s="8">
        <f>D360*(1+C361)</f>
        <v/>
      </c>
    </row>
    <row r="362">
      <c r="A362" s="8" t="inlineStr">
        <is>
          <t>1886-09-01</t>
        </is>
      </c>
      <c r="B362" s="6" t="n">
        <v>5.25</v>
      </c>
      <c r="C362" s="8">
        <f>B362/100/12</f>
        <v/>
      </c>
      <c r="D362" s="8">
        <f>D361*(1+C362)</f>
        <v/>
      </c>
    </row>
    <row r="363">
      <c r="A363" s="8" t="inlineStr">
        <is>
          <t>1886-10-01</t>
        </is>
      </c>
      <c r="B363" s="6" t="n">
        <v>5.5</v>
      </c>
      <c r="C363" s="8">
        <f>B363/100/12</f>
        <v/>
      </c>
      <c r="D363" s="8">
        <f>D362*(1+C363)</f>
        <v/>
      </c>
    </row>
    <row r="364">
      <c r="A364" s="8" t="inlineStr">
        <is>
          <t>1886-11-01</t>
        </is>
      </c>
      <c r="B364" s="6" t="n">
        <v>5.36</v>
      </c>
      <c r="C364" s="8">
        <f>B364/100/12</f>
        <v/>
      </c>
      <c r="D364" s="8">
        <f>D363*(1+C364)</f>
        <v/>
      </c>
    </row>
    <row r="365">
      <c r="A365" s="8" t="inlineStr">
        <is>
          <t>1886-12-01</t>
        </is>
      </c>
      <c r="B365" s="6" t="n">
        <v>5.41</v>
      </c>
      <c r="C365" s="8">
        <f>B365/100/12</f>
        <v/>
      </c>
      <c r="D365" s="8">
        <f>D364*(1+C365)</f>
        <v/>
      </c>
    </row>
    <row r="366">
      <c r="A366" s="8" t="inlineStr">
        <is>
          <t>1887-01-01</t>
        </is>
      </c>
      <c r="B366" s="6" t="n">
        <v>4.94</v>
      </c>
      <c r="C366" s="8">
        <f>B366/100/12</f>
        <v/>
      </c>
      <c r="D366" s="8">
        <f>D365*(1+C366)</f>
        <v/>
      </c>
    </row>
    <row r="367">
      <c r="A367" s="8" t="inlineStr">
        <is>
          <t>1887-02-01</t>
        </is>
      </c>
      <c r="B367" s="6" t="n">
        <v>4.25</v>
      </c>
      <c r="C367" s="8">
        <f>B367/100/12</f>
        <v/>
      </c>
      <c r="D367" s="8">
        <f>D366*(1+C367)</f>
        <v/>
      </c>
    </row>
    <row r="368">
      <c r="A368" s="8" t="inlineStr">
        <is>
          <t>1887-03-01</t>
        </is>
      </c>
      <c r="B368" s="6" t="n">
        <v>4.79</v>
      </c>
      <c r="C368" s="8">
        <f>B368/100/12</f>
        <v/>
      </c>
      <c r="D368" s="8">
        <f>D367*(1+C368)</f>
        <v/>
      </c>
    </row>
    <row r="369">
      <c r="A369" s="8" t="inlineStr">
        <is>
          <t>1887-04-01</t>
        </is>
      </c>
      <c r="B369" s="6" t="n">
        <v>4.82</v>
      </c>
      <c r="C369" s="8">
        <f>B369/100/12</f>
        <v/>
      </c>
      <c r="D369" s="8">
        <f>D368*(1+C369)</f>
        <v/>
      </c>
    </row>
    <row r="370">
      <c r="A370" s="8" t="inlineStr">
        <is>
          <t>1887-05-01</t>
        </is>
      </c>
      <c r="B370" s="6" t="n">
        <v>4.65</v>
      </c>
      <c r="C370" s="8">
        <f>B370/100/12</f>
        <v/>
      </c>
      <c r="D370" s="8">
        <f>D369*(1+C370)</f>
        <v/>
      </c>
    </row>
    <row r="371">
      <c r="A371" s="8" t="inlineStr">
        <is>
          <t>1887-06-01</t>
        </is>
      </c>
      <c r="B371" s="6" t="n">
        <v>4.57</v>
      </c>
      <c r="C371" s="8">
        <f>B371/100/12</f>
        <v/>
      </c>
      <c r="D371" s="8">
        <f>D370*(1+C371)</f>
        <v/>
      </c>
    </row>
    <row r="372">
      <c r="A372" s="8" t="inlineStr">
        <is>
          <t>1887-07-01</t>
        </is>
      </c>
      <c r="B372" s="6" t="n">
        <v>5.63</v>
      </c>
      <c r="C372" s="8">
        <f>B372/100/12</f>
        <v/>
      </c>
      <c r="D372" s="8">
        <f>D371*(1+C372)</f>
        <v/>
      </c>
    </row>
    <row r="373">
      <c r="A373" s="8" t="inlineStr">
        <is>
          <t>1887-08-01</t>
        </is>
      </c>
      <c r="B373" s="6" t="n">
        <v>5.79</v>
      </c>
      <c r="C373" s="8">
        <f>B373/100/12</f>
        <v/>
      </c>
      <c r="D373" s="8">
        <f>D372*(1+C373)</f>
        <v/>
      </c>
    </row>
    <row r="374">
      <c r="A374" s="8" t="inlineStr">
        <is>
          <t>1887-09-01</t>
        </is>
      </c>
      <c r="B374" s="6" t="n">
        <v>6.38</v>
      </c>
      <c r="C374" s="8">
        <f>B374/100/12</f>
        <v/>
      </c>
      <c r="D374" s="8">
        <f>D373*(1+C374)</f>
        <v/>
      </c>
    </row>
    <row r="375">
      <c r="A375" s="8" t="inlineStr">
        <is>
          <t>1887-10-01</t>
        </is>
      </c>
      <c r="B375" s="6" t="n">
        <v>5.82</v>
      </c>
      <c r="C375" s="8">
        <f>B375/100/12</f>
        <v/>
      </c>
      <c r="D375" s="8">
        <f>D374*(1+C375)</f>
        <v/>
      </c>
    </row>
    <row r="376">
      <c r="A376" s="8" t="inlineStr">
        <is>
          <t>1887-11-01</t>
        </is>
      </c>
      <c r="B376" s="6" t="n">
        <v>5.19</v>
      </c>
      <c r="C376" s="8">
        <f>B376/100/12</f>
        <v/>
      </c>
      <c r="D376" s="8">
        <f>D375*(1+C376)</f>
        <v/>
      </c>
    </row>
    <row r="377">
      <c r="A377" s="8" t="inlineStr">
        <is>
          <t>1887-12-01</t>
        </is>
      </c>
      <c r="B377" s="6" t="n">
        <v>5.44</v>
      </c>
      <c r="C377" s="8">
        <f>B377/100/12</f>
        <v/>
      </c>
      <c r="D377" s="8">
        <f>D376*(1+C377)</f>
        <v/>
      </c>
    </row>
    <row r="378">
      <c r="A378" s="8" t="inlineStr">
        <is>
          <t>1888-01-01</t>
        </is>
      </c>
      <c r="B378" s="6" t="n">
        <v>5.04</v>
      </c>
      <c r="C378" s="8">
        <f>B378/100/12</f>
        <v/>
      </c>
      <c r="D378" s="8">
        <f>D377*(1+C378)</f>
        <v/>
      </c>
    </row>
    <row r="379">
      <c r="A379" s="8" t="inlineStr">
        <is>
          <t>1888-02-01</t>
        </is>
      </c>
      <c r="B379" s="6" t="n">
        <v>4.29</v>
      </c>
      <c r="C379" s="8">
        <f>B379/100/12</f>
        <v/>
      </c>
      <c r="D379" s="8">
        <f>D378*(1+C379)</f>
        <v/>
      </c>
    </row>
    <row r="380">
      <c r="A380" s="8" t="inlineStr">
        <is>
          <t>1888-03-01</t>
        </is>
      </c>
      <c r="B380" s="6" t="n">
        <v>4.66</v>
      </c>
      <c r="C380" s="8">
        <f>B380/100/12</f>
        <v/>
      </c>
      <c r="D380" s="8">
        <f>D379*(1+C380)</f>
        <v/>
      </c>
    </row>
    <row r="381">
      <c r="A381" s="8" t="inlineStr">
        <is>
          <t>1888-04-01</t>
        </is>
      </c>
      <c r="B381" s="6" t="n">
        <v>4.84</v>
      </c>
      <c r="C381" s="8">
        <f>B381/100/12</f>
        <v/>
      </c>
      <c r="D381" s="8">
        <f>D380*(1+C381)</f>
        <v/>
      </c>
    </row>
    <row r="382">
      <c r="A382" s="8" t="inlineStr">
        <is>
          <t>1888-05-01</t>
        </is>
      </c>
      <c r="B382" s="6" t="n">
        <v>4.26</v>
      </c>
      <c r="C382" s="8">
        <f>B382/100/12</f>
        <v/>
      </c>
      <c r="D382" s="8">
        <f>D381*(1+C382)</f>
        <v/>
      </c>
    </row>
    <row r="383">
      <c r="A383" s="8" t="inlineStr">
        <is>
          <t>1888-06-01</t>
        </is>
      </c>
      <c r="B383" s="6" t="n">
        <v>3.69</v>
      </c>
      <c r="C383" s="8">
        <f>B383/100/12</f>
        <v/>
      </c>
      <c r="D383" s="8">
        <f>D382*(1+C383)</f>
        <v/>
      </c>
    </row>
    <row r="384">
      <c r="A384" s="8" t="inlineStr">
        <is>
          <t>1888-07-01</t>
        </is>
      </c>
      <c r="B384" s="6" t="n">
        <v>3.52</v>
      </c>
      <c r="C384" s="8">
        <f>B384/100/12</f>
        <v/>
      </c>
      <c r="D384" s="8">
        <f>D383*(1+C384)</f>
        <v/>
      </c>
    </row>
    <row r="385">
      <c r="A385" s="8" t="inlineStr">
        <is>
          <t>1888-08-01</t>
        </is>
      </c>
      <c r="B385" s="6" t="n">
        <v>3.8</v>
      </c>
      <c r="C385" s="8">
        <f>B385/100/12</f>
        <v/>
      </c>
      <c r="D385" s="8">
        <f>D384*(1+C385)</f>
        <v/>
      </c>
    </row>
    <row r="386">
      <c r="A386" s="8" t="inlineStr">
        <is>
          <t>1888-09-01</t>
        </is>
      </c>
      <c r="B386" s="6" t="n">
        <v>4.72</v>
      </c>
      <c r="C386" s="8">
        <f>B386/100/12</f>
        <v/>
      </c>
      <c r="D386" s="8">
        <f>D385*(1+C386)</f>
        <v/>
      </c>
    </row>
    <row r="387">
      <c r="A387" s="8" t="inlineStr">
        <is>
          <t>1888-10-01</t>
        </is>
      </c>
      <c r="B387" s="6" t="n">
        <v>4.51</v>
      </c>
      <c r="C387" s="8">
        <f>B387/100/12</f>
        <v/>
      </c>
      <c r="D387" s="8">
        <f>D386*(1+C387)</f>
        <v/>
      </c>
    </row>
    <row r="388">
      <c r="A388" s="8" t="inlineStr">
        <is>
          <t>1888-11-01</t>
        </is>
      </c>
      <c r="B388" s="6" t="n">
        <v>4.19</v>
      </c>
      <c r="C388" s="8">
        <f>B388/100/12</f>
        <v/>
      </c>
      <c r="D388" s="8">
        <f>D387*(1+C388)</f>
        <v/>
      </c>
    </row>
    <row r="389">
      <c r="A389" s="8" t="inlineStr">
        <is>
          <t>1888-12-01</t>
        </is>
      </c>
      <c r="B389" s="6" t="n">
        <v>4.41</v>
      </c>
      <c r="C389" s="8">
        <f>B389/100/12</f>
        <v/>
      </c>
      <c r="D389" s="8">
        <f>D388*(1+C389)</f>
        <v/>
      </c>
    </row>
    <row r="390">
      <c r="A390" s="8" t="inlineStr">
        <is>
          <t>1889-01-01</t>
        </is>
      </c>
      <c r="B390" s="6" t="n">
        <v>4.09</v>
      </c>
      <c r="C390" s="8">
        <f>B390/100/12</f>
        <v/>
      </c>
      <c r="D390" s="8">
        <f>D389*(1+C390)</f>
        <v/>
      </c>
    </row>
    <row r="391">
      <c r="A391" s="8" t="inlineStr">
        <is>
          <t>1889-02-01</t>
        </is>
      </c>
      <c r="B391" s="6" t="n">
        <v>3.69</v>
      </c>
      <c r="C391" s="8">
        <f>B391/100/12</f>
        <v/>
      </c>
      <c r="D391" s="8">
        <f>D390*(1+C391)</f>
        <v/>
      </c>
    </row>
    <row r="392">
      <c r="A392" s="8" t="inlineStr">
        <is>
          <t>1889-03-01</t>
        </is>
      </c>
      <c r="B392" s="6" t="n">
        <v>3.94</v>
      </c>
      <c r="C392" s="8">
        <f>B392/100/12</f>
        <v/>
      </c>
      <c r="D392" s="8">
        <f>D391*(1+C392)</f>
        <v/>
      </c>
    </row>
    <row r="393">
      <c r="A393" s="8" t="inlineStr">
        <is>
          <t>1889-04-01</t>
        </is>
      </c>
      <c r="B393" s="6" t="n">
        <v>3.73</v>
      </c>
      <c r="C393" s="8">
        <f>B393/100/12</f>
        <v/>
      </c>
      <c r="D393" s="8">
        <f>D392*(1+C393)</f>
        <v/>
      </c>
    </row>
    <row r="394">
      <c r="A394" s="8" t="inlineStr">
        <is>
          <t>1889-05-01</t>
        </is>
      </c>
      <c r="B394" s="6" t="n">
        <v>3.29</v>
      </c>
      <c r="C394" s="8">
        <f>B394/100/12</f>
        <v/>
      </c>
      <c r="D394" s="8">
        <f>D393*(1+C394)</f>
        <v/>
      </c>
    </row>
    <row r="395">
      <c r="A395" s="8" t="inlineStr">
        <is>
          <t>1889-06-01</t>
        </is>
      </c>
      <c r="B395" s="6" t="n">
        <v>3.32</v>
      </c>
      <c r="C395" s="8">
        <f>B395/100/12</f>
        <v/>
      </c>
      <c r="D395" s="8">
        <f>D394*(1+C395)</f>
        <v/>
      </c>
    </row>
    <row r="396">
      <c r="A396" s="8" t="inlineStr">
        <is>
          <t>1889-07-01</t>
        </is>
      </c>
      <c r="B396" s="6" t="n">
        <v>3.84</v>
      </c>
      <c r="C396" s="8">
        <f>B396/100/12</f>
        <v/>
      </c>
      <c r="D396" s="8">
        <f>D395*(1+C396)</f>
        <v/>
      </c>
    </row>
    <row r="397">
      <c r="A397" s="8" t="inlineStr">
        <is>
          <t>1889-08-01</t>
        </is>
      </c>
      <c r="B397" s="6" t="n">
        <v>4.6</v>
      </c>
      <c r="C397" s="8">
        <f>B397/100/12</f>
        <v/>
      </c>
      <c r="D397" s="8">
        <f>D396*(1+C397)</f>
        <v/>
      </c>
    </row>
    <row r="398">
      <c r="A398" s="8" t="inlineStr">
        <is>
          <t>1889-09-01</t>
        </is>
      </c>
      <c r="B398" s="6" t="n">
        <v>4.72</v>
      </c>
      <c r="C398" s="8">
        <f>B398/100/12</f>
        <v/>
      </c>
      <c r="D398" s="8">
        <f>D397*(1+C398)</f>
        <v/>
      </c>
    </row>
    <row r="399">
      <c r="A399" s="8" t="inlineStr">
        <is>
          <t>1889-10-01</t>
        </is>
      </c>
      <c r="B399" s="6" t="n">
        <v>5.44</v>
      </c>
      <c r="C399" s="8">
        <f>B399/100/12</f>
        <v/>
      </c>
      <c r="D399" s="8">
        <f>D398*(1+C399)</f>
        <v/>
      </c>
    </row>
    <row r="400">
      <c r="A400" s="8" t="inlineStr">
        <is>
          <t>1889-11-01</t>
        </is>
      </c>
      <c r="B400" s="6" t="n">
        <v>5.44</v>
      </c>
      <c r="C400" s="8">
        <f>B400/100/12</f>
        <v/>
      </c>
      <c r="D400" s="8">
        <f>D399*(1+C400)</f>
        <v/>
      </c>
    </row>
    <row r="401">
      <c r="A401" s="8" t="inlineStr">
        <is>
          <t>1889-12-01</t>
        </is>
      </c>
      <c r="B401" s="6" t="n">
        <v>5.53</v>
      </c>
      <c r="C401" s="8">
        <f>B401/100/12</f>
        <v/>
      </c>
      <c r="D401" s="8">
        <f>D400*(1+C401)</f>
        <v/>
      </c>
    </row>
    <row r="402">
      <c r="A402" s="8" t="inlineStr">
        <is>
          <t>1890-01-01</t>
        </is>
      </c>
      <c r="B402" s="6" t="n">
        <v>4.79</v>
      </c>
      <c r="C402" s="8">
        <f>B402/100/12</f>
        <v/>
      </c>
      <c r="D402" s="8">
        <f>D401*(1+C402)</f>
        <v/>
      </c>
    </row>
    <row r="403">
      <c r="A403" s="8" t="inlineStr">
        <is>
          <t>1890-02-01</t>
        </is>
      </c>
      <c r="B403" s="6" t="n">
        <v>4.47</v>
      </c>
      <c r="C403" s="8">
        <f>B403/100/12</f>
        <v/>
      </c>
      <c r="D403" s="8">
        <f>D402*(1+C403)</f>
        <v/>
      </c>
    </row>
    <row r="404">
      <c r="A404" s="8" t="inlineStr">
        <is>
          <t>1890-03-01</t>
        </is>
      </c>
      <c r="B404" s="6" t="n">
        <v>4.94</v>
      </c>
      <c r="C404" s="8">
        <f>B404/100/12</f>
        <v/>
      </c>
      <c r="D404" s="8">
        <f>D403*(1+C404)</f>
        <v/>
      </c>
    </row>
    <row r="405">
      <c r="A405" s="8" t="inlineStr">
        <is>
          <t>1890-04-01</t>
        </is>
      </c>
      <c r="B405" s="6" t="n">
        <v>4.55</v>
      </c>
      <c r="C405" s="8">
        <f>B405/100/12</f>
        <v/>
      </c>
      <c r="D405" s="8">
        <f>D404*(1+C405)</f>
        <v/>
      </c>
    </row>
    <row r="406">
      <c r="A406" s="8" t="inlineStr">
        <is>
          <t>1890-05-01</t>
        </is>
      </c>
      <c r="B406" s="6" t="n">
        <v>4.5</v>
      </c>
      <c r="C406" s="8">
        <f>B406/100/12</f>
        <v/>
      </c>
      <c r="D406" s="8">
        <f>D405*(1+C406)</f>
        <v/>
      </c>
    </row>
    <row r="407">
      <c r="A407" s="8" t="inlineStr">
        <is>
          <t>1890-06-01</t>
        </is>
      </c>
      <c r="B407" s="6" t="n">
        <v>4.44</v>
      </c>
      <c r="C407" s="8">
        <f>B407/100/12</f>
        <v/>
      </c>
      <c r="D407" s="8">
        <f>D406*(1+C407)</f>
        <v/>
      </c>
    </row>
    <row r="408">
      <c r="A408" s="8" t="inlineStr">
        <is>
          <t>1890-07-01</t>
        </is>
      </c>
      <c r="B408" s="6" t="n">
        <v>4.49</v>
      </c>
      <c r="C408" s="8">
        <f>B408/100/12</f>
        <v/>
      </c>
      <c r="D408" s="8">
        <f>D407*(1+C408)</f>
        <v/>
      </c>
    </row>
    <row r="409">
      <c r="A409" s="8" t="inlineStr">
        <is>
          <t>1890-08-01</t>
        </is>
      </c>
      <c r="B409" s="6" t="n">
        <v>5.03</v>
      </c>
      <c r="C409" s="8">
        <f>B409/100/12</f>
        <v/>
      </c>
      <c r="D409" s="8">
        <f>D408*(1+C409)</f>
        <v/>
      </c>
    </row>
    <row r="410">
      <c r="A410" s="8" t="inlineStr">
        <is>
          <t>1890-09-01</t>
        </is>
      </c>
      <c r="B410" s="6" t="n">
        <v>5.19</v>
      </c>
      <c r="C410" s="8">
        <f>B410/100/12</f>
        <v/>
      </c>
      <c r="D410" s="8">
        <f>D409*(1+C410)</f>
        <v/>
      </c>
    </row>
    <row r="411">
      <c r="A411" s="8" t="inlineStr">
        <is>
          <t>1890-10-01</t>
        </is>
      </c>
      <c r="B411" s="6" t="n">
        <v>5.34</v>
      </c>
      <c r="C411" s="8">
        <f>B411/100/12</f>
        <v/>
      </c>
      <c r="D411" s="8">
        <f>D410*(1+C411)</f>
        <v/>
      </c>
    </row>
    <row r="412">
      <c r="A412" s="8" t="inlineStr">
        <is>
          <t>1890-11-01</t>
        </is>
      </c>
      <c r="B412" s="6" t="n">
        <v>6.19</v>
      </c>
      <c r="C412" s="8">
        <f>B412/100/12</f>
        <v/>
      </c>
      <c r="D412" s="8">
        <f>D411*(1+C412)</f>
        <v/>
      </c>
    </row>
    <row r="413">
      <c r="A413" s="8" t="inlineStr">
        <is>
          <t>1890-12-01</t>
        </is>
      </c>
      <c r="B413" s="6" t="n">
        <v>6.77</v>
      </c>
      <c r="C413" s="8">
        <f>B413/100/12</f>
        <v/>
      </c>
      <c r="D413" s="8">
        <f>D412*(1+C413)</f>
        <v/>
      </c>
    </row>
    <row r="414">
      <c r="A414" s="8" t="inlineStr">
        <is>
          <t>1891-01-01</t>
        </is>
      </c>
      <c r="B414" s="6" t="n">
        <v>5.27</v>
      </c>
      <c r="C414" s="8">
        <f>B414/100/12</f>
        <v/>
      </c>
      <c r="D414" s="8">
        <f>D413*(1+C414)</f>
        <v/>
      </c>
    </row>
    <row r="415">
      <c r="A415" s="8" t="inlineStr">
        <is>
          <t>1891-02-01</t>
        </is>
      </c>
      <c r="B415" s="6" t="n">
        <v>4.44</v>
      </c>
      <c r="C415" s="8">
        <f>B415/100/12</f>
        <v/>
      </c>
      <c r="D415" s="8">
        <f>D414*(1+C415)</f>
        <v/>
      </c>
    </row>
    <row r="416">
      <c r="A416" s="8" t="inlineStr">
        <is>
          <t>1891-03-01</t>
        </is>
      </c>
      <c r="B416" s="6" t="n">
        <v>4.69</v>
      </c>
      <c r="C416" s="8">
        <f>B416/100/12</f>
        <v/>
      </c>
      <c r="D416" s="8">
        <f>D415*(1+C416)</f>
        <v/>
      </c>
    </row>
    <row r="417">
      <c r="A417" s="8" t="inlineStr">
        <is>
          <t>1891-04-01</t>
        </is>
      </c>
      <c r="B417" s="6" t="n">
        <v>4.52</v>
      </c>
      <c r="C417" s="8">
        <f>B417/100/12</f>
        <v/>
      </c>
      <c r="D417" s="8">
        <f>D416*(1+C417)</f>
        <v/>
      </c>
    </row>
    <row r="418">
      <c r="A418" s="8" t="inlineStr">
        <is>
          <t>1891-05-01</t>
        </is>
      </c>
      <c r="B418" s="6" t="n">
        <v>4.82</v>
      </c>
      <c r="C418" s="8">
        <f>B418/100/12</f>
        <v/>
      </c>
      <c r="D418" s="8">
        <f>D417*(1+C418)</f>
        <v/>
      </c>
    </row>
    <row r="419">
      <c r="A419" s="8" t="inlineStr">
        <is>
          <t>1891-06-01</t>
        </is>
      </c>
      <c r="B419" s="6" t="n">
        <v>4.94</v>
      </c>
      <c r="C419" s="8">
        <f>B419/100/12</f>
        <v/>
      </c>
      <c r="D419" s="8">
        <f>D418*(1+C419)</f>
        <v/>
      </c>
    </row>
    <row r="420">
      <c r="A420" s="8" t="inlineStr">
        <is>
          <t>1891-07-01</t>
        </is>
      </c>
      <c r="B420" s="6" t="n">
        <v>5.04</v>
      </c>
      <c r="C420" s="8">
        <f>B420/100/12</f>
        <v/>
      </c>
      <c r="D420" s="8">
        <f>D419*(1+C420)</f>
        <v/>
      </c>
    </row>
    <row r="421">
      <c r="A421" s="8" t="inlineStr">
        <is>
          <t>1891-08-01</t>
        </is>
      </c>
      <c r="B421" s="6" t="n">
        <v>5.19</v>
      </c>
      <c r="C421" s="8">
        <f>B421/100/12</f>
        <v/>
      </c>
      <c r="D421" s="8">
        <f>D420*(1+C421)</f>
        <v/>
      </c>
    </row>
    <row r="422">
      <c r="A422" s="8" t="inlineStr">
        <is>
          <t>1891-09-01</t>
        </is>
      </c>
      <c r="B422" s="6" t="n">
        <v>5.22</v>
      </c>
      <c r="C422" s="8">
        <f>B422/100/12</f>
        <v/>
      </c>
      <c r="D422" s="8">
        <f>D421*(1+C422)</f>
        <v/>
      </c>
    </row>
    <row r="423">
      <c r="A423" s="8" t="inlineStr">
        <is>
          <t>1891-10-01</t>
        </is>
      </c>
      <c r="B423" s="6" t="n">
        <v>5.02</v>
      </c>
      <c r="C423" s="8">
        <f>B423/100/12</f>
        <v/>
      </c>
      <c r="D423" s="8">
        <f>D422*(1+C423)</f>
        <v/>
      </c>
    </row>
    <row r="424">
      <c r="A424" s="8" t="inlineStr">
        <is>
          <t>1891-11-01</t>
        </is>
      </c>
      <c r="B424" s="6" t="n">
        <v>4.5</v>
      </c>
      <c r="C424" s="8">
        <f>B424/100/12</f>
        <v/>
      </c>
      <c r="D424" s="8">
        <f>D423*(1+C424)</f>
        <v/>
      </c>
    </row>
    <row r="425">
      <c r="A425" s="8" t="inlineStr">
        <is>
          <t>1891-12-01</t>
        </is>
      </c>
      <c r="B425" s="6" t="n">
        <v>4.27</v>
      </c>
      <c r="C425" s="8">
        <f>B425/100/12</f>
        <v/>
      </c>
      <c r="D425" s="8">
        <f>D424*(1+C425)</f>
        <v/>
      </c>
    </row>
    <row r="426">
      <c r="A426" s="8" t="inlineStr">
        <is>
          <t>1892-01-01</t>
        </is>
      </c>
      <c r="B426" s="6" t="n">
        <v>3.6</v>
      </c>
      <c r="C426" s="8">
        <f>B426/100/12</f>
        <v/>
      </c>
      <c r="D426" s="8">
        <f>D425*(1+C426)</f>
        <v/>
      </c>
    </row>
    <row r="427">
      <c r="A427" s="8" t="inlineStr">
        <is>
          <t>1892-02-01</t>
        </is>
      </c>
      <c r="B427" s="6" t="n">
        <v>3.13</v>
      </c>
      <c r="C427" s="8">
        <f>B427/100/12</f>
        <v/>
      </c>
      <c r="D427" s="8">
        <f>D426*(1+C427)</f>
        <v/>
      </c>
    </row>
    <row r="428">
      <c r="A428" s="8" t="inlineStr">
        <is>
          <t>1892-03-01</t>
        </is>
      </c>
      <c r="B428" s="6" t="n">
        <v>3.42</v>
      </c>
      <c r="C428" s="8">
        <f>B428/100/12</f>
        <v/>
      </c>
      <c r="D428" s="8">
        <f>D427*(1+C428)</f>
        <v/>
      </c>
    </row>
    <row r="429">
      <c r="A429" s="8" t="inlineStr">
        <is>
          <t>1892-04-01</t>
        </is>
      </c>
      <c r="B429" s="6" t="n">
        <v>2.91</v>
      </c>
      <c r="C429" s="8">
        <f>B429/100/12</f>
        <v/>
      </c>
      <c r="D429" s="8">
        <f>D428*(1+C429)</f>
        <v/>
      </c>
    </row>
    <row r="430">
      <c r="A430" s="8" t="inlineStr">
        <is>
          <t>1892-05-01</t>
        </is>
      </c>
      <c r="B430" s="6" t="n">
        <v>2.6</v>
      </c>
      <c r="C430" s="8">
        <f>B430/100/12</f>
        <v/>
      </c>
      <c r="D430" s="8">
        <f>D429*(1+C430)</f>
        <v/>
      </c>
    </row>
    <row r="431">
      <c r="A431" s="8" t="inlineStr">
        <is>
          <t>1892-06-01</t>
        </is>
      </c>
      <c r="B431" s="6" t="n">
        <v>2.39</v>
      </c>
      <c r="C431" s="8">
        <f>B431/100/12</f>
        <v/>
      </c>
      <c r="D431" s="8">
        <f>D430*(1+C431)</f>
        <v/>
      </c>
    </row>
    <row r="432">
      <c r="A432" s="8" t="inlineStr">
        <is>
          <t>1892-07-01</t>
        </is>
      </c>
      <c r="B432" s="6" t="n">
        <v>2.91</v>
      </c>
      <c r="C432" s="8">
        <f>B432/100/12</f>
        <v/>
      </c>
      <c r="D432" s="8">
        <f>D431*(1+C432)</f>
        <v/>
      </c>
    </row>
    <row r="433">
      <c r="A433" s="8" t="inlineStr">
        <is>
          <t>1892-08-01</t>
        </is>
      </c>
      <c r="B433" s="6" t="n">
        <v>3.4</v>
      </c>
      <c r="C433" s="8">
        <f>B433/100/12</f>
        <v/>
      </c>
      <c r="D433" s="8">
        <f>D432*(1+C433)</f>
        <v/>
      </c>
    </row>
    <row r="434">
      <c r="A434" s="8" t="inlineStr">
        <is>
          <t>1892-09-01</t>
        </is>
      </c>
      <c r="B434" s="6" t="n">
        <v>4.15</v>
      </c>
      <c r="C434" s="8">
        <f>B434/100/12</f>
        <v/>
      </c>
      <c r="D434" s="8">
        <f>D433*(1+C434)</f>
        <v/>
      </c>
    </row>
    <row r="435">
      <c r="A435" s="8" t="inlineStr">
        <is>
          <t>1892-10-01</t>
        </is>
      </c>
      <c r="B435" s="6" t="n">
        <v>4.6</v>
      </c>
      <c r="C435" s="8">
        <f>B435/100/12</f>
        <v/>
      </c>
      <c r="D435" s="8">
        <f>D434*(1+C435)</f>
        <v/>
      </c>
    </row>
    <row r="436">
      <c r="A436" s="8" t="inlineStr">
        <is>
          <t>1892-11-01</t>
        </is>
      </c>
      <c r="B436" s="6" t="n">
        <v>4.58</v>
      </c>
      <c r="C436" s="8">
        <f>B436/100/12</f>
        <v/>
      </c>
      <c r="D436" s="8">
        <f>D435*(1+C436)</f>
        <v/>
      </c>
    </row>
    <row r="437">
      <c r="A437" s="8" t="inlineStr">
        <is>
          <t>1892-12-01</t>
        </is>
      </c>
      <c r="B437" s="6" t="n">
        <v>4.94</v>
      </c>
      <c r="C437" s="8">
        <f>B437/100/12</f>
        <v/>
      </c>
      <c r="D437" s="8">
        <f>D436*(1+C437)</f>
        <v/>
      </c>
    </row>
    <row r="438">
      <c r="A438" s="8" t="inlineStr">
        <is>
          <t>1893-01-01</t>
        </is>
      </c>
      <c r="B438" s="6" t="n">
        <v>4.54</v>
      </c>
      <c r="C438" s="8">
        <f>B438/100/12</f>
        <v/>
      </c>
      <c r="D438" s="8">
        <f>D437*(1+C438)</f>
        <v/>
      </c>
    </row>
    <row r="439">
      <c r="A439" s="8" t="inlineStr">
        <is>
          <t>1893-02-01</t>
        </is>
      </c>
      <c r="B439" s="6" t="n">
        <v>4.41</v>
      </c>
      <c r="C439" s="8">
        <f>B439/100/12</f>
        <v/>
      </c>
      <c r="D439" s="8">
        <f>D438*(1+C439)</f>
        <v/>
      </c>
    </row>
    <row r="440">
      <c r="A440" s="8" t="inlineStr">
        <is>
          <t>1893-03-01</t>
        </is>
      </c>
      <c r="B440" s="6" t="n">
        <v>6.24</v>
      </c>
      <c r="C440" s="8">
        <f>B440/100/12</f>
        <v/>
      </c>
      <c r="D440" s="8">
        <f>D439*(1+C440)</f>
        <v/>
      </c>
    </row>
    <row r="441">
      <c r="A441" s="8" t="inlineStr">
        <is>
          <t>1893-04-01</t>
        </is>
      </c>
      <c r="B441" s="6" t="n">
        <v>5.19</v>
      </c>
      <c r="C441" s="8">
        <f>B441/100/12</f>
        <v/>
      </c>
      <c r="D441" s="8">
        <f>D440*(1+C441)</f>
        <v/>
      </c>
    </row>
    <row r="442">
      <c r="A442" s="8" t="inlineStr">
        <is>
          <t>1893-05-01</t>
        </is>
      </c>
      <c r="B442" s="6" t="n">
        <v>6.13</v>
      </c>
      <c r="C442" s="8">
        <f>B442/100/12</f>
        <v/>
      </c>
      <c r="D442" s="8">
        <f>D441*(1+C442)</f>
        <v/>
      </c>
    </row>
    <row r="443">
      <c r="A443" s="8" t="inlineStr">
        <is>
          <t>1893-06-01</t>
        </is>
      </c>
      <c r="B443" s="6" t="n">
        <v>7.91</v>
      </c>
      <c r="C443" s="8">
        <f>B443/100/12</f>
        <v/>
      </c>
      <c r="D443" s="8">
        <f>D442*(1+C443)</f>
        <v/>
      </c>
    </row>
    <row r="444">
      <c r="A444" s="8" t="inlineStr">
        <is>
          <t>1893-07-01</t>
        </is>
      </c>
      <c r="B444" s="6" t="n">
        <v>10.32</v>
      </c>
      <c r="C444" s="8">
        <f>B444/100/12</f>
        <v/>
      </c>
      <c r="D444" s="8">
        <f>D443*(1+C444)</f>
        <v/>
      </c>
    </row>
    <row r="445">
      <c r="A445" s="8" t="inlineStr">
        <is>
          <t>1893-08-01</t>
        </is>
      </c>
      <c r="B445" s="6" t="n">
        <v>10.04</v>
      </c>
      <c r="C445" s="8">
        <f>B445/100/12</f>
        <v/>
      </c>
      <c r="D445" s="8">
        <f>D444*(1+C445)</f>
        <v/>
      </c>
    </row>
    <row r="446">
      <c r="A446" s="8" t="inlineStr">
        <is>
          <t>1893-09-01</t>
        </is>
      </c>
      <c r="B446" s="6" t="n">
        <v>7.72</v>
      </c>
      <c r="C446" s="8">
        <f>B446/100/12</f>
        <v/>
      </c>
      <c r="D446" s="8">
        <f>D445*(1+C446)</f>
        <v/>
      </c>
    </row>
    <row r="447">
      <c r="A447" s="8" t="inlineStr">
        <is>
          <t>1893-10-01</t>
        </is>
      </c>
      <c r="B447" s="6" t="n">
        <v>5.35</v>
      </c>
      <c r="C447" s="8">
        <f>B447/100/12</f>
        <v/>
      </c>
      <c r="D447" s="8">
        <f>D446*(1+C447)</f>
        <v/>
      </c>
    </row>
    <row r="448">
      <c r="A448" s="8" t="inlineStr">
        <is>
          <t>1893-11-01</t>
        </is>
      </c>
      <c r="B448" s="6" t="n">
        <v>3.82</v>
      </c>
      <c r="C448" s="8">
        <f>B448/100/12</f>
        <v/>
      </c>
      <c r="D448" s="8">
        <f>D447*(1+C448)</f>
        <v/>
      </c>
    </row>
    <row r="449">
      <c r="A449" s="8" t="inlineStr">
        <is>
          <t>1893-12-01</t>
        </is>
      </c>
      <c r="B449" s="6" t="n">
        <v>3.1</v>
      </c>
      <c r="C449" s="8">
        <f>B449/100/12</f>
        <v/>
      </c>
      <c r="D449" s="8">
        <f>D448*(1+C449)</f>
        <v/>
      </c>
    </row>
    <row r="450">
      <c r="A450" s="8" t="inlineStr">
        <is>
          <t>1894-01-01</t>
        </is>
      </c>
      <c r="B450" s="6" t="n">
        <v>2.92</v>
      </c>
      <c r="C450" s="8">
        <f>B450/100/12</f>
        <v/>
      </c>
      <c r="D450" s="8">
        <f>D449*(1+C450)</f>
        <v/>
      </c>
    </row>
    <row r="451">
      <c r="A451" s="8" t="inlineStr">
        <is>
          <t>1894-02-01</t>
        </is>
      </c>
      <c r="B451" s="6" t="n">
        <v>2.74</v>
      </c>
      <c r="C451" s="8">
        <f>B451/100/12</f>
        <v/>
      </c>
      <c r="D451" s="8">
        <f>D450*(1+C451)</f>
        <v/>
      </c>
    </row>
    <row r="452">
      <c r="A452" s="8" t="inlineStr">
        <is>
          <t>1894-03-01</t>
        </is>
      </c>
      <c r="B452" s="6" t="n">
        <v>2.47</v>
      </c>
      <c r="C452" s="8">
        <f>B452/100/12</f>
        <v/>
      </c>
      <c r="D452" s="8">
        <f>D451*(1+C452)</f>
        <v/>
      </c>
    </row>
    <row r="453">
      <c r="A453" s="8" t="inlineStr">
        <is>
          <t>1894-04-01</t>
        </is>
      </c>
      <c r="B453" s="6" t="n">
        <v>2.54</v>
      </c>
      <c r="C453" s="8">
        <f>B453/100/12</f>
        <v/>
      </c>
      <c r="D453" s="8">
        <f>D452*(1+C453)</f>
        <v/>
      </c>
    </row>
    <row r="454">
      <c r="A454" s="8" t="inlineStr">
        <is>
          <t>1894-05-01</t>
        </is>
      </c>
      <c r="B454" s="6" t="n">
        <v>2.37</v>
      </c>
      <c r="C454" s="8">
        <f>B454/100/12</f>
        <v/>
      </c>
      <c r="D454" s="8">
        <f>D453*(1+C454)</f>
        <v/>
      </c>
    </row>
    <row r="455">
      <c r="A455" s="8" t="inlineStr">
        <is>
          <t>1894-06-01</t>
        </is>
      </c>
      <c r="B455" s="6" t="n">
        <v>2.35</v>
      </c>
      <c r="C455" s="8">
        <f>B455/100/12</f>
        <v/>
      </c>
      <c r="D455" s="8">
        <f>D454*(1+C455)</f>
        <v/>
      </c>
    </row>
    <row r="456">
      <c r="A456" s="8" t="inlineStr">
        <is>
          <t>1894-07-01</t>
        </is>
      </c>
      <c r="B456" s="6" t="n">
        <v>2.44</v>
      </c>
      <c r="C456" s="8">
        <f>B456/100/12</f>
        <v/>
      </c>
      <c r="D456" s="8">
        <f>D455*(1+C456)</f>
        <v/>
      </c>
    </row>
    <row r="457">
      <c r="A457" s="8" t="inlineStr">
        <is>
          <t>1894-08-01</t>
        </is>
      </c>
      <c r="B457" s="6" t="n">
        <v>2.51</v>
      </c>
      <c r="C457" s="8">
        <f>B457/100/12</f>
        <v/>
      </c>
      <c r="D457" s="8">
        <f>D456*(1+C457)</f>
        <v/>
      </c>
    </row>
    <row r="458">
      <c r="A458" s="8" t="inlineStr">
        <is>
          <t>1894-09-01</t>
        </is>
      </c>
      <c r="B458" s="6" t="n">
        <v>2.72</v>
      </c>
      <c r="C458" s="8">
        <f>B458/100/12</f>
        <v/>
      </c>
      <c r="D458" s="8">
        <f>D457*(1+C458)</f>
        <v/>
      </c>
    </row>
    <row r="459">
      <c r="A459" s="8" t="inlineStr">
        <is>
          <t>1894-10-01</t>
        </is>
      </c>
      <c r="B459" s="6" t="n">
        <v>2.2</v>
      </c>
      <c r="C459" s="8">
        <f>B459/100/12</f>
        <v/>
      </c>
      <c r="D459" s="8">
        <f>D458*(1+C459)</f>
        <v/>
      </c>
    </row>
    <row r="460">
      <c r="A460" s="8" t="inlineStr">
        <is>
          <t>1894-11-01</t>
        </is>
      </c>
      <c r="B460" s="6" t="n">
        <v>2.23</v>
      </c>
      <c r="C460" s="8">
        <f>B460/100/12</f>
        <v/>
      </c>
      <c r="D460" s="8">
        <f>D459*(1+C460)</f>
        <v/>
      </c>
    </row>
    <row r="461">
      <c r="A461" s="8" t="inlineStr">
        <is>
          <t>1894-12-01</t>
        </is>
      </c>
      <c r="B461" s="6" t="n">
        <v>2.32</v>
      </c>
      <c r="C461" s="8">
        <f>B461/100/12</f>
        <v/>
      </c>
      <c r="D461" s="8">
        <f>D460*(1+C461)</f>
        <v/>
      </c>
    </row>
    <row r="462">
      <c r="A462" s="8" t="inlineStr">
        <is>
          <t>1895-01-01</t>
        </is>
      </c>
      <c r="B462" s="6" t="n">
        <v>2.54</v>
      </c>
      <c r="C462" s="8">
        <f>B462/100/12</f>
        <v/>
      </c>
      <c r="D462" s="8">
        <f>D461*(1+C462)</f>
        <v/>
      </c>
    </row>
    <row r="463">
      <c r="A463" s="8" t="inlineStr">
        <is>
          <t>1895-02-01</t>
        </is>
      </c>
      <c r="B463" s="6" t="n">
        <v>3.06</v>
      </c>
      <c r="C463" s="8">
        <f>B463/100/12</f>
        <v/>
      </c>
      <c r="D463" s="8">
        <f>D462*(1+C463)</f>
        <v/>
      </c>
    </row>
    <row r="464">
      <c r="A464" s="8" t="inlineStr">
        <is>
          <t>1895-03-01</t>
        </is>
      </c>
      <c r="B464" s="6" t="n">
        <v>3.35</v>
      </c>
      <c r="C464" s="8">
        <f>B464/100/12</f>
        <v/>
      </c>
      <c r="D464" s="8">
        <f>D463*(1+C464)</f>
        <v/>
      </c>
    </row>
    <row r="465">
      <c r="A465" s="8" t="inlineStr">
        <is>
          <t>1895-04-01</t>
        </is>
      </c>
      <c r="B465" s="6" t="n">
        <v>3.41</v>
      </c>
      <c r="C465" s="8">
        <f>B465/100/12</f>
        <v/>
      </c>
      <c r="D465" s="8">
        <f>D464*(1+C465)</f>
        <v/>
      </c>
    </row>
    <row r="466">
      <c r="A466" s="8" t="inlineStr">
        <is>
          <t>1895-05-01</t>
        </is>
      </c>
      <c r="B466" s="6" t="n">
        <v>2.21</v>
      </c>
      <c r="C466" s="8">
        <f>B466/100/12</f>
        <v/>
      </c>
      <c r="D466" s="8">
        <f>D465*(1+C466)</f>
        <v/>
      </c>
    </row>
    <row r="467">
      <c r="A467" s="8" t="inlineStr">
        <is>
          <t>1895-06-01</t>
        </is>
      </c>
      <c r="B467" s="6" t="n">
        <v>2.06</v>
      </c>
      <c r="C467" s="8">
        <f>B467/100/12</f>
        <v/>
      </c>
      <c r="D467" s="8">
        <f>D466*(1+C467)</f>
        <v/>
      </c>
    </row>
    <row r="468">
      <c r="A468" s="8" t="inlineStr">
        <is>
          <t>1895-07-01</t>
        </is>
      </c>
      <c r="B468" s="6" t="n">
        <v>2.38</v>
      </c>
      <c r="C468" s="8">
        <f>B468/100/12</f>
        <v/>
      </c>
      <c r="D468" s="8">
        <f>D467*(1+C468)</f>
        <v/>
      </c>
    </row>
    <row r="469">
      <c r="A469" s="8" t="inlineStr">
        <is>
          <t>1895-08-01</t>
        </is>
      </c>
      <c r="B469" s="6" t="n">
        <v>2.91</v>
      </c>
      <c r="C469" s="8">
        <f>B469/100/12</f>
        <v/>
      </c>
      <c r="D469" s="8">
        <f>D468*(1+C469)</f>
        <v/>
      </c>
    </row>
    <row r="470">
      <c r="A470" s="8" t="inlineStr">
        <is>
          <t>1895-09-01</t>
        </is>
      </c>
      <c r="B470" s="6" t="n">
        <v>3.47</v>
      </c>
      <c r="C470" s="8">
        <f>B470/100/12</f>
        <v/>
      </c>
      <c r="D470" s="8">
        <f>D469*(1+C470)</f>
        <v/>
      </c>
    </row>
    <row r="471">
      <c r="A471" s="8" t="inlineStr">
        <is>
          <t>1895-10-01</t>
        </is>
      </c>
      <c r="B471" s="6" t="n">
        <v>4.22</v>
      </c>
      <c r="C471" s="8">
        <f>B471/100/12</f>
        <v/>
      </c>
      <c r="D471" s="8">
        <f>D470*(1+C471)</f>
        <v/>
      </c>
    </row>
    <row r="472">
      <c r="A472" s="8" t="inlineStr">
        <is>
          <t>1895-11-01</t>
        </is>
      </c>
      <c r="B472" s="6" t="n">
        <v>3.57</v>
      </c>
      <c r="C472" s="8">
        <f>B472/100/12</f>
        <v/>
      </c>
      <c r="D472" s="8">
        <f>D471*(1+C472)</f>
        <v/>
      </c>
    </row>
    <row r="473">
      <c r="A473" s="8" t="inlineStr">
        <is>
          <t>1895-12-01</t>
        </is>
      </c>
      <c r="B473" s="6" t="n">
        <v>4.19</v>
      </c>
      <c r="C473" s="8">
        <f>B473/100/12</f>
        <v/>
      </c>
      <c r="D473" s="8">
        <f>D472*(1+C473)</f>
        <v/>
      </c>
    </row>
    <row r="474">
      <c r="A474" s="8" t="inlineStr">
        <is>
          <t>1896-01-01</t>
        </is>
      </c>
      <c r="B474" s="6" t="n">
        <v>5.44</v>
      </c>
      <c r="C474" s="8">
        <f>B474/100/12</f>
        <v/>
      </c>
      <c r="D474" s="8">
        <f>D473*(1+C474)</f>
        <v/>
      </c>
    </row>
    <row r="475">
      <c r="A475" s="8" t="inlineStr">
        <is>
          <t>1896-02-01</t>
        </is>
      </c>
      <c r="B475" s="6" t="n">
        <v>5.25</v>
      </c>
      <c r="C475" s="8">
        <f>B475/100/12</f>
        <v/>
      </c>
      <c r="D475" s="8">
        <f>D474*(1+C475)</f>
        <v/>
      </c>
    </row>
    <row r="476">
      <c r="A476" s="8" t="inlineStr">
        <is>
          <t>1896-03-01</t>
        </is>
      </c>
      <c r="B476" s="6" t="n">
        <v>4.66</v>
      </c>
      <c r="C476" s="8">
        <f>B476/100/12</f>
        <v/>
      </c>
      <c r="D476" s="8">
        <f>D475*(1+C476)</f>
        <v/>
      </c>
    </row>
    <row r="477">
      <c r="A477" s="8" t="inlineStr">
        <is>
          <t>1896-04-01</t>
        </is>
      </c>
      <c r="B477" s="6" t="n">
        <v>4.71</v>
      </c>
      <c r="C477" s="8">
        <f>B477/100/12</f>
        <v/>
      </c>
      <c r="D477" s="8">
        <f>D476*(1+C477)</f>
        <v/>
      </c>
    </row>
    <row r="478">
      <c r="A478" s="8" t="inlineStr">
        <is>
          <t>1896-05-01</t>
        </is>
      </c>
      <c r="B478" s="6" t="n">
        <v>3.97</v>
      </c>
      <c r="C478" s="8">
        <f>B478/100/12</f>
        <v/>
      </c>
      <c r="D478" s="8">
        <f>D477*(1+C478)</f>
        <v/>
      </c>
    </row>
    <row r="479">
      <c r="A479" s="8" t="inlineStr">
        <is>
          <t>1896-06-01</t>
        </is>
      </c>
      <c r="B479" s="6" t="n">
        <v>3.69</v>
      </c>
      <c r="C479" s="8">
        <f>B479/100/12</f>
        <v/>
      </c>
      <c r="D479" s="8">
        <f>D478*(1+C479)</f>
        <v/>
      </c>
    </row>
    <row r="480">
      <c r="A480" s="8" t="inlineStr">
        <is>
          <t>1896-07-01</t>
        </is>
      </c>
      <c r="B480" s="6" t="n">
        <v>4.49</v>
      </c>
      <c r="C480" s="8">
        <f>B480/100/12</f>
        <v/>
      </c>
      <c r="D480" s="8">
        <f>D479*(1+C480)</f>
        <v/>
      </c>
    </row>
    <row r="481">
      <c r="A481" s="8" t="inlineStr">
        <is>
          <t>1896-08-01</t>
        </is>
      </c>
      <c r="B481" s="6" t="n">
        <v>7.25</v>
      </c>
      <c r="C481" s="8">
        <f>B481/100/12</f>
        <v/>
      </c>
      <c r="D481" s="8">
        <f>D480*(1+C481)</f>
        <v/>
      </c>
    </row>
    <row r="482">
      <c r="A482" s="8" t="inlineStr">
        <is>
          <t>1896-09-01</t>
        </is>
      </c>
      <c r="B482" s="6" t="n">
        <v>7.74</v>
      </c>
      <c r="C482" s="8">
        <f>B482/100/12</f>
        <v/>
      </c>
      <c r="D482" s="8">
        <f>D481*(1+C482)</f>
        <v/>
      </c>
    </row>
    <row r="483">
      <c r="A483" s="8" t="inlineStr">
        <is>
          <t>1896-10-01</t>
        </is>
      </c>
      <c r="B483" s="6" t="n">
        <v>7.8</v>
      </c>
      <c r="C483" s="8">
        <f>B483/100/12</f>
        <v/>
      </c>
      <c r="D483" s="8">
        <f>D482*(1+C483)</f>
        <v/>
      </c>
    </row>
    <row r="484">
      <c r="A484" s="8" t="inlineStr">
        <is>
          <t>1896-11-01</t>
        </is>
      </c>
      <c r="B484" s="6" t="n">
        <v>4.78</v>
      </c>
      <c r="C484" s="8">
        <f>B484/100/12</f>
        <v/>
      </c>
      <c r="D484" s="8">
        <f>D483*(1+C484)</f>
        <v/>
      </c>
    </row>
    <row r="485">
      <c r="A485" s="8" t="inlineStr">
        <is>
          <t>1896-12-01</t>
        </is>
      </c>
      <c r="B485" s="6" t="n">
        <v>3.17</v>
      </c>
      <c r="C485" s="8">
        <f>B485/100/12</f>
        <v/>
      </c>
      <c r="D485" s="8">
        <f>D484*(1+C485)</f>
        <v/>
      </c>
    </row>
    <row r="486">
      <c r="A486" s="8" t="inlineStr">
        <is>
          <t>1897-01-01</t>
        </is>
      </c>
      <c r="B486" s="6" t="n">
        <v>2.75</v>
      </c>
      <c r="C486" s="8">
        <f>B486/100/12</f>
        <v/>
      </c>
      <c r="D486" s="8">
        <f>D485*(1+C486)</f>
        <v/>
      </c>
    </row>
    <row r="487">
      <c r="A487" s="8" t="inlineStr">
        <is>
          <t>1897-02-01</t>
        </is>
      </c>
      <c r="B487" s="6" t="n">
        <v>2.44</v>
      </c>
      <c r="C487" s="8">
        <f>B487/100/12</f>
        <v/>
      </c>
      <c r="D487" s="8">
        <f>D486*(1+C487)</f>
        <v/>
      </c>
    </row>
    <row r="488">
      <c r="A488" s="8" t="inlineStr">
        <is>
          <t>1897-03-01</t>
        </is>
      </c>
      <c r="B488" s="6" t="n">
        <v>2.77</v>
      </c>
      <c r="C488" s="8">
        <f>B488/100/12</f>
        <v/>
      </c>
      <c r="D488" s="8">
        <f>D487*(1+C488)</f>
        <v/>
      </c>
    </row>
    <row r="489">
      <c r="A489" s="8" t="inlineStr">
        <is>
          <t>1897-04-01</t>
        </is>
      </c>
      <c r="B489" s="6" t="n">
        <v>2.97</v>
      </c>
      <c r="C489" s="8">
        <f>B489/100/12</f>
        <v/>
      </c>
      <c r="D489" s="8">
        <f>D488*(1+C489)</f>
        <v/>
      </c>
    </row>
    <row r="490">
      <c r="A490" s="8" t="inlineStr">
        <is>
          <t>1897-05-01</t>
        </is>
      </c>
      <c r="B490" s="6" t="n">
        <v>2.97</v>
      </c>
      <c r="C490" s="8">
        <f>B490/100/12</f>
        <v/>
      </c>
      <c r="D490" s="8">
        <f>D489*(1+C490)</f>
        <v/>
      </c>
    </row>
    <row r="491">
      <c r="A491" s="8" t="inlineStr">
        <is>
          <t>1897-06-01</t>
        </is>
      </c>
      <c r="B491" s="6" t="n">
        <v>2.56</v>
      </c>
      <c r="C491" s="8">
        <f>B491/100/12</f>
        <v/>
      </c>
      <c r="D491" s="8">
        <f>D490*(1+C491)</f>
        <v/>
      </c>
    </row>
    <row r="492">
      <c r="A492" s="8" t="inlineStr">
        <is>
          <t>1897-07-01</t>
        </is>
      </c>
      <c r="B492" s="6" t="n">
        <v>2.84</v>
      </c>
      <c r="C492" s="8">
        <f>B492/100/12</f>
        <v/>
      </c>
      <c r="D492" s="8">
        <f>D491*(1+C492)</f>
        <v/>
      </c>
    </row>
    <row r="493">
      <c r="A493" s="8" t="inlineStr">
        <is>
          <t>1897-08-01</t>
        </is>
      </c>
      <c r="B493" s="6" t="n">
        <v>3.16</v>
      </c>
      <c r="C493" s="8">
        <f>B493/100/12</f>
        <v/>
      </c>
      <c r="D493" s="8">
        <f>D492*(1+C493)</f>
        <v/>
      </c>
    </row>
    <row r="494">
      <c r="A494" s="8" t="inlineStr">
        <is>
          <t>1897-09-01</t>
        </is>
      </c>
      <c r="B494" s="6" t="n">
        <v>3.54</v>
      </c>
      <c r="C494" s="8">
        <f>B494/100/12</f>
        <v/>
      </c>
      <c r="D494" s="8">
        <f>D493*(1+C494)</f>
        <v/>
      </c>
    </row>
    <row r="495">
      <c r="A495" s="8" t="inlineStr">
        <is>
          <t>1897-10-01</t>
        </is>
      </c>
      <c r="B495" s="6" t="n">
        <v>3.63</v>
      </c>
      <c r="C495" s="8">
        <f>B495/100/12</f>
        <v/>
      </c>
      <c r="D495" s="8">
        <f>D494*(1+C495)</f>
        <v/>
      </c>
    </row>
    <row r="496">
      <c r="A496" s="8" t="inlineStr">
        <is>
          <t>1897-11-01</t>
        </is>
      </c>
      <c r="B496" s="6" t="n">
        <v>2.82</v>
      </c>
      <c r="C496" s="8">
        <f>B496/100/12</f>
        <v/>
      </c>
      <c r="D496" s="8">
        <f>D495*(1+C496)</f>
        <v/>
      </c>
    </row>
    <row r="497">
      <c r="A497" s="8" t="inlineStr">
        <is>
          <t>1897-12-01</t>
        </is>
      </c>
      <c r="B497" s="6" t="n">
        <v>2.86</v>
      </c>
      <c r="C497" s="8">
        <f>B497/100/12</f>
        <v/>
      </c>
      <c r="D497" s="8">
        <f>D496*(1+C497)</f>
        <v/>
      </c>
    </row>
    <row r="498">
      <c r="A498" s="8" t="inlineStr">
        <is>
          <t>1898-01-01</t>
        </is>
      </c>
      <c r="B498" s="6" t="n">
        <v>2.69</v>
      </c>
      <c r="C498" s="8">
        <f>B498/100/12</f>
        <v/>
      </c>
      <c r="D498" s="8">
        <f>D497*(1+C498)</f>
        <v/>
      </c>
    </row>
    <row r="499">
      <c r="A499" s="8" t="inlineStr">
        <is>
          <t>1898-02-01</t>
        </is>
      </c>
      <c r="B499" s="6" t="n">
        <v>2.56</v>
      </c>
      <c r="C499" s="8">
        <f>B499/100/12</f>
        <v/>
      </c>
      <c r="D499" s="8">
        <f>D498*(1+C499)</f>
        <v/>
      </c>
    </row>
    <row r="500">
      <c r="A500" s="8" t="inlineStr">
        <is>
          <t>1898-03-01</t>
        </is>
      </c>
      <c r="B500" s="6" t="n">
        <v>4.09</v>
      </c>
      <c r="C500" s="8">
        <f>B500/100/12</f>
        <v/>
      </c>
      <c r="D500" s="8">
        <f>D499*(1+C500)</f>
        <v/>
      </c>
    </row>
    <row r="501">
      <c r="A501" s="8" t="inlineStr">
        <is>
          <t>1898-04-01</t>
        </is>
      </c>
      <c r="B501" s="6" t="n">
        <v>5.19</v>
      </c>
      <c r="C501" s="8">
        <f>B501/100/12</f>
        <v/>
      </c>
      <c r="D501" s="8">
        <f>D500*(1+C501)</f>
        <v/>
      </c>
    </row>
    <row r="502">
      <c r="A502" s="8" t="inlineStr">
        <is>
          <t>1898-05-01</t>
        </is>
      </c>
      <c r="B502" s="6" t="n">
        <v>4.09</v>
      </c>
      <c r="C502" s="8">
        <f>B502/100/12</f>
        <v/>
      </c>
      <c r="D502" s="8">
        <f>D501*(1+C502)</f>
        <v/>
      </c>
    </row>
    <row r="503">
      <c r="A503" s="8" t="inlineStr">
        <is>
          <t>1898-06-01</t>
        </is>
      </c>
      <c r="B503" s="6" t="n">
        <v>2.68</v>
      </c>
      <c r="C503" s="8">
        <f>B503/100/12</f>
        <v/>
      </c>
      <c r="D503" s="8">
        <f>D502*(1+C503)</f>
        <v/>
      </c>
    </row>
    <row r="504">
      <c r="A504" s="8" t="inlineStr">
        <is>
          <t>1898-07-01</t>
        </is>
      </c>
      <c r="B504" s="6" t="n">
        <v>3.1</v>
      </c>
      <c r="C504" s="8">
        <f>B504/100/12</f>
        <v/>
      </c>
      <c r="D504" s="8">
        <f>D503*(1+C504)</f>
        <v/>
      </c>
    </row>
    <row r="505">
      <c r="A505" s="8" t="inlineStr">
        <is>
          <t>1898-08-01</t>
        </is>
      </c>
      <c r="B505" s="6" t="n">
        <v>3.08</v>
      </c>
      <c r="C505" s="8">
        <f>B505/100/12</f>
        <v/>
      </c>
      <c r="D505" s="8">
        <f>D504*(1+C505)</f>
        <v/>
      </c>
    </row>
    <row r="506">
      <c r="A506" s="8" t="inlineStr">
        <is>
          <t>1898-09-01</t>
        </is>
      </c>
      <c r="B506" s="6" t="n">
        <v>3.55</v>
      </c>
      <c r="C506" s="8">
        <f>B506/100/12</f>
        <v/>
      </c>
      <c r="D506" s="8">
        <f>D505*(1+C506)</f>
        <v/>
      </c>
    </row>
    <row r="507">
      <c r="A507" s="8" t="inlineStr">
        <is>
          <t>1898-10-01</t>
        </is>
      </c>
      <c r="B507" s="6" t="n">
        <v>2.85</v>
      </c>
      <c r="C507" s="8">
        <f>B507/100/12</f>
        <v/>
      </c>
      <c r="D507" s="8">
        <f>D506*(1+C507)</f>
        <v/>
      </c>
    </row>
    <row r="508">
      <c r="A508" s="8" t="inlineStr">
        <is>
          <t>1898-11-01</t>
        </is>
      </c>
      <c r="B508" s="6" t="n">
        <v>2.74</v>
      </c>
      <c r="C508" s="8">
        <f>B508/100/12</f>
        <v/>
      </c>
      <c r="D508" s="8">
        <f>D507*(1+C508)</f>
        <v/>
      </c>
    </row>
    <row r="509">
      <c r="A509" s="8" t="inlineStr">
        <is>
          <t>1898-12-01</t>
        </is>
      </c>
      <c r="B509" s="6" t="n">
        <v>2.47</v>
      </c>
      <c r="C509" s="8">
        <f>B509/100/12</f>
        <v/>
      </c>
      <c r="D509" s="8">
        <f>D508*(1+C509)</f>
        <v/>
      </c>
    </row>
    <row r="510">
      <c r="A510" s="8" t="inlineStr">
        <is>
          <t>1899-01-01</t>
        </is>
      </c>
      <c r="B510" s="6" t="n">
        <v>2.34</v>
      </c>
      <c r="C510" s="8">
        <f>B510/100/12</f>
        <v/>
      </c>
      <c r="D510" s="8">
        <f>D509*(1+C510)</f>
        <v/>
      </c>
    </row>
    <row r="511">
      <c r="A511" s="8" t="inlineStr">
        <is>
          <t>1899-02-01</t>
        </is>
      </c>
      <c r="B511" s="6" t="n">
        <v>2.49</v>
      </c>
      <c r="C511" s="8">
        <f>B511/100/12</f>
        <v/>
      </c>
      <c r="D511" s="8">
        <f>D510*(1+C511)</f>
        <v/>
      </c>
    </row>
    <row r="512">
      <c r="A512" s="8" t="inlineStr">
        <is>
          <t>1899-03-01</t>
        </is>
      </c>
      <c r="B512" s="6" t="n">
        <v>3.3</v>
      </c>
      <c r="C512" s="8">
        <f>B512/100/12</f>
        <v/>
      </c>
      <c r="D512" s="8">
        <f>D511*(1+C512)</f>
        <v/>
      </c>
    </row>
    <row r="513">
      <c r="A513" s="8" t="inlineStr">
        <is>
          <t>1899-04-01</t>
        </is>
      </c>
      <c r="B513" s="6" t="n">
        <v>3.13</v>
      </c>
      <c r="C513" s="8">
        <f>B513/100/12</f>
        <v/>
      </c>
      <c r="D513" s="8">
        <f>D512*(1+C513)</f>
        <v/>
      </c>
    </row>
    <row r="514">
      <c r="A514" s="8" t="inlineStr">
        <is>
          <t>1899-05-01</t>
        </is>
      </c>
      <c r="B514" s="6" t="n">
        <v>3.04</v>
      </c>
      <c r="C514" s="8">
        <f>B514/100/12</f>
        <v/>
      </c>
      <c r="D514" s="8">
        <f>D513*(1+C514)</f>
        <v/>
      </c>
    </row>
    <row r="515">
      <c r="A515" s="8" t="inlineStr">
        <is>
          <t>1899-06-01</t>
        </is>
      </c>
      <c r="B515" s="6" t="n">
        <v>2.75</v>
      </c>
      <c r="C515" s="8">
        <f>B515/100/12</f>
        <v/>
      </c>
      <c r="D515" s="8">
        <f>D514*(1+C515)</f>
        <v/>
      </c>
    </row>
    <row r="516">
      <c r="A516" s="8" t="inlineStr">
        <is>
          <t>1899-07-01</t>
        </is>
      </c>
      <c r="B516" s="6" t="n">
        <v>3.1</v>
      </c>
      <c r="C516" s="8">
        <f>B516/100/12</f>
        <v/>
      </c>
      <c r="D516" s="8">
        <f>D515*(1+C516)</f>
        <v/>
      </c>
    </row>
    <row r="517">
      <c r="A517" s="8" t="inlineStr">
        <is>
          <t>1899-08-01</t>
        </is>
      </c>
      <c r="B517" s="6" t="n">
        <v>3.79</v>
      </c>
      <c r="C517" s="8">
        <f>B517/100/12</f>
        <v/>
      </c>
      <c r="D517" s="8">
        <f>D516*(1+C517)</f>
        <v/>
      </c>
    </row>
    <row r="518">
      <c r="A518" s="8" t="inlineStr">
        <is>
          <t>1899-09-01</t>
        </is>
      </c>
      <c r="B518" s="6" t="n">
        <v>4.38</v>
      </c>
      <c r="C518" s="8">
        <f>B518/100/12</f>
        <v/>
      </c>
      <c r="D518" s="8">
        <f>D517*(1+C518)</f>
        <v/>
      </c>
    </row>
    <row r="519">
      <c r="A519" s="8" t="inlineStr">
        <is>
          <t>1899-10-01</t>
        </is>
      </c>
      <c r="B519" s="6" t="n">
        <v>4.63</v>
      </c>
      <c r="C519" s="8">
        <f>B519/100/12</f>
        <v/>
      </c>
      <c r="D519" s="8">
        <f>D518*(1+C519)</f>
        <v/>
      </c>
    </row>
    <row r="520">
      <c r="A520" s="8" t="inlineStr">
        <is>
          <t>1899-11-01</t>
        </is>
      </c>
      <c r="B520" s="6" t="n">
        <v>4.86</v>
      </c>
      <c r="C520" s="8">
        <f>B520/100/12</f>
        <v/>
      </c>
      <c r="D520" s="8">
        <f>D519*(1+C520)</f>
        <v/>
      </c>
    </row>
    <row r="521">
      <c r="A521" s="8" t="inlineStr">
        <is>
          <t>1899-12-01</t>
        </is>
      </c>
      <c r="B521" s="6" t="n">
        <v>5.32</v>
      </c>
      <c r="C521" s="8">
        <f>B521/100/12</f>
        <v/>
      </c>
      <c r="D521" s="8">
        <f>D520*(1+C521)</f>
        <v/>
      </c>
    </row>
    <row r="522">
      <c r="A522" s="8" t="inlineStr">
        <is>
          <t>1900-01-01</t>
        </is>
      </c>
      <c r="B522" s="6" t="n">
        <v>4.37</v>
      </c>
      <c r="C522" s="8">
        <f>B522/100/12</f>
        <v/>
      </c>
      <c r="D522" s="8">
        <f>D521*(1+C522)</f>
        <v/>
      </c>
    </row>
    <row r="523">
      <c r="A523" s="8" t="inlineStr">
        <is>
          <t>1900-02-01</t>
        </is>
      </c>
      <c r="B523" s="6" t="n">
        <v>3.84</v>
      </c>
      <c r="C523" s="8">
        <f>B523/100/12</f>
        <v/>
      </c>
      <c r="D523" s="8">
        <f>D522*(1+C523)</f>
        <v/>
      </c>
    </row>
    <row r="524">
      <c r="A524" s="8" t="inlineStr">
        <is>
          <t>1900-03-01</t>
        </is>
      </c>
      <c r="B524" s="6" t="n">
        <v>4.32</v>
      </c>
      <c r="C524" s="8">
        <f>B524/100/12</f>
        <v/>
      </c>
      <c r="D524" s="8">
        <f>D523*(1+C524)</f>
        <v/>
      </c>
    </row>
    <row r="525">
      <c r="A525" s="8" t="inlineStr">
        <is>
          <t>1900-04-01</t>
        </is>
      </c>
      <c r="B525" s="6" t="n">
        <v>3.69</v>
      </c>
      <c r="C525" s="8">
        <f>B525/100/12</f>
        <v/>
      </c>
      <c r="D525" s="8">
        <f>D524*(1+C525)</f>
        <v/>
      </c>
    </row>
    <row r="526">
      <c r="A526" s="8" t="inlineStr">
        <is>
          <t>1900-05-01</t>
        </is>
      </c>
      <c r="B526" s="6" t="n">
        <v>3.14</v>
      </c>
      <c r="C526" s="8">
        <f>B526/100/12</f>
        <v/>
      </c>
      <c r="D526" s="8">
        <f>D525*(1+C526)</f>
        <v/>
      </c>
    </row>
    <row r="527">
      <c r="A527" s="8" t="inlineStr">
        <is>
          <t>1900-06-01</t>
        </is>
      </c>
      <c r="B527" s="6" t="n">
        <v>3.12</v>
      </c>
      <c r="C527" s="8">
        <f>B527/100/12</f>
        <v/>
      </c>
      <c r="D527" s="8">
        <f>D526*(1+C527)</f>
        <v/>
      </c>
    </row>
    <row r="528">
      <c r="A528" s="8" t="inlineStr">
        <is>
          <t>1900-07-01</t>
        </is>
      </c>
      <c r="B528" s="6" t="n">
        <v>3.47</v>
      </c>
      <c r="C528" s="8">
        <f>B528/100/12</f>
        <v/>
      </c>
      <c r="D528" s="8">
        <f>D527*(1+C528)</f>
        <v/>
      </c>
    </row>
    <row r="529">
      <c r="A529" s="8" t="inlineStr">
        <is>
          <t>1900-08-01</t>
        </is>
      </c>
      <c r="B529" s="6" t="n">
        <v>3.63</v>
      </c>
      <c r="C529" s="8">
        <f>B529/100/12</f>
        <v/>
      </c>
      <c r="D529" s="8">
        <f>D528*(1+C529)</f>
        <v/>
      </c>
    </row>
    <row r="530">
      <c r="A530" s="8" t="inlineStr">
        <is>
          <t>1900-09-01</t>
        </is>
      </c>
      <c r="B530" s="6" t="n">
        <v>3.78</v>
      </c>
      <c r="C530" s="8">
        <f>B530/100/12</f>
        <v/>
      </c>
      <c r="D530" s="8">
        <f>D529*(1+C530)</f>
        <v/>
      </c>
    </row>
    <row r="531">
      <c r="A531" s="8" t="inlineStr">
        <is>
          <t>1900-10-01</t>
        </is>
      </c>
      <c r="B531" s="6" t="n">
        <v>4.49</v>
      </c>
      <c r="C531" s="8">
        <f>B531/100/12</f>
        <v/>
      </c>
      <c r="D531" s="8">
        <f>D530*(1+C531)</f>
        <v/>
      </c>
    </row>
    <row r="532">
      <c r="A532" s="8" t="inlineStr">
        <is>
          <t>1900-11-01</t>
        </is>
      </c>
      <c r="B532" s="6" t="n">
        <v>3.84</v>
      </c>
      <c r="C532" s="8">
        <f>B532/100/12</f>
        <v/>
      </c>
      <c r="D532" s="8">
        <f>D531*(1+C532)</f>
        <v/>
      </c>
    </row>
    <row r="533">
      <c r="A533" s="8" t="inlineStr">
        <is>
          <t>1900-12-01</t>
        </is>
      </c>
      <c r="B533" s="6" t="n">
        <v>4.19</v>
      </c>
      <c r="C533" s="8">
        <f>B533/100/12</f>
        <v/>
      </c>
      <c r="D533" s="8">
        <f>D532*(1+C533)</f>
        <v/>
      </c>
    </row>
    <row r="534">
      <c r="A534" s="8" t="inlineStr">
        <is>
          <t>1901-01-01</t>
        </is>
      </c>
      <c r="B534" s="6" t="n">
        <v>3.47</v>
      </c>
      <c r="C534" s="8">
        <f>B534/100/12</f>
        <v/>
      </c>
      <c r="D534" s="8">
        <f>D533*(1+C534)</f>
        <v/>
      </c>
    </row>
    <row r="535">
      <c r="A535" s="8" t="inlineStr">
        <is>
          <t>1901-02-01</t>
        </is>
      </c>
      <c r="B535" s="6" t="n">
        <v>3.13</v>
      </c>
      <c r="C535" s="8">
        <f>B535/100/12</f>
        <v/>
      </c>
      <c r="D535" s="8">
        <f>D534*(1+C535)</f>
        <v/>
      </c>
    </row>
    <row r="536">
      <c r="A536" s="8" t="inlineStr">
        <is>
          <t>1901-03-01</t>
        </is>
      </c>
      <c r="B536" s="6" t="n">
        <v>3.19</v>
      </c>
      <c r="C536" s="8">
        <f>B536/100/12</f>
        <v/>
      </c>
      <c r="D536" s="8">
        <f>D535*(1+C536)</f>
        <v/>
      </c>
    </row>
    <row r="537">
      <c r="A537" s="8" t="inlineStr">
        <is>
          <t>1901-04-01</t>
        </is>
      </c>
      <c r="B537" s="6" t="n">
        <v>3.41</v>
      </c>
      <c r="C537" s="8">
        <f>B537/100/12</f>
        <v/>
      </c>
      <c r="D537" s="8">
        <f>D536*(1+C537)</f>
        <v/>
      </c>
    </row>
    <row r="538">
      <c r="A538" s="8" t="inlineStr">
        <is>
          <t>1901-05-01</t>
        </is>
      </c>
      <c r="B538" s="6" t="n">
        <v>3.41</v>
      </c>
      <c r="C538" s="8">
        <f>B538/100/12</f>
        <v/>
      </c>
      <c r="D538" s="8">
        <f>D537*(1+C538)</f>
        <v/>
      </c>
    </row>
    <row r="539">
      <c r="A539" s="8" t="inlineStr">
        <is>
          <t>1901-06-01</t>
        </is>
      </c>
      <c r="B539" s="6" t="n">
        <v>3.38</v>
      </c>
      <c r="C539" s="8">
        <f>B539/100/12</f>
        <v/>
      </c>
      <c r="D539" s="8">
        <f>D538*(1+C539)</f>
        <v/>
      </c>
    </row>
    <row r="540">
      <c r="A540" s="8" t="inlineStr">
        <is>
          <t>1901-07-01</t>
        </is>
      </c>
      <c r="B540" s="6" t="n">
        <v>3.74</v>
      </c>
      <c r="C540" s="8">
        <f>B540/100/12</f>
        <v/>
      </c>
      <c r="D540" s="8">
        <f>D539*(1+C540)</f>
        <v/>
      </c>
    </row>
    <row r="541">
      <c r="A541" s="8" t="inlineStr">
        <is>
          <t>1901-08-01</t>
        </is>
      </c>
      <c r="B541" s="6" t="n">
        <v>3.94</v>
      </c>
      <c r="C541" s="8">
        <f>B541/100/12</f>
        <v/>
      </c>
      <c r="D541" s="8">
        <f>D540*(1+C541)</f>
        <v/>
      </c>
    </row>
    <row r="542">
      <c r="A542" s="8" t="inlineStr">
        <is>
          <t>1901-09-01</t>
        </is>
      </c>
      <c r="B542" s="6" t="n">
        <v>4.38</v>
      </c>
      <c r="C542" s="8">
        <f>B542/100/12</f>
        <v/>
      </c>
      <c r="D542" s="8">
        <f>D541*(1+C542)</f>
        <v/>
      </c>
    </row>
    <row r="543">
      <c r="A543" s="8" t="inlineStr">
        <is>
          <t>1901-10-01</t>
        </is>
      </c>
      <c r="B543" s="6" t="n">
        <v>4.09</v>
      </c>
      <c r="C543" s="8">
        <f>B543/100/12</f>
        <v/>
      </c>
      <c r="D543" s="8">
        <f>D542*(1+C543)</f>
        <v/>
      </c>
    </row>
    <row r="544">
      <c r="A544" s="8" t="inlineStr">
        <is>
          <t>1901-11-01</t>
        </is>
      </c>
      <c r="B544" s="6" t="n">
        <v>4.16</v>
      </c>
      <c r="C544" s="8">
        <f>B544/100/12</f>
        <v/>
      </c>
      <c r="D544" s="8">
        <f>D543*(1+C544)</f>
        <v/>
      </c>
    </row>
    <row r="545">
      <c r="A545" s="8" t="inlineStr">
        <is>
          <t>1901-12-01</t>
        </is>
      </c>
      <c r="B545" s="6" t="n">
        <v>4.38</v>
      </c>
      <c r="C545" s="8">
        <f>B545/100/12</f>
        <v/>
      </c>
      <c r="D545" s="8">
        <f>D544*(1+C545)</f>
        <v/>
      </c>
    </row>
    <row r="546">
      <c r="A546" s="8" t="inlineStr">
        <is>
          <t>1902-01-01</t>
        </is>
      </c>
      <c r="B546" s="6" t="n">
        <v>3.94</v>
      </c>
      <c r="C546" s="8">
        <f>B546/100/12</f>
        <v/>
      </c>
      <c r="D546" s="8">
        <f>D545*(1+C546)</f>
        <v/>
      </c>
    </row>
    <row r="547">
      <c r="A547" s="8" t="inlineStr">
        <is>
          <t>1902-02-01</t>
        </is>
      </c>
      <c r="B547" s="6" t="n">
        <v>3.44</v>
      </c>
      <c r="C547" s="8">
        <f>B547/100/12</f>
        <v/>
      </c>
      <c r="D547" s="8">
        <f>D546*(1+C547)</f>
        <v/>
      </c>
    </row>
    <row r="548">
      <c r="A548" s="8" t="inlineStr">
        <is>
          <t>1902-03-01</t>
        </is>
      </c>
      <c r="B548" s="6" t="n">
        <v>3.78</v>
      </c>
      <c r="C548" s="8">
        <f>B548/100/12</f>
        <v/>
      </c>
      <c r="D548" s="8">
        <f>D547*(1+C548)</f>
        <v/>
      </c>
    </row>
    <row r="549">
      <c r="A549" s="8" t="inlineStr">
        <is>
          <t>1902-04-01</t>
        </is>
      </c>
      <c r="B549" s="6" t="n">
        <v>3.92</v>
      </c>
      <c r="C549" s="8">
        <f>B549/100/12</f>
        <v/>
      </c>
      <c r="D549" s="8">
        <f>D548*(1+C549)</f>
        <v/>
      </c>
    </row>
    <row r="550">
      <c r="A550" s="8" t="inlineStr">
        <is>
          <t>1902-05-01</t>
        </is>
      </c>
      <c r="B550" s="6" t="n">
        <v>3.97</v>
      </c>
      <c r="C550" s="8">
        <f>B550/100/12</f>
        <v/>
      </c>
      <c r="D550" s="8">
        <f>D549*(1+C550)</f>
        <v/>
      </c>
    </row>
    <row r="551">
      <c r="A551" s="8" t="inlineStr">
        <is>
          <t>1902-06-01</t>
        </is>
      </c>
      <c r="B551" s="6" t="n">
        <v>3.88</v>
      </c>
      <c r="C551" s="8">
        <f>B551/100/12</f>
        <v/>
      </c>
      <c r="D551" s="8">
        <f>D550*(1+C551)</f>
        <v/>
      </c>
    </row>
    <row r="552">
      <c r="A552" s="8" t="inlineStr">
        <is>
          <t>1902-07-01</t>
        </is>
      </c>
      <c r="B552" s="6" t="n">
        <v>4.06</v>
      </c>
      <c r="C552" s="8">
        <f>B552/100/12</f>
        <v/>
      </c>
      <c r="D552" s="8">
        <f>D551*(1+C552)</f>
        <v/>
      </c>
    </row>
    <row r="553">
      <c r="A553" s="8" t="inlineStr">
        <is>
          <t>1902-08-01</t>
        </is>
      </c>
      <c r="B553" s="6" t="n">
        <v>4.28</v>
      </c>
      <c r="C553" s="8">
        <f>B553/100/12</f>
        <v/>
      </c>
      <c r="D553" s="8">
        <f>D552*(1+C553)</f>
        <v/>
      </c>
    </row>
    <row r="554">
      <c r="A554" s="8" t="inlineStr">
        <is>
          <t>1902-09-01</t>
        </is>
      </c>
      <c r="B554" s="6" t="n">
        <v>5.05</v>
      </c>
      <c r="C554" s="8">
        <f>B554/100/12</f>
        <v/>
      </c>
      <c r="D554" s="8">
        <f>D553*(1+C554)</f>
        <v/>
      </c>
    </row>
    <row r="555">
      <c r="A555" s="8" t="inlineStr">
        <is>
          <t>1902-10-01</t>
        </is>
      </c>
      <c r="B555" s="6" t="n">
        <v>5.38</v>
      </c>
      <c r="C555" s="8">
        <f>B555/100/12</f>
        <v/>
      </c>
      <c r="D555" s="8">
        <f>D554*(1+C555)</f>
        <v/>
      </c>
    </row>
    <row r="556">
      <c r="A556" s="8" t="inlineStr">
        <is>
          <t>1902-11-01</t>
        </is>
      </c>
      <c r="B556" s="6" t="n">
        <v>5.19</v>
      </c>
      <c r="C556" s="8">
        <f>B556/100/12</f>
        <v/>
      </c>
      <c r="D556" s="8">
        <f>D555*(1+C556)</f>
        <v/>
      </c>
    </row>
    <row r="557">
      <c r="A557" s="8" t="inlineStr">
        <is>
          <t>1902-12-01</t>
        </is>
      </c>
      <c r="B557" s="6" t="n">
        <v>5.44</v>
      </c>
      <c r="C557" s="8">
        <f>B557/100/12</f>
        <v/>
      </c>
      <c r="D557" s="8">
        <f>D556*(1+C557)</f>
        <v/>
      </c>
    </row>
    <row r="558">
      <c r="A558" s="8" t="inlineStr">
        <is>
          <t>1903-01-01</t>
        </is>
      </c>
      <c r="B558" s="6" t="n">
        <v>4.56</v>
      </c>
      <c r="C558" s="8">
        <f>B558/100/12</f>
        <v/>
      </c>
      <c r="D558" s="8">
        <f>D557*(1+C558)</f>
        <v/>
      </c>
    </row>
    <row r="559">
      <c r="A559" s="8" t="inlineStr">
        <is>
          <t>1903-02-01</t>
        </is>
      </c>
      <c r="B559" s="6" t="n">
        <v>4.28</v>
      </c>
      <c r="C559" s="8">
        <f>B559/100/12</f>
        <v/>
      </c>
      <c r="D559" s="8">
        <f>D558*(1+C559)</f>
        <v/>
      </c>
    </row>
    <row r="560">
      <c r="A560" s="8" t="inlineStr">
        <is>
          <t>1903-03-01</t>
        </is>
      </c>
      <c r="B560" s="6" t="n">
        <v>5.05</v>
      </c>
      <c r="C560" s="8">
        <f>B560/100/12</f>
        <v/>
      </c>
      <c r="D560" s="8">
        <f>D559*(1+C560)</f>
        <v/>
      </c>
    </row>
    <row r="561">
      <c r="A561" s="8" t="inlineStr">
        <is>
          <t>1903-04-01</t>
        </is>
      </c>
      <c r="B561" s="6" t="n">
        <v>4.66</v>
      </c>
      <c r="C561" s="8">
        <f>B561/100/12</f>
        <v/>
      </c>
      <c r="D561" s="8">
        <f>D560*(1+C561)</f>
        <v/>
      </c>
    </row>
    <row r="562">
      <c r="A562" s="8" t="inlineStr">
        <is>
          <t>1903-05-01</t>
        </is>
      </c>
      <c r="B562" s="6" t="n">
        <v>4.19</v>
      </c>
      <c r="C562" s="8">
        <f>B562/100/12</f>
        <v/>
      </c>
      <c r="D562" s="8">
        <f>D561*(1+C562)</f>
        <v/>
      </c>
    </row>
    <row r="563">
      <c r="A563" s="8" t="inlineStr">
        <is>
          <t>1903-06-01</t>
        </is>
      </c>
      <c r="B563" s="6" t="n">
        <v>4.52</v>
      </c>
      <c r="C563" s="8">
        <f>B563/100/12</f>
        <v/>
      </c>
      <c r="D563" s="8">
        <f>D562*(1+C563)</f>
        <v/>
      </c>
    </row>
    <row r="564">
      <c r="A564" s="8" t="inlineStr">
        <is>
          <t>1903-07-01</t>
        </is>
      </c>
      <c r="B564" s="6" t="n">
        <v>4.88</v>
      </c>
      <c r="C564" s="8">
        <f>B564/100/12</f>
        <v/>
      </c>
      <c r="D564" s="8">
        <f>D563*(1+C564)</f>
        <v/>
      </c>
    </row>
    <row r="565">
      <c r="A565" s="8" t="inlineStr">
        <is>
          <t>1903-08-01</t>
        </is>
      </c>
      <c r="B565" s="6" t="n">
        <v>5.38</v>
      </c>
      <c r="C565" s="8">
        <f>B565/100/12</f>
        <v/>
      </c>
      <c r="D565" s="8">
        <f>D564*(1+C565)</f>
        <v/>
      </c>
    </row>
    <row r="566">
      <c r="A566" s="8" t="inlineStr">
        <is>
          <t>1903-09-01</t>
        </is>
      </c>
      <c r="B566" s="6" t="n">
        <v>5.44</v>
      </c>
      <c r="C566" s="8">
        <f>B566/100/12</f>
        <v/>
      </c>
      <c r="D566" s="8">
        <f>D565*(1+C566)</f>
        <v/>
      </c>
    </row>
    <row r="567">
      <c r="A567" s="8" t="inlineStr">
        <is>
          <t>1903-10-01</t>
        </is>
      </c>
      <c r="B567" s="6" t="n">
        <v>5.28</v>
      </c>
      <c r="C567" s="8">
        <f>B567/100/12</f>
        <v/>
      </c>
      <c r="D567" s="8">
        <f>D566*(1+C567)</f>
        <v/>
      </c>
    </row>
    <row r="568">
      <c r="A568" s="8" t="inlineStr">
        <is>
          <t>1903-11-01</t>
        </is>
      </c>
      <c r="B568" s="6" t="n">
        <v>5.41</v>
      </c>
      <c r="C568" s="8">
        <f>B568/100/12</f>
        <v/>
      </c>
      <c r="D568" s="8">
        <f>D567*(1+C568)</f>
        <v/>
      </c>
    </row>
    <row r="569">
      <c r="A569" s="8" t="inlineStr">
        <is>
          <t>1903-12-01</t>
        </is>
      </c>
      <c r="B569" s="6" t="n">
        <v>5.29</v>
      </c>
      <c r="C569" s="8">
        <f>B569/100/12</f>
        <v/>
      </c>
      <c r="D569" s="8">
        <f>D568*(1+C569)</f>
        <v/>
      </c>
    </row>
    <row r="570">
      <c r="A570" s="8" t="inlineStr">
        <is>
          <t>1904-01-01</t>
        </is>
      </c>
      <c r="B570" s="6" t="n">
        <v>4.32</v>
      </c>
      <c r="C570" s="8">
        <f>B570/100/12</f>
        <v/>
      </c>
      <c r="D570" s="8">
        <f>D569*(1+C570)</f>
        <v/>
      </c>
    </row>
    <row r="571">
      <c r="A571" s="8" t="inlineStr">
        <is>
          <t>1904-02-01</t>
        </is>
      </c>
      <c r="B571" s="6" t="n">
        <v>4.22</v>
      </c>
      <c r="C571" s="8">
        <f>B571/100/12</f>
        <v/>
      </c>
      <c r="D571" s="8">
        <f>D570*(1+C571)</f>
        <v/>
      </c>
    </row>
    <row r="572">
      <c r="A572" s="8" t="inlineStr">
        <is>
          <t>1904-03-01</t>
        </is>
      </c>
      <c r="B572" s="6" t="n">
        <v>4.12</v>
      </c>
      <c r="C572" s="8">
        <f>B572/100/12</f>
        <v/>
      </c>
      <c r="D572" s="8">
        <f>D571*(1+C572)</f>
        <v/>
      </c>
    </row>
    <row r="573">
      <c r="A573" s="8" t="inlineStr">
        <is>
          <t>1904-04-01</t>
        </is>
      </c>
      <c r="B573" s="6" t="n">
        <v>3.5</v>
      </c>
      <c r="C573" s="8">
        <f>B573/100/12</f>
        <v/>
      </c>
      <c r="D573" s="8">
        <f>D572*(1+C573)</f>
        <v/>
      </c>
    </row>
    <row r="574">
      <c r="A574" s="8" t="inlineStr">
        <is>
          <t>1904-05-01</t>
        </is>
      </c>
      <c r="B574" s="6" t="n">
        <v>3.36</v>
      </c>
      <c r="C574" s="8">
        <f>B574/100/12</f>
        <v/>
      </c>
      <c r="D574" s="8">
        <f>D573*(1+C574)</f>
        <v/>
      </c>
    </row>
    <row r="575">
      <c r="A575" s="8" t="inlineStr">
        <is>
          <t>1904-06-01</t>
        </is>
      </c>
      <c r="B575" s="6" t="n">
        <v>3.05</v>
      </c>
      <c r="C575" s="8">
        <f>B575/100/12</f>
        <v/>
      </c>
      <c r="D575" s="8">
        <f>D574*(1+C575)</f>
        <v/>
      </c>
    </row>
    <row r="576">
      <c r="A576" s="8" t="inlineStr">
        <is>
          <t>1904-07-01</t>
        </is>
      </c>
      <c r="B576" s="6" t="n">
        <v>2.97</v>
      </c>
      <c r="C576" s="8">
        <f>B576/100/12</f>
        <v/>
      </c>
      <c r="D576" s="8">
        <f>D575*(1+C576)</f>
        <v/>
      </c>
    </row>
    <row r="577">
      <c r="A577" s="8" t="inlineStr">
        <is>
          <t>1904-08-01</t>
        </is>
      </c>
      <c r="B577" s="6" t="n">
        <v>3.32</v>
      </c>
      <c r="C577" s="8">
        <f>B577/100/12</f>
        <v/>
      </c>
      <c r="D577" s="8">
        <f>D576*(1+C577)</f>
        <v/>
      </c>
    </row>
    <row r="578">
      <c r="A578" s="8" t="inlineStr">
        <is>
          <t>1904-09-01</t>
        </is>
      </c>
      <c r="B578" s="6" t="n">
        <v>3.75</v>
      </c>
      <c r="C578" s="8">
        <f>B578/100/12</f>
        <v/>
      </c>
      <c r="D578" s="8">
        <f>D577*(1+C578)</f>
        <v/>
      </c>
    </row>
    <row r="579">
      <c r="A579" s="8" t="inlineStr">
        <is>
          <t>1904-10-01</t>
        </is>
      </c>
      <c r="B579" s="6" t="n">
        <v>3.84</v>
      </c>
      <c r="C579" s="8">
        <f>B579/100/12</f>
        <v/>
      </c>
      <c r="D579" s="8">
        <f>D578*(1+C579)</f>
        <v/>
      </c>
    </row>
    <row r="580">
      <c r="A580" s="8" t="inlineStr">
        <is>
          <t>1904-11-01</t>
        </is>
      </c>
      <c r="B580" s="6" t="n">
        <v>3.57</v>
      </c>
      <c r="C580" s="8">
        <f>B580/100/12</f>
        <v/>
      </c>
      <c r="D580" s="8">
        <f>D579*(1+C580)</f>
        <v/>
      </c>
    </row>
    <row r="581">
      <c r="A581" s="8" t="inlineStr">
        <is>
          <t>1904-12-01</t>
        </is>
      </c>
      <c r="B581" s="6" t="n">
        <v>3.72</v>
      </c>
      <c r="C581" s="8">
        <f>B581/100/12</f>
        <v/>
      </c>
      <c r="D581" s="8">
        <f>D580*(1+C581)</f>
        <v/>
      </c>
    </row>
    <row r="582">
      <c r="A582" s="8" t="inlineStr">
        <is>
          <t>1905-01-01</t>
        </is>
      </c>
      <c r="B582" s="6" t="n">
        <v>3.41</v>
      </c>
      <c r="C582" s="8">
        <f>B582/100/12</f>
        <v/>
      </c>
      <c r="D582" s="8">
        <f>D581*(1+C582)</f>
        <v/>
      </c>
    </row>
    <row r="583">
      <c r="A583" s="8" t="inlineStr">
        <is>
          <t>1905-02-01</t>
        </is>
      </c>
      <c r="B583" s="6" t="n">
        <v>3.27</v>
      </c>
      <c r="C583" s="8">
        <f>B583/100/12</f>
        <v/>
      </c>
      <c r="D583" s="8">
        <f>D582*(1+C583)</f>
        <v/>
      </c>
    </row>
    <row r="584">
      <c r="A584" s="8" t="inlineStr">
        <is>
          <t>1905-03-01</t>
        </is>
      </c>
      <c r="B584" s="6" t="n">
        <v>3.37</v>
      </c>
      <c r="C584" s="8">
        <f>B584/100/12</f>
        <v/>
      </c>
      <c r="D584" s="8">
        <f>D583*(1+C584)</f>
        <v/>
      </c>
    </row>
    <row r="585">
      <c r="A585" s="8" t="inlineStr">
        <is>
          <t>1905-04-01</t>
        </is>
      </c>
      <c r="B585" s="6" t="n">
        <v>3.41</v>
      </c>
      <c r="C585" s="8">
        <f>B585/100/12</f>
        <v/>
      </c>
      <c r="D585" s="8">
        <f>D584*(1+C585)</f>
        <v/>
      </c>
    </row>
    <row r="586">
      <c r="A586" s="8" t="inlineStr">
        <is>
          <t>1905-05-01</t>
        </is>
      </c>
      <c r="B586" s="6" t="n">
        <v>3.42</v>
      </c>
      <c r="C586" s="8">
        <f>B586/100/12</f>
        <v/>
      </c>
      <c r="D586" s="8">
        <f>D585*(1+C586)</f>
        <v/>
      </c>
    </row>
    <row r="587">
      <c r="A587" s="8" t="inlineStr">
        <is>
          <t>1905-06-01</t>
        </is>
      </c>
      <c r="B587" s="6" t="n">
        <v>3.19</v>
      </c>
      <c r="C587" s="8">
        <f>B587/100/12</f>
        <v/>
      </c>
      <c r="D587" s="8">
        <f>D586*(1+C587)</f>
        <v/>
      </c>
    </row>
    <row r="588">
      <c r="A588" s="8" t="inlineStr">
        <is>
          <t>1905-07-01</t>
        </is>
      </c>
      <c r="B588" s="6" t="n">
        <v>3.56</v>
      </c>
      <c r="C588" s="8">
        <f>B588/100/12</f>
        <v/>
      </c>
      <c r="D588" s="8">
        <f>D587*(1+C588)</f>
        <v/>
      </c>
    </row>
    <row r="589">
      <c r="A589" s="8" t="inlineStr">
        <is>
          <t>1905-08-01</t>
        </is>
      </c>
      <c r="B589" s="6" t="n">
        <v>3.64</v>
      </c>
      <c r="C589" s="8">
        <f>B589/100/12</f>
        <v/>
      </c>
      <c r="D589" s="8">
        <f>D588*(1+C589)</f>
        <v/>
      </c>
    </row>
    <row r="590">
      <c r="A590" s="8" t="inlineStr">
        <is>
          <t>1905-09-01</t>
        </is>
      </c>
      <c r="B590" s="6" t="n">
        <v>4.16</v>
      </c>
      <c r="C590" s="8">
        <f>B590/100/12</f>
        <v/>
      </c>
      <c r="D590" s="8">
        <f>D589*(1+C590)</f>
        <v/>
      </c>
    </row>
    <row r="591">
      <c r="A591" s="8" t="inlineStr">
        <is>
          <t>1905-10-01</t>
        </is>
      </c>
      <c r="B591" s="6" t="n">
        <v>4.39</v>
      </c>
      <c r="C591" s="8">
        <f>B591/100/12</f>
        <v/>
      </c>
      <c r="D591" s="8">
        <f>D590*(1+C591)</f>
        <v/>
      </c>
    </row>
    <row r="592">
      <c r="A592" s="8" t="inlineStr">
        <is>
          <t>1905-11-01</t>
        </is>
      </c>
      <c r="B592" s="6" t="n">
        <v>5.02</v>
      </c>
      <c r="C592" s="8">
        <f>B592/100/12</f>
        <v/>
      </c>
      <c r="D592" s="8">
        <f>D591*(1+C592)</f>
        <v/>
      </c>
    </row>
    <row r="593">
      <c r="A593" s="8" t="inlineStr">
        <is>
          <t>1905-12-01</t>
        </is>
      </c>
      <c r="B593" s="6" t="n">
        <v>5.25</v>
      </c>
      <c r="C593" s="8">
        <f>B593/100/12</f>
        <v/>
      </c>
      <c r="D593" s="8">
        <f>D592*(1+C593)</f>
        <v/>
      </c>
    </row>
    <row r="594">
      <c r="A594" s="8" t="inlineStr">
        <is>
          <t>1906-01-01</t>
        </is>
      </c>
      <c r="B594" s="6" t="n">
        <v>4.49</v>
      </c>
      <c r="C594" s="8">
        <f>B594/100/12</f>
        <v/>
      </c>
      <c r="D594" s="8">
        <f>D593*(1+C594)</f>
        <v/>
      </c>
    </row>
    <row r="595">
      <c r="A595" s="8" t="inlineStr">
        <is>
          <t>1906-02-01</t>
        </is>
      </c>
      <c r="B595" s="6" t="n">
        <v>4.47</v>
      </c>
      <c r="C595" s="8">
        <f>B595/100/12</f>
        <v/>
      </c>
      <c r="D595" s="8">
        <f>D594*(1+C595)</f>
        <v/>
      </c>
    </row>
    <row r="596">
      <c r="A596" s="8" t="inlineStr">
        <is>
          <t>1906-03-01</t>
        </is>
      </c>
      <c r="B596" s="6" t="n">
        <v>4.72</v>
      </c>
      <c r="C596" s="8">
        <f>B596/100/12</f>
        <v/>
      </c>
      <c r="D596" s="8">
        <f>D595*(1+C596)</f>
        <v/>
      </c>
    </row>
    <row r="597">
      <c r="A597" s="8" t="inlineStr">
        <is>
          <t>1906-04-01</t>
        </is>
      </c>
      <c r="B597" s="6" t="n">
        <v>4.88</v>
      </c>
      <c r="C597" s="8">
        <f>B597/100/12</f>
        <v/>
      </c>
      <c r="D597" s="8">
        <f>D596*(1+C597)</f>
        <v/>
      </c>
    </row>
    <row r="598">
      <c r="A598" s="8" t="inlineStr">
        <is>
          <t>1906-05-01</t>
        </is>
      </c>
      <c r="B598" s="6" t="n">
        <v>4.76</v>
      </c>
      <c r="C598" s="8">
        <f>B598/100/12</f>
        <v/>
      </c>
      <c r="D598" s="8">
        <f>D597*(1+C598)</f>
        <v/>
      </c>
    </row>
    <row r="599">
      <c r="A599" s="8" t="inlineStr">
        <is>
          <t>1906-06-01</t>
        </is>
      </c>
      <c r="B599" s="6" t="n">
        <v>4.69</v>
      </c>
      <c r="C599" s="8">
        <f>B599/100/12</f>
        <v/>
      </c>
      <c r="D599" s="8">
        <f>D598*(1+C599)</f>
        <v/>
      </c>
    </row>
    <row r="600">
      <c r="A600" s="8" t="inlineStr">
        <is>
          <t>1906-07-01</t>
        </is>
      </c>
      <c r="B600" s="6" t="n">
        <v>4.9</v>
      </c>
      <c r="C600" s="8">
        <f>B600/100/12</f>
        <v/>
      </c>
      <c r="D600" s="8">
        <f>D599*(1+C600)</f>
        <v/>
      </c>
    </row>
    <row r="601">
      <c r="A601" s="8" t="inlineStr">
        <is>
          <t>1906-08-01</t>
        </is>
      </c>
      <c r="B601" s="6" t="n">
        <v>5.4</v>
      </c>
      <c r="C601" s="8">
        <f>B601/100/12</f>
        <v/>
      </c>
      <c r="D601" s="8">
        <f>D600*(1+C601)</f>
        <v/>
      </c>
    </row>
    <row r="602">
      <c r="A602" s="8" t="inlineStr">
        <is>
          <t>1906-09-01</t>
        </is>
      </c>
      <c r="B602" s="6" t="n">
        <v>6</v>
      </c>
      <c r="C602" s="8">
        <f>B602/100/12</f>
        <v/>
      </c>
      <c r="D602" s="8">
        <f>D601*(1+C602)</f>
        <v/>
      </c>
    </row>
    <row r="603">
      <c r="A603" s="8" t="inlineStr">
        <is>
          <t>1906-10-01</t>
        </is>
      </c>
      <c r="B603" s="6" t="n">
        <v>5.74</v>
      </c>
      <c r="C603" s="8">
        <f>B603/100/12</f>
        <v/>
      </c>
      <c r="D603" s="8">
        <f>D602*(1+C603)</f>
        <v/>
      </c>
    </row>
    <row r="604">
      <c r="A604" s="8" t="inlineStr">
        <is>
          <t>1906-11-01</t>
        </is>
      </c>
      <c r="B604" s="6" t="n">
        <v>5.69</v>
      </c>
      <c r="C604" s="8">
        <f>B604/100/12</f>
        <v/>
      </c>
      <c r="D604" s="8">
        <f>D603*(1+C604)</f>
        <v/>
      </c>
    </row>
    <row r="605">
      <c r="A605" s="8" t="inlineStr">
        <is>
          <t>1906-12-01</t>
        </is>
      </c>
      <c r="B605" s="6" t="n">
        <v>5.69</v>
      </c>
      <c r="C605" s="8">
        <f>B605/100/12</f>
        <v/>
      </c>
      <c r="D605" s="8">
        <f>D604*(1+C605)</f>
        <v/>
      </c>
    </row>
    <row r="606">
      <c r="A606" s="8" t="inlineStr">
        <is>
          <t>1907-01-01</t>
        </is>
      </c>
      <c r="B606" s="6" t="n">
        <v>5.59</v>
      </c>
      <c r="C606" s="8">
        <f>B606/100/12</f>
        <v/>
      </c>
      <c r="D606" s="8">
        <f>D605*(1+C606)</f>
        <v/>
      </c>
    </row>
    <row r="607">
      <c r="A607" s="8" t="inlineStr">
        <is>
          <t>1907-02-01</t>
        </is>
      </c>
      <c r="B607" s="6" t="n">
        <v>5.38</v>
      </c>
      <c r="C607" s="8">
        <f>B607/100/12</f>
        <v/>
      </c>
      <c r="D607" s="8">
        <f>D606*(1+C607)</f>
        <v/>
      </c>
    </row>
    <row r="608">
      <c r="A608" s="8" t="inlineStr">
        <is>
          <t>1907-03-01</t>
        </is>
      </c>
      <c r="B608" s="6" t="n">
        <v>5.62</v>
      </c>
      <c r="C608" s="8">
        <f>B608/100/12</f>
        <v/>
      </c>
      <c r="D608" s="8">
        <f>D607*(1+C608)</f>
        <v/>
      </c>
    </row>
    <row r="609">
      <c r="A609" s="8" t="inlineStr">
        <is>
          <t>1907-04-01</t>
        </is>
      </c>
      <c r="B609" s="6" t="n">
        <v>5.38</v>
      </c>
      <c r="C609" s="8">
        <f>B609/100/12</f>
        <v/>
      </c>
      <c r="D609" s="8">
        <f>D608*(1+C609)</f>
        <v/>
      </c>
    </row>
    <row r="610">
      <c r="A610" s="8" t="inlineStr">
        <is>
          <t>1907-05-01</t>
        </is>
      </c>
      <c r="B610" s="6" t="n">
        <v>4.91</v>
      </c>
      <c r="C610" s="8">
        <f>B610/100/12</f>
        <v/>
      </c>
      <c r="D610" s="8">
        <f>D609*(1+C610)</f>
        <v/>
      </c>
    </row>
    <row r="611">
      <c r="A611" s="8" t="inlineStr">
        <is>
          <t>1907-06-01</t>
        </is>
      </c>
      <c r="B611" s="6" t="n">
        <v>4.88</v>
      </c>
      <c r="C611" s="8">
        <f>B611/100/12</f>
        <v/>
      </c>
      <c r="D611" s="8">
        <f>D610*(1+C611)</f>
        <v/>
      </c>
    </row>
    <row r="612">
      <c r="A612" s="8" t="inlineStr">
        <is>
          <t>1907-07-01</t>
        </is>
      </c>
      <c r="B612" s="6" t="n">
        <v>5.19</v>
      </c>
      <c r="C612" s="8">
        <f>B612/100/12</f>
        <v/>
      </c>
      <c r="D612" s="8">
        <f>D611*(1+C612)</f>
        <v/>
      </c>
    </row>
    <row r="613">
      <c r="A613" s="8" t="inlineStr">
        <is>
          <t>1907-08-01</t>
        </is>
      </c>
      <c r="B613" s="6" t="n">
        <v>5.69</v>
      </c>
      <c r="C613" s="8">
        <f>B613/100/12</f>
        <v/>
      </c>
      <c r="D613" s="8">
        <f>D612*(1+C613)</f>
        <v/>
      </c>
    </row>
    <row r="614">
      <c r="A614" s="8" t="inlineStr">
        <is>
          <t>1907-09-01</t>
        </is>
      </c>
      <c r="B614" s="6" t="n">
        <v>6.25</v>
      </c>
      <c r="C614" s="8">
        <f>B614/100/12</f>
        <v/>
      </c>
      <c r="D614" s="8">
        <f>D613*(1+C614)</f>
        <v/>
      </c>
    </row>
    <row r="615">
      <c r="A615" s="8" t="inlineStr">
        <is>
          <t>1907-10-01</t>
        </is>
      </c>
      <c r="B615" s="6" t="n">
        <v>6.54</v>
      </c>
      <c r="C615" s="8">
        <f>B615/100/12</f>
        <v/>
      </c>
      <c r="D615" s="8">
        <f>D614*(1+C615)</f>
        <v/>
      </c>
    </row>
    <row r="616">
      <c r="A616" s="8" t="inlineStr">
        <is>
          <t>1907-11-01</t>
        </is>
      </c>
      <c r="B616" s="6" t="n">
        <v>6.69</v>
      </c>
      <c r="C616" s="8">
        <f>B616/100/12</f>
        <v/>
      </c>
      <c r="D616" s="8">
        <f>D615*(1+C616)</f>
        <v/>
      </c>
    </row>
    <row r="617">
      <c r="A617" s="8" t="inlineStr">
        <is>
          <t>1907-12-01</t>
        </is>
      </c>
      <c r="B617" s="6" t="n">
        <v>7.27</v>
      </c>
      <c r="C617" s="8">
        <f>B617/100/12</f>
        <v/>
      </c>
      <c r="D617" s="8">
        <f>D616*(1+C617)</f>
        <v/>
      </c>
    </row>
    <row r="618">
      <c r="A618" s="8" t="inlineStr">
        <is>
          <t>1908-01-01</t>
        </is>
      </c>
      <c r="B618" s="6" t="n">
        <v>5.91</v>
      </c>
      <c r="C618" s="8">
        <f>B618/100/12</f>
        <v/>
      </c>
      <c r="D618" s="8">
        <f>D617*(1+C618)</f>
        <v/>
      </c>
    </row>
    <row r="619">
      <c r="A619" s="8" t="inlineStr">
        <is>
          <t>1908-02-01</t>
        </is>
      </c>
      <c r="B619" s="6" t="n">
        <v>4.5</v>
      </c>
      <c r="C619" s="8">
        <f>B619/100/12</f>
        <v/>
      </c>
      <c r="D619" s="8">
        <f>D618*(1+C619)</f>
        <v/>
      </c>
    </row>
    <row r="620">
      <c r="A620" s="8" t="inlineStr">
        <is>
          <t>1908-03-01</t>
        </is>
      </c>
      <c r="B620" s="6" t="n">
        <v>5.12</v>
      </c>
      <c r="C620" s="8">
        <f>B620/100/12</f>
        <v/>
      </c>
      <c r="D620" s="8">
        <f>D619*(1+C620)</f>
        <v/>
      </c>
    </row>
    <row r="621">
      <c r="A621" s="8" t="inlineStr">
        <is>
          <t>1908-04-01</t>
        </is>
      </c>
      <c r="B621" s="6" t="n">
        <v>3.9</v>
      </c>
      <c r="C621" s="8">
        <f>B621/100/12</f>
        <v/>
      </c>
      <c r="D621" s="8">
        <f>D620*(1+C621)</f>
        <v/>
      </c>
    </row>
    <row r="622">
      <c r="A622" s="8" t="inlineStr">
        <is>
          <t>1908-05-01</t>
        </is>
      </c>
      <c r="B622" s="6" t="n">
        <v>3.38</v>
      </c>
      <c r="C622" s="8">
        <f>B622/100/12</f>
        <v/>
      </c>
      <c r="D622" s="8">
        <f>D621*(1+C622)</f>
        <v/>
      </c>
    </row>
    <row r="623">
      <c r="A623" s="8" t="inlineStr">
        <is>
          <t>1908-06-01</t>
        </is>
      </c>
      <c r="B623" s="6" t="n">
        <v>3.08</v>
      </c>
      <c r="C623" s="8">
        <f>B623/100/12</f>
        <v/>
      </c>
      <c r="D623" s="8">
        <f>D622*(1+C623)</f>
        <v/>
      </c>
    </row>
    <row r="624">
      <c r="A624" s="8" t="inlineStr">
        <is>
          <t>1908-07-01</t>
        </is>
      </c>
      <c r="B624" s="6" t="n">
        <v>3.19</v>
      </c>
      <c r="C624" s="8">
        <f>B624/100/12</f>
        <v/>
      </c>
      <c r="D624" s="8">
        <f>D623*(1+C624)</f>
        <v/>
      </c>
    </row>
    <row r="625">
      <c r="A625" s="8" t="inlineStr">
        <is>
          <t>1908-08-01</t>
        </is>
      </c>
      <c r="B625" s="6" t="n">
        <v>3.04</v>
      </c>
      <c r="C625" s="8">
        <f>B625/100/12</f>
        <v/>
      </c>
      <c r="D625" s="8">
        <f>D624*(1+C625)</f>
        <v/>
      </c>
    </row>
    <row r="626">
      <c r="A626" s="8" t="inlineStr">
        <is>
          <t>1908-09-01</t>
        </is>
      </c>
      <c r="B626" s="6" t="n">
        <v>3.37</v>
      </c>
      <c r="C626" s="8">
        <f>B626/100/12</f>
        <v/>
      </c>
      <c r="D626" s="8">
        <f>D625*(1+C626)</f>
        <v/>
      </c>
    </row>
    <row r="627">
      <c r="A627" s="8" t="inlineStr">
        <is>
          <t>1908-10-01</t>
        </is>
      </c>
      <c r="B627" s="6" t="n">
        <v>3.5</v>
      </c>
      <c r="C627" s="8">
        <f>B627/100/12</f>
        <v/>
      </c>
      <c r="D627" s="8">
        <f>D626*(1+C627)</f>
        <v/>
      </c>
    </row>
    <row r="628">
      <c r="A628" s="8" t="inlineStr">
        <is>
          <t>1908-11-01</t>
        </is>
      </c>
      <c r="B628" s="6" t="n">
        <v>3.47</v>
      </c>
      <c r="C628" s="8">
        <f>B628/100/12</f>
        <v/>
      </c>
      <c r="D628" s="8">
        <f>D627*(1+C628)</f>
        <v/>
      </c>
    </row>
    <row r="629">
      <c r="A629" s="8" t="inlineStr">
        <is>
          <t>1908-12-01</t>
        </is>
      </c>
      <c r="B629" s="6" t="n">
        <v>3.29</v>
      </c>
      <c r="C629" s="8">
        <f>B629/100/12</f>
        <v/>
      </c>
      <c r="D629" s="8">
        <f>D628*(1+C629)</f>
        <v/>
      </c>
    </row>
    <row r="630">
      <c r="A630" s="8" t="inlineStr">
        <is>
          <t>1909-01-01</t>
        </is>
      </c>
      <c r="B630" s="6" t="n">
        <v>3.16</v>
      </c>
      <c r="C630" s="8">
        <f>B630/100/12</f>
        <v/>
      </c>
      <c r="D630" s="8">
        <f>D629*(1+C630)</f>
        <v/>
      </c>
    </row>
    <row r="631">
      <c r="A631" s="8" t="inlineStr">
        <is>
          <t>1909-02-01</t>
        </is>
      </c>
      <c r="B631" s="6" t="n">
        <v>2.97</v>
      </c>
      <c r="C631" s="8">
        <f>B631/100/12</f>
        <v/>
      </c>
      <c r="D631" s="8">
        <f>D630*(1+C631)</f>
        <v/>
      </c>
    </row>
    <row r="632">
      <c r="A632" s="8" t="inlineStr">
        <is>
          <t>1909-03-01</t>
        </is>
      </c>
      <c r="B632" s="6" t="n">
        <v>2.94</v>
      </c>
      <c r="C632" s="8">
        <f>B632/100/12</f>
        <v/>
      </c>
      <c r="D632" s="8">
        <f>D631*(1+C632)</f>
        <v/>
      </c>
    </row>
    <row r="633">
      <c r="A633" s="8" t="inlineStr">
        <is>
          <t>1909-04-01</t>
        </is>
      </c>
      <c r="B633" s="6" t="n">
        <v>2.94</v>
      </c>
      <c r="C633" s="8">
        <f>B633/100/12</f>
        <v/>
      </c>
      <c r="D633" s="8">
        <f>D632*(1+C633)</f>
        <v/>
      </c>
    </row>
    <row r="634">
      <c r="A634" s="8" t="inlineStr">
        <is>
          <t>1909-05-01</t>
        </is>
      </c>
      <c r="B634" s="6" t="n">
        <v>2.88</v>
      </c>
      <c r="C634" s="8">
        <f>B634/100/12</f>
        <v/>
      </c>
      <c r="D634" s="8">
        <f>D633*(1+C634)</f>
        <v/>
      </c>
    </row>
    <row r="635">
      <c r="A635" s="8" t="inlineStr">
        <is>
          <t>1909-06-01</t>
        </is>
      </c>
      <c r="B635" s="6" t="n">
        <v>2.69</v>
      </c>
      <c r="C635" s="8">
        <f>B635/100/12</f>
        <v/>
      </c>
      <c r="D635" s="8">
        <f>D634*(1+C635)</f>
        <v/>
      </c>
    </row>
    <row r="636">
      <c r="A636" s="8" t="inlineStr">
        <is>
          <t>1909-07-01</t>
        </is>
      </c>
      <c r="B636" s="6" t="n">
        <v>2.82</v>
      </c>
      <c r="C636" s="8">
        <f>B636/100/12</f>
        <v/>
      </c>
      <c r="D636" s="8">
        <f>D635*(1+C636)</f>
        <v/>
      </c>
    </row>
    <row r="637">
      <c r="A637" s="8" t="inlineStr">
        <is>
          <t>1909-08-01</t>
        </is>
      </c>
      <c r="B637" s="6" t="n">
        <v>3.48</v>
      </c>
      <c r="C637" s="8">
        <f>B637/100/12</f>
        <v/>
      </c>
      <c r="D637" s="8">
        <f>D636*(1+C637)</f>
        <v/>
      </c>
    </row>
    <row r="638">
      <c r="A638" s="8" t="inlineStr">
        <is>
          <t>1909-09-01</t>
        </is>
      </c>
      <c r="B638" s="6" t="n">
        <v>3.62</v>
      </c>
      <c r="C638" s="8">
        <f>B638/100/12</f>
        <v/>
      </c>
      <c r="D638" s="8">
        <f>D637*(1+C638)</f>
        <v/>
      </c>
    </row>
    <row r="639">
      <c r="A639" s="8" t="inlineStr">
        <is>
          <t>1909-10-01</t>
        </is>
      </c>
      <c r="B639" s="6" t="n">
        <v>4.47</v>
      </c>
      <c r="C639" s="8">
        <f>B639/100/12</f>
        <v/>
      </c>
      <c r="D639" s="8">
        <f>D638*(1+C639)</f>
        <v/>
      </c>
    </row>
    <row r="640">
      <c r="A640" s="8" t="inlineStr">
        <is>
          <t>1909-11-01</t>
        </is>
      </c>
      <c r="B640" s="6" t="n">
        <v>4.49</v>
      </c>
      <c r="C640" s="8">
        <f>B640/100/12</f>
        <v/>
      </c>
      <c r="D640" s="8">
        <f>D639*(1+C640)</f>
        <v/>
      </c>
    </row>
    <row r="641">
      <c r="A641" s="8" t="inlineStr">
        <is>
          <t>1909-12-01</t>
        </is>
      </c>
      <c r="B641" s="6" t="n">
        <v>4.55</v>
      </c>
      <c r="C641" s="8">
        <f>B641/100/12</f>
        <v/>
      </c>
      <c r="D641" s="8">
        <f>D640*(1+C641)</f>
        <v/>
      </c>
    </row>
    <row r="642">
      <c r="A642" s="8" t="inlineStr">
        <is>
          <t>1910-01-01</t>
        </is>
      </c>
      <c r="B642" s="6" t="n">
        <v>4.19</v>
      </c>
      <c r="C642" s="8">
        <f>B642/100/12</f>
        <v/>
      </c>
      <c r="D642" s="8">
        <f>D641*(1+C642)</f>
        <v/>
      </c>
    </row>
    <row r="643">
      <c r="A643" s="8" t="inlineStr">
        <is>
          <t>1910-02-01</t>
        </is>
      </c>
      <c r="B643" s="6" t="n">
        <v>3.88</v>
      </c>
      <c r="C643" s="8">
        <f>B643/100/12</f>
        <v/>
      </c>
      <c r="D643" s="8">
        <f>D642*(1+C643)</f>
        <v/>
      </c>
    </row>
    <row r="644">
      <c r="A644" s="8" t="inlineStr">
        <is>
          <t>1910-03-01</t>
        </is>
      </c>
      <c r="B644" s="6" t="n">
        <v>3.94</v>
      </c>
      <c r="C644" s="8">
        <f>B644/100/12</f>
        <v/>
      </c>
      <c r="D644" s="8">
        <f>D643*(1+C644)</f>
        <v/>
      </c>
    </row>
    <row r="645">
      <c r="A645" s="8" t="inlineStr">
        <is>
          <t>1910-04-01</t>
        </is>
      </c>
      <c r="B645" s="6" t="n">
        <v>4.19</v>
      </c>
      <c r="C645" s="8">
        <f>B645/100/12</f>
        <v/>
      </c>
      <c r="D645" s="8">
        <f>D644*(1+C645)</f>
        <v/>
      </c>
    </row>
    <row r="646">
      <c r="A646" s="8" t="inlineStr">
        <is>
          <t>1910-05-01</t>
        </is>
      </c>
      <c r="B646" s="6" t="n">
        <v>4.19</v>
      </c>
      <c r="C646" s="8">
        <f>B646/100/12</f>
        <v/>
      </c>
      <c r="D646" s="8">
        <f>D645*(1+C646)</f>
        <v/>
      </c>
    </row>
    <row r="647">
      <c r="A647" s="8" t="inlineStr">
        <is>
          <t>1910-06-01</t>
        </is>
      </c>
      <c r="B647" s="6" t="n">
        <v>4.36</v>
      </c>
      <c r="C647" s="8">
        <f>B647/100/12</f>
        <v/>
      </c>
      <c r="D647" s="8">
        <f>D646*(1+C647)</f>
        <v/>
      </c>
    </row>
    <row r="648">
      <c r="A648" s="8" t="inlineStr">
        <is>
          <t>1910-07-01</t>
        </is>
      </c>
      <c r="B648" s="6" t="n">
        <v>4.82</v>
      </c>
      <c r="C648" s="8">
        <f>B648/100/12</f>
        <v/>
      </c>
      <c r="D648" s="8">
        <f>D647*(1+C648)</f>
        <v/>
      </c>
    </row>
    <row r="649">
      <c r="A649" s="8" t="inlineStr">
        <is>
          <t>1910-08-01</t>
        </is>
      </c>
      <c r="B649" s="6" t="n">
        <v>4.87</v>
      </c>
      <c r="C649" s="8">
        <f>B649/100/12</f>
        <v/>
      </c>
      <c r="D649" s="8">
        <f>D648*(1+C649)</f>
        <v/>
      </c>
    </row>
    <row r="650">
      <c r="A650" s="8" t="inlineStr">
        <is>
          <t>1910-09-01</t>
        </is>
      </c>
      <c r="B650" s="6" t="n">
        <v>4.97</v>
      </c>
      <c r="C650" s="8">
        <f>B650/100/12</f>
        <v/>
      </c>
      <c r="D650" s="8">
        <f>D649*(1+C650)</f>
        <v/>
      </c>
    </row>
    <row r="651">
      <c r="A651" s="8" t="inlineStr">
        <is>
          <t>1910-10-01</t>
        </is>
      </c>
      <c r="B651" s="6" t="n">
        <v>5</v>
      </c>
      <c r="C651" s="8">
        <f>B651/100/12</f>
        <v/>
      </c>
      <c r="D651" s="8">
        <f>D650*(1+C651)</f>
        <v/>
      </c>
    </row>
    <row r="652">
      <c r="A652" s="8" t="inlineStr">
        <is>
          <t>1910-11-01</t>
        </is>
      </c>
      <c r="B652" s="6" t="n">
        <v>4.94</v>
      </c>
      <c r="C652" s="8">
        <f>B652/100/12</f>
        <v/>
      </c>
      <c r="D652" s="8">
        <f>D651*(1+C652)</f>
        <v/>
      </c>
    </row>
    <row r="653">
      <c r="A653" s="8" t="inlineStr">
        <is>
          <t>1910-12-01</t>
        </is>
      </c>
      <c r="B653" s="6" t="n">
        <v>4.1</v>
      </c>
      <c r="C653" s="8">
        <f>B653/100/12</f>
        <v/>
      </c>
      <c r="D653" s="8">
        <f>D652*(1+C653)</f>
        <v/>
      </c>
    </row>
    <row r="654">
      <c r="A654" s="8" t="inlineStr">
        <is>
          <t>1911-01-01</t>
        </is>
      </c>
      <c r="B654" s="6" t="n">
        <v>3.43</v>
      </c>
      <c r="C654" s="8">
        <f>B654/100/12</f>
        <v/>
      </c>
      <c r="D654" s="8">
        <f>D653*(1+C654)</f>
        <v/>
      </c>
    </row>
    <row r="655">
      <c r="A655" s="8" t="inlineStr">
        <is>
          <t>1911-02-01</t>
        </is>
      </c>
      <c r="B655" s="6" t="n">
        <v>3.5</v>
      </c>
      <c r="C655" s="8">
        <f>B655/100/12</f>
        <v/>
      </c>
      <c r="D655" s="8">
        <f>D654*(1+C655)</f>
        <v/>
      </c>
    </row>
    <row r="656">
      <c r="A656" s="8" t="inlineStr">
        <is>
          <t>1911-03-01</t>
        </is>
      </c>
      <c r="B656" s="6" t="n">
        <v>3.34</v>
      </c>
      <c r="C656" s="8">
        <f>B656/100/12</f>
        <v/>
      </c>
      <c r="D656" s="8">
        <f>D655*(1+C656)</f>
        <v/>
      </c>
    </row>
    <row r="657">
      <c r="A657" s="8" t="inlineStr">
        <is>
          <t>1911-04-01</t>
        </is>
      </c>
      <c r="B657" s="6" t="n">
        <v>3.09</v>
      </c>
      <c r="C657" s="8">
        <f>B657/100/12</f>
        <v/>
      </c>
      <c r="D657" s="8">
        <f>D656*(1+C657)</f>
        <v/>
      </c>
    </row>
    <row r="658">
      <c r="A658" s="8" t="inlineStr">
        <is>
          <t>1911-05-01</t>
        </is>
      </c>
      <c r="B658" s="6" t="n">
        <v>3.06</v>
      </c>
      <c r="C658" s="8">
        <f>B658/100/12</f>
        <v/>
      </c>
      <c r="D658" s="8">
        <f>D657*(1+C658)</f>
        <v/>
      </c>
    </row>
    <row r="659">
      <c r="A659" s="8" t="inlineStr">
        <is>
          <t>1911-06-01</t>
        </is>
      </c>
      <c r="B659" s="6" t="n">
        <v>3.12</v>
      </c>
      <c r="C659" s="8">
        <f>B659/100/12</f>
        <v/>
      </c>
      <c r="D659" s="8">
        <f>D658*(1+C659)</f>
        <v/>
      </c>
    </row>
    <row r="660">
      <c r="A660" s="8" t="inlineStr">
        <is>
          <t>1911-07-01</t>
        </is>
      </c>
      <c r="B660" s="6" t="n">
        <v>3.22</v>
      </c>
      <c r="C660" s="8">
        <f>B660/100/12</f>
        <v/>
      </c>
      <c r="D660" s="8">
        <f>D659*(1+C660)</f>
        <v/>
      </c>
    </row>
    <row r="661">
      <c r="A661" s="8" t="inlineStr">
        <is>
          <t>1911-08-01</t>
        </is>
      </c>
      <c r="B661" s="6" t="n">
        <v>3.63</v>
      </c>
      <c r="C661" s="8">
        <f>B661/100/12</f>
        <v/>
      </c>
      <c r="D661" s="8">
        <f>D660*(1+C661)</f>
        <v/>
      </c>
    </row>
    <row r="662">
      <c r="A662" s="8" t="inlineStr">
        <is>
          <t>1911-09-01</t>
        </is>
      </c>
      <c r="B662" s="6" t="n">
        <v>3.97</v>
      </c>
      <c r="C662" s="8">
        <f>B662/100/12</f>
        <v/>
      </c>
      <c r="D662" s="8">
        <f>D661*(1+C662)</f>
        <v/>
      </c>
    </row>
    <row r="663">
      <c r="A663" s="8" t="inlineStr">
        <is>
          <t>1911-10-01</t>
        </is>
      </c>
      <c r="B663" s="6" t="n">
        <v>3.8</v>
      </c>
      <c r="C663" s="8">
        <f>B663/100/12</f>
        <v/>
      </c>
      <c r="D663" s="8">
        <f>D662*(1+C663)</f>
        <v/>
      </c>
    </row>
    <row r="664">
      <c r="A664" s="8" t="inlineStr">
        <is>
          <t>1911-11-01</t>
        </is>
      </c>
      <c r="B664" s="6" t="n">
        <v>3.38</v>
      </c>
      <c r="C664" s="8">
        <f>B664/100/12</f>
        <v/>
      </c>
      <c r="D664" s="8">
        <f>D663*(1+C664)</f>
        <v/>
      </c>
    </row>
    <row r="665">
      <c r="A665" s="8" t="inlineStr">
        <is>
          <t>1911-12-01</t>
        </is>
      </c>
      <c r="B665" s="6" t="n">
        <v>4.06</v>
      </c>
      <c r="C665" s="8">
        <f>B665/100/12</f>
        <v/>
      </c>
      <c r="D665" s="8">
        <f>D664*(1+C665)</f>
        <v/>
      </c>
    </row>
    <row r="666">
      <c r="A666" s="8" t="inlineStr">
        <is>
          <t>1912-01-01</t>
        </is>
      </c>
      <c r="B666" s="6" t="n">
        <v>3.34</v>
      </c>
      <c r="C666" s="8">
        <f>B666/100/12</f>
        <v/>
      </c>
      <c r="D666" s="8">
        <f>D665*(1+C666)</f>
        <v/>
      </c>
    </row>
    <row r="667">
      <c r="A667" s="8" t="inlineStr">
        <is>
          <t>1912-02-01</t>
        </is>
      </c>
      <c r="B667" s="6" t="n">
        <v>3.19</v>
      </c>
      <c r="C667" s="8">
        <f>B667/100/12</f>
        <v/>
      </c>
      <c r="D667" s="8">
        <f>D666*(1+C667)</f>
        <v/>
      </c>
    </row>
    <row r="668">
      <c r="A668" s="8" t="inlineStr">
        <is>
          <t>1912-03-01</t>
        </is>
      </c>
      <c r="B668" s="6" t="n">
        <v>3.63</v>
      </c>
      <c r="C668" s="8">
        <f>B668/100/12</f>
        <v/>
      </c>
      <c r="D668" s="8">
        <f>D667*(1+C668)</f>
        <v/>
      </c>
    </row>
    <row r="669">
      <c r="A669" s="8" t="inlineStr">
        <is>
          <t>1912-04-01</t>
        </is>
      </c>
      <c r="B669" s="6" t="n">
        <v>3.58</v>
      </c>
      <c r="C669" s="8">
        <f>B669/100/12</f>
        <v/>
      </c>
      <c r="D669" s="8">
        <f>D668*(1+C669)</f>
        <v/>
      </c>
    </row>
    <row r="670">
      <c r="A670" s="8" t="inlineStr">
        <is>
          <t>1912-05-01</t>
        </is>
      </c>
      <c r="B670" s="6" t="n">
        <v>3.63</v>
      </c>
      <c r="C670" s="8">
        <f>B670/100/12</f>
        <v/>
      </c>
      <c r="D670" s="8">
        <f>D669*(1+C670)</f>
        <v/>
      </c>
    </row>
    <row r="671">
      <c r="A671" s="8" t="inlineStr">
        <is>
          <t>1912-06-01</t>
        </is>
      </c>
      <c r="B671" s="6" t="n">
        <v>3.44</v>
      </c>
      <c r="C671" s="8">
        <f>B671/100/12</f>
        <v/>
      </c>
      <c r="D671" s="8">
        <f>D670*(1+C671)</f>
        <v/>
      </c>
    </row>
    <row r="672">
      <c r="A672" s="8" t="inlineStr">
        <is>
          <t>1912-07-01</t>
        </is>
      </c>
      <c r="B672" s="6" t="n">
        <v>3.96</v>
      </c>
      <c r="C672" s="8">
        <f>B672/100/12</f>
        <v/>
      </c>
      <c r="D672" s="8">
        <f>D671*(1+C672)</f>
        <v/>
      </c>
    </row>
    <row r="673">
      <c r="A673" s="8" t="inlineStr">
        <is>
          <t>1912-08-01</t>
        </is>
      </c>
      <c r="B673" s="6" t="n">
        <v>4.44</v>
      </c>
      <c r="C673" s="8">
        <f>B673/100/12</f>
        <v/>
      </c>
      <c r="D673" s="8">
        <f>D672*(1+C673)</f>
        <v/>
      </c>
    </row>
    <row r="674">
      <c r="A674" s="8" t="inlineStr">
        <is>
          <t>1912-09-01</t>
        </is>
      </c>
      <c r="B674" s="6" t="n">
        <v>5</v>
      </c>
      <c r="C674" s="8">
        <f>B674/100/12</f>
        <v/>
      </c>
      <c r="D674" s="8">
        <f>D673*(1+C674)</f>
        <v/>
      </c>
    </row>
    <row r="675">
      <c r="A675" s="8" t="inlineStr">
        <is>
          <t>1912-10-01</t>
        </is>
      </c>
      <c r="B675" s="6" t="n">
        <v>5.37</v>
      </c>
      <c r="C675" s="8">
        <f>B675/100/12</f>
        <v/>
      </c>
      <c r="D675" s="8">
        <f>D674*(1+C675)</f>
        <v/>
      </c>
    </row>
    <row r="676">
      <c r="A676" s="8" t="inlineStr">
        <is>
          <t>1912-11-01</t>
        </is>
      </c>
      <c r="B676" s="6" t="n">
        <v>5.16</v>
      </c>
      <c r="C676" s="8">
        <f>B676/100/12</f>
        <v/>
      </c>
      <c r="D676" s="8">
        <f>D675*(1+C676)</f>
        <v/>
      </c>
    </row>
    <row r="677">
      <c r="A677" s="8" t="inlineStr">
        <is>
          <t>1912-12-01</t>
        </is>
      </c>
      <c r="B677" s="6" t="n">
        <v>5.44</v>
      </c>
      <c r="C677" s="8">
        <f>B677/100/12</f>
        <v/>
      </c>
      <c r="D677" s="8">
        <f>D676*(1+C677)</f>
        <v/>
      </c>
    </row>
    <row r="678">
      <c r="A678" s="8" t="inlineStr">
        <is>
          <t>1913-01-01</t>
        </is>
      </c>
      <c r="B678" s="6" t="n">
        <v>4.25</v>
      </c>
      <c r="C678" s="8">
        <f>B678/100/12</f>
        <v/>
      </c>
      <c r="D678" s="8">
        <f>D677*(1+C678)</f>
        <v/>
      </c>
    </row>
    <row r="679">
      <c r="A679" s="8" t="inlineStr">
        <is>
          <t>1913-02-01</t>
        </is>
      </c>
      <c r="B679" s="6" t="n">
        <v>4.34</v>
      </c>
      <c r="C679" s="8">
        <f>B679/100/12</f>
        <v/>
      </c>
      <c r="D679" s="8">
        <f>D678*(1+C679)</f>
        <v/>
      </c>
    </row>
    <row r="680">
      <c r="A680" s="8" t="inlineStr">
        <is>
          <t>1913-03-01</t>
        </is>
      </c>
      <c r="B680" s="6" t="n">
        <v>5.2</v>
      </c>
      <c r="C680" s="8">
        <f>B680/100/12</f>
        <v/>
      </c>
      <c r="D680" s="8">
        <f>D679*(1+C680)</f>
        <v/>
      </c>
    </row>
    <row r="681">
      <c r="A681" s="8" t="inlineStr">
        <is>
          <t>1913-04-01</t>
        </is>
      </c>
      <c r="B681" s="6" t="n">
        <v>4.96</v>
      </c>
      <c r="C681" s="8">
        <f>B681/100/12</f>
        <v/>
      </c>
      <c r="D681" s="8">
        <f>D680*(1+C681)</f>
        <v/>
      </c>
    </row>
    <row r="682">
      <c r="A682" s="8" t="inlineStr">
        <is>
          <t>1913-05-01</t>
        </is>
      </c>
      <c r="B682" s="6" t="n">
        <v>4.79</v>
      </c>
      <c r="C682" s="8">
        <f>B682/100/12</f>
        <v/>
      </c>
      <c r="D682" s="8">
        <f>D681*(1+C682)</f>
        <v/>
      </c>
    </row>
    <row r="683">
      <c r="A683" s="8" t="inlineStr">
        <is>
          <t>1913-06-01</t>
        </is>
      </c>
      <c r="B683" s="6" t="n">
        <v>5.32</v>
      </c>
      <c r="C683" s="8">
        <f>B683/100/12</f>
        <v/>
      </c>
      <c r="D683" s="8">
        <f>D682*(1+C683)</f>
        <v/>
      </c>
    </row>
    <row r="684">
      <c r="A684" s="8" t="inlineStr">
        <is>
          <t>1913-07-01</t>
        </is>
      </c>
      <c r="B684" s="6" t="n">
        <v>5.48</v>
      </c>
      <c r="C684" s="8">
        <f>B684/100/12</f>
        <v/>
      </c>
      <c r="D684" s="8">
        <f>D683*(1+C684)</f>
        <v/>
      </c>
    </row>
    <row r="685">
      <c r="A685" s="8" t="inlineStr">
        <is>
          <t>1913-08-01</t>
        </is>
      </c>
      <c r="B685" s="6" t="n">
        <v>5.44</v>
      </c>
      <c r="C685" s="8">
        <f>B685/100/12</f>
        <v/>
      </c>
      <c r="D685" s="8">
        <f>D684*(1+C685)</f>
        <v/>
      </c>
    </row>
    <row r="686">
      <c r="A686" s="8" t="inlineStr">
        <is>
          <t>1913-09-01</t>
        </is>
      </c>
      <c r="B686" s="6" t="n">
        <v>5.25</v>
      </c>
      <c r="C686" s="8">
        <f>B686/100/12</f>
        <v/>
      </c>
      <c r="D686" s="8">
        <f>D685*(1+C686)</f>
        <v/>
      </c>
    </row>
    <row r="687">
      <c r="A687" s="8" t="inlineStr">
        <is>
          <t>1913-10-01</t>
        </is>
      </c>
      <c r="B687" s="6" t="n">
        <v>5.1</v>
      </c>
      <c r="C687" s="8">
        <f>B687/100/12</f>
        <v/>
      </c>
      <c r="D687" s="8">
        <f>D686*(1+C687)</f>
        <v/>
      </c>
    </row>
    <row r="688">
      <c r="A688" s="8" t="inlineStr">
        <is>
          <t>1913-11-01</t>
        </is>
      </c>
      <c r="B688" s="6" t="n">
        <v>5</v>
      </c>
      <c r="C688" s="8">
        <f>B688/100/12</f>
        <v/>
      </c>
      <c r="D688" s="8">
        <f>D687*(1+C688)</f>
        <v/>
      </c>
    </row>
    <row r="689">
      <c r="A689" s="8" t="inlineStr">
        <is>
          <t>1913-12-01</t>
        </is>
      </c>
      <c r="B689" s="6" t="n">
        <v>5.13</v>
      </c>
      <c r="C689" s="8">
        <f>B689/100/12</f>
        <v/>
      </c>
      <c r="D689" s="8">
        <f>D688*(1+C689)</f>
        <v/>
      </c>
    </row>
    <row r="690">
      <c r="A690" s="8" t="inlineStr">
        <is>
          <t>1914-01-01</t>
        </is>
      </c>
      <c r="B690" s="6" t="n">
        <v>3.97</v>
      </c>
      <c r="C690" s="8">
        <f>B690/100/12</f>
        <v/>
      </c>
      <c r="D690" s="8">
        <f>D689*(1+C690)</f>
        <v/>
      </c>
    </row>
    <row r="691">
      <c r="A691" s="8" t="inlineStr">
        <is>
          <t>1914-02-01</t>
        </is>
      </c>
      <c r="B691" s="6" t="n">
        <v>3.29</v>
      </c>
      <c r="C691" s="8">
        <f>B691/100/12</f>
        <v/>
      </c>
      <c r="D691" s="8">
        <f>D690*(1+C691)</f>
        <v/>
      </c>
    </row>
    <row r="692">
      <c r="A692" s="8" t="inlineStr">
        <is>
          <t>1914-03-01</t>
        </is>
      </c>
      <c r="B692" s="6" t="n">
        <v>3.28</v>
      </c>
      <c r="C692" s="8">
        <f>B692/100/12</f>
        <v/>
      </c>
      <c r="D692" s="8">
        <f>D691*(1+C692)</f>
        <v/>
      </c>
    </row>
    <row r="693">
      <c r="A693" s="8" t="inlineStr">
        <is>
          <t>1914-04-01</t>
        </is>
      </c>
      <c r="B693" s="6" t="n">
        <v>3.18</v>
      </c>
      <c r="C693" s="8">
        <f>B693/100/12</f>
        <v/>
      </c>
      <c r="D693" s="8">
        <f>D692*(1+C693)</f>
        <v/>
      </c>
    </row>
    <row r="694">
      <c r="A694" s="8" t="inlineStr">
        <is>
          <t>1914-05-01</t>
        </is>
      </c>
      <c r="B694" s="6" t="n">
        <v>3.32</v>
      </c>
      <c r="C694" s="8">
        <f>B694/100/12</f>
        <v/>
      </c>
      <c r="D694" s="8">
        <f>D693*(1+C694)</f>
        <v/>
      </c>
    </row>
    <row r="695">
      <c r="A695" s="8" t="inlineStr">
        <is>
          <t>1914-06-01</t>
        </is>
      </c>
      <c r="B695" s="6" t="n">
        <v>3.3</v>
      </c>
      <c r="C695" s="8">
        <f>B695/100/12</f>
        <v/>
      </c>
      <c r="D695" s="8">
        <f>D694*(1+C695)</f>
        <v/>
      </c>
    </row>
    <row r="696">
      <c r="A696" s="8" t="inlineStr">
        <is>
          <t>1914-07-01</t>
        </is>
      </c>
      <c r="B696" s="6" t="n">
        <v>3.88</v>
      </c>
      <c r="C696" s="8">
        <f>B696/100/12</f>
        <v/>
      </c>
      <c r="D696" s="8">
        <f>D695*(1+C696)</f>
        <v/>
      </c>
    </row>
    <row r="697">
      <c r="A697" s="8" t="inlineStr">
        <is>
          <t>1914-08-01</t>
        </is>
      </c>
      <c r="B697" s="6" t="n">
        <v>5.78</v>
      </c>
      <c r="C697" s="8">
        <f>B697/100/12</f>
        <v/>
      </c>
      <c r="D697" s="8">
        <f>D696*(1+C697)</f>
        <v/>
      </c>
    </row>
    <row r="698">
      <c r="A698" s="8" t="inlineStr">
        <is>
          <t>1914-09-01</t>
        </is>
      </c>
      <c r="B698" s="6" t="n">
        <v>6.14</v>
      </c>
      <c r="C698" s="8">
        <f>B698/100/12</f>
        <v/>
      </c>
      <c r="D698" s="8">
        <f>D697*(1+C698)</f>
        <v/>
      </c>
    </row>
    <row r="699">
      <c r="A699" s="8" t="inlineStr">
        <is>
          <t>1914-10-01</t>
        </is>
      </c>
      <c r="B699" s="6" t="n">
        <v>5.88</v>
      </c>
      <c r="C699" s="8">
        <f>B699/100/12</f>
        <v/>
      </c>
      <c r="D699" s="8">
        <f>D698*(1+C699)</f>
        <v/>
      </c>
    </row>
    <row r="700">
      <c r="A700" s="8" t="inlineStr">
        <is>
          <t>1914-11-01</t>
        </is>
      </c>
      <c r="B700" s="6" t="n">
        <v>4.94</v>
      </c>
      <c r="C700" s="8">
        <f>B700/100/12</f>
        <v/>
      </c>
      <c r="D700" s="8">
        <f>D699*(1+C700)</f>
        <v/>
      </c>
    </row>
    <row r="701">
      <c r="A701" s="8" t="inlineStr">
        <is>
          <t>1914-12-01</t>
        </is>
      </c>
      <c r="B701" s="6" t="n">
        <v>3.79</v>
      </c>
      <c r="C701" s="8">
        <f>B701/100/12</f>
        <v/>
      </c>
      <c r="D701" s="8">
        <f>D700*(1+C701)</f>
        <v/>
      </c>
    </row>
    <row r="702">
      <c r="A702" s="8" t="inlineStr">
        <is>
          <t>1915-01-01</t>
        </is>
      </c>
      <c r="B702" s="6" t="n">
        <v>3.29</v>
      </c>
      <c r="C702" s="8">
        <f>B702/100/12</f>
        <v/>
      </c>
      <c r="D702" s="8">
        <f>D701*(1+C702)</f>
        <v/>
      </c>
    </row>
    <row r="703">
      <c r="A703" s="8" t="inlineStr">
        <is>
          <t>1915-02-01</t>
        </is>
      </c>
      <c r="B703" s="6" t="n">
        <v>3.19</v>
      </c>
      <c r="C703" s="8">
        <f>B703/100/12</f>
        <v/>
      </c>
      <c r="D703" s="8">
        <f>D702*(1+C703)</f>
        <v/>
      </c>
    </row>
    <row r="704">
      <c r="A704" s="8" t="inlineStr">
        <is>
          <t>1915-03-01</t>
        </is>
      </c>
      <c r="B704" s="6" t="n">
        <v>2.82</v>
      </c>
      <c r="C704" s="8">
        <f>B704/100/12</f>
        <v/>
      </c>
      <c r="D704" s="8">
        <f>D703*(1+C704)</f>
        <v/>
      </c>
    </row>
    <row r="705">
      <c r="A705" s="8" t="inlineStr">
        <is>
          <t>1915-04-01</t>
        </is>
      </c>
      <c r="B705" s="6" t="n">
        <v>3.1</v>
      </c>
      <c r="C705" s="8">
        <f>B705/100/12</f>
        <v/>
      </c>
      <c r="D705" s="8">
        <f>D704*(1+C705)</f>
        <v/>
      </c>
    </row>
    <row r="706">
      <c r="A706" s="8" t="inlineStr">
        <is>
          <t>1915-05-01</t>
        </is>
      </c>
      <c r="B706" s="6" t="n">
        <v>3.16</v>
      </c>
      <c r="C706" s="8">
        <f>B706/100/12</f>
        <v/>
      </c>
      <c r="D706" s="8">
        <f>D705*(1+C706)</f>
        <v/>
      </c>
    </row>
    <row r="707">
      <c r="A707" s="8" t="inlineStr">
        <is>
          <t>1915-06-01</t>
        </is>
      </c>
      <c r="B707" s="6" t="n">
        <v>3.09</v>
      </c>
      <c r="C707" s="8">
        <f>B707/100/12</f>
        <v/>
      </c>
      <c r="D707" s="8">
        <f>D706*(1+C707)</f>
        <v/>
      </c>
    </row>
    <row r="708">
      <c r="A708" s="8" t="inlineStr">
        <is>
          <t>1915-07-01</t>
        </is>
      </c>
      <c r="B708" s="6" t="n">
        <v>2.69</v>
      </c>
      <c r="C708" s="8">
        <f>B708/100/12</f>
        <v/>
      </c>
      <c r="D708" s="8">
        <f>D707*(1+C708)</f>
        <v/>
      </c>
    </row>
    <row r="709">
      <c r="A709" s="8" t="inlineStr">
        <is>
          <t>1915-08-01</t>
        </is>
      </c>
      <c r="B709" s="6" t="n">
        <v>2.97</v>
      </c>
      <c r="C709" s="8">
        <f>B709/100/12</f>
        <v/>
      </c>
      <c r="D709" s="8">
        <f>D708*(1+C709)</f>
        <v/>
      </c>
    </row>
    <row r="710">
      <c r="A710" s="8" t="inlineStr">
        <is>
          <t>1915-09-01</t>
        </is>
      </c>
      <c r="B710" s="6" t="n">
        <v>2.72</v>
      </c>
      <c r="C710" s="8">
        <f>B710/100/12</f>
        <v/>
      </c>
      <c r="D710" s="8">
        <f>D709*(1+C710)</f>
        <v/>
      </c>
    </row>
    <row r="711">
      <c r="A711" s="8" t="inlineStr">
        <is>
          <t>1915-10-01</t>
        </is>
      </c>
      <c r="B711" s="6" t="n">
        <v>2.66</v>
      </c>
      <c r="C711" s="8">
        <f>B711/100/12</f>
        <v/>
      </c>
      <c r="D711" s="8">
        <f>D710*(1+C711)</f>
        <v/>
      </c>
    </row>
    <row r="712">
      <c r="A712" s="8" t="inlineStr">
        <is>
          <t>1915-11-01</t>
        </is>
      </c>
      <c r="B712" s="6" t="n">
        <v>2.43</v>
      </c>
      <c r="C712" s="8">
        <f>B712/100/12</f>
        <v/>
      </c>
      <c r="D712" s="8">
        <f>D711*(1+C712)</f>
        <v/>
      </c>
    </row>
    <row r="713">
      <c r="A713" s="8" t="inlineStr">
        <is>
          <t>1915-12-01</t>
        </is>
      </c>
      <c r="B713" s="6" t="n">
        <v>2.53</v>
      </c>
      <c r="C713" s="8">
        <f>B713/100/12</f>
        <v/>
      </c>
      <c r="D713" s="8">
        <f>D712*(1+C713)</f>
        <v/>
      </c>
    </row>
    <row r="714">
      <c r="A714" s="8" t="inlineStr">
        <is>
          <t>1916-01-01</t>
        </is>
      </c>
      <c r="B714" s="6" t="n">
        <v>2.56</v>
      </c>
      <c r="C714" s="8">
        <f>B714/100/12</f>
        <v/>
      </c>
      <c r="D714" s="8">
        <f>D713*(1+C714)</f>
        <v/>
      </c>
    </row>
    <row r="715">
      <c r="A715" s="8" t="inlineStr">
        <is>
          <t>1916-02-01</t>
        </is>
      </c>
      <c r="B715" s="6" t="n">
        <v>2.56</v>
      </c>
      <c r="C715" s="8">
        <f>B715/100/12</f>
        <v/>
      </c>
      <c r="D715" s="8">
        <f>D714*(1+C715)</f>
        <v/>
      </c>
    </row>
    <row r="716">
      <c r="A716" s="8" t="inlineStr">
        <is>
          <t>1916-03-01</t>
        </is>
      </c>
      <c r="B716" s="6" t="n">
        <v>2.56</v>
      </c>
      <c r="C716" s="8">
        <f>B716/100/12</f>
        <v/>
      </c>
      <c r="D716" s="8">
        <f>D715*(1+C716)</f>
        <v/>
      </c>
    </row>
    <row r="717">
      <c r="A717" s="8" t="inlineStr">
        <is>
          <t>1916-04-01</t>
        </is>
      </c>
      <c r="B717" s="6" t="n">
        <v>2.56</v>
      </c>
      <c r="C717" s="8">
        <f>B717/100/12</f>
        <v/>
      </c>
      <c r="D717" s="8">
        <f>D716*(1+C717)</f>
        <v/>
      </c>
    </row>
    <row r="718">
      <c r="A718" s="8" t="inlineStr">
        <is>
          <t>1916-05-01</t>
        </is>
      </c>
      <c r="B718" s="6" t="n">
        <v>2.56</v>
      </c>
      <c r="C718" s="8">
        <f>B718/100/12</f>
        <v/>
      </c>
      <c r="D718" s="8">
        <f>D717*(1+C718)</f>
        <v/>
      </c>
    </row>
    <row r="719">
      <c r="A719" s="8" t="inlineStr">
        <is>
          <t>1916-06-01</t>
        </is>
      </c>
      <c r="B719" s="6" t="n">
        <v>3.06</v>
      </c>
      <c r="C719" s="8">
        <f>B719/100/12</f>
        <v/>
      </c>
      <c r="D719" s="8">
        <f>D718*(1+C719)</f>
        <v/>
      </c>
    </row>
    <row r="720">
      <c r="A720" s="8" t="inlineStr">
        <is>
          <t>1916-07-01</t>
        </is>
      </c>
      <c r="B720" s="6" t="n">
        <v>3.41</v>
      </c>
      <c r="C720" s="8">
        <f>B720/100/12</f>
        <v/>
      </c>
      <c r="D720" s="8">
        <f>D719*(1+C720)</f>
        <v/>
      </c>
    </row>
    <row r="721">
      <c r="A721" s="8" t="inlineStr">
        <is>
          <t>1916-08-01</t>
        </is>
      </c>
      <c r="B721" s="6" t="n">
        <v>3.16</v>
      </c>
      <c r="C721" s="8">
        <f>B721/100/12</f>
        <v/>
      </c>
      <c r="D721" s="8">
        <f>D720*(1+C721)</f>
        <v/>
      </c>
    </row>
    <row r="722">
      <c r="A722" s="8" t="inlineStr">
        <is>
          <t>1916-09-01</t>
        </is>
      </c>
      <c r="B722" s="6" t="n">
        <v>2.82</v>
      </c>
      <c r="C722" s="8">
        <f>B722/100/12</f>
        <v/>
      </c>
      <c r="D722" s="8">
        <f>D721*(1+C722)</f>
        <v/>
      </c>
    </row>
    <row r="723">
      <c r="A723" s="8" t="inlineStr">
        <is>
          <t>1916-10-01</t>
        </is>
      </c>
      <c r="B723" s="6" t="n">
        <v>2.82</v>
      </c>
      <c r="C723" s="8">
        <f>B723/100/12</f>
        <v/>
      </c>
      <c r="D723" s="8">
        <f>D722*(1+C723)</f>
        <v/>
      </c>
    </row>
    <row r="724">
      <c r="A724" s="8" t="inlineStr">
        <is>
          <t>1916-11-01</t>
        </is>
      </c>
      <c r="B724" s="6" t="n">
        <v>2.93</v>
      </c>
      <c r="C724" s="8">
        <f>B724/100/12</f>
        <v/>
      </c>
      <c r="D724" s="8">
        <f>D723*(1+C724)</f>
        <v/>
      </c>
    </row>
    <row r="725">
      <c r="A725" s="8" t="inlineStr">
        <is>
          <t>1916-12-01</t>
        </is>
      </c>
      <c r="B725" s="6" t="n">
        <v>3.35</v>
      </c>
      <c r="C725" s="8">
        <f>B725/100/12</f>
        <v/>
      </c>
      <c r="D725" s="8">
        <f>D724*(1+C725)</f>
        <v/>
      </c>
    </row>
    <row r="726">
      <c r="A726" s="8" t="inlineStr">
        <is>
          <t>1917-01-01</t>
        </is>
      </c>
      <c r="B726" s="6" t="n">
        <v>2.99</v>
      </c>
      <c r="C726" s="8">
        <f>B726/100/12</f>
        <v/>
      </c>
      <c r="D726" s="8">
        <f>D725*(1+C726)</f>
        <v/>
      </c>
    </row>
    <row r="727">
      <c r="A727" s="8" t="inlineStr">
        <is>
          <t>1917-02-01</t>
        </is>
      </c>
      <c r="B727" s="6" t="n">
        <v>3.53</v>
      </c>
      <c r="C727" s="8">
        <f>B727/100/12</f>
        <v/>
      </c>
      <c r="D727" s="8">
        <f>D726*(1+C727)</f>
        <v/>
      </c>
    </row>
    <row r="728">
      <c r="A728" s="8" t="inlineStr">
        <is>
          <t>1917-03-01</t>
        </is>
      </c>
      <c r="B728" s="6" t="n">
        <v>3.56</v>
      </c>
      <c r="C728" s="8">
        <f>B728/100/12</f>
        <v/>
      </c>
      <c r="D728" s="8">
        <f>D727*(1+C728)</f>
        <v/>
      </c>
    </row>
    <row r="729">
      <c r="A729" s="8" t="inlineStr">
        <is>
          <t>1917-04-01</t>
        </is>
      </c>
      <c r="B729" s="6" t="n">
        <v>3.72</v>
      </c>
      <c r="C729" s="8">
        <f>B729/100/12</f>
        <v/>
      </c>
      <c r="D729" s="8">
        <f>D728*(1+C729)</f>
        <v/>
      </c>
    </row>
    <row r="730">
      <c r="A730" s="8" t="inlineStr">
        <is>
          <t>1917-05-01</t>
        </is>
      </c>
      <c r="B730" s="6" t="n">
        <v>4.27</v>
      </c>
      <c r="C730" s="8">
        <f>B730/100/12</f>
        <v/>
      </c>
      <c r="D730" s="8">
        <f>D729*(1+C730)</f>
        <v/>
      </c>
    </row>
    <row r="731">
      <c r="A731" s="8" t="inlineStr">
        <is>
          <t>1917-06-01</t>
        </is>
      </c>
      <c r="B731" s="6" t="n">
        <v>4.44</v>
      </c>
      <c r="C731" s="8">
        <f>B731/100/12</f>
        <v/>
      </c>
      <c r="D731" s="8">
        <f>D730*(1+C731)</f>
        <v/>
      </c>
    </row>
    <row r="732">
      <c r="A732" s="8" t="inlineStr">
        <is>
          <t>1917-07-01</t>
        </is>
      </c>
      <c r="B732" s="6" t="n">
        <v>4.12</v>
      </c>
      <c r="C732" s="8">
        <f>B732/100/12</f>
        <v/>
      </c>
      <c r="D732" s="8">
        <f>D731*(1+C732)</f>
        <v/>
      </c>
    </row>
    <row r="733">
      <c r="A733" s="8" t="inlineStr">
        <is>
          <t>1917-08-01</t>
        </is>
      </c>
      <c r="B733" s="6" t="n">
        <v>4.23</v>
      </c>
      <c r="C733" s="8">
        <f>B733/100/12</f>
        <v/>
      </c>
      <c r="D733" s="8">
        <f>D732*(1+C733)</f>
        <v/>
      </c>
    </row>
    <row r="734">
      <c r="A734" s="8" t="inlineStr">
        <is>
          <t>1917-09-01</t>
        </is>
      </c>
      <c r="B734" s="6" t="n">
        <v>4.62</v>
      </c>
      <c r="C734" s="8">
        <f>B734/100/12</f>
        <v/>
      </c>
      <c r="D734" s="8">
        <f>D733*(1+C734)</f>
        <v/>
      </c>
    </row>
    <row r="735">
      <c r="A735" s="8" t="inlineStr">
        <is>
          <t>1917-10-01</t>
        </is>
      </c>
      <c r="B735" s="6" t="n">
        <v>4.82</v>
      </c>
      <c r="C735" s="8">
        <f>B735/100/12</f>
        <v/>
      </c>
      <c r="D735" s="8">
        <f>D734*(1+C735)</f>
        <v/>
      </c>
    </row>
    <row r="736">
      <c r="A736" s="8" t="inlineStr">
        <is>
          <t>1917-11-01</t>
        </is>
      </c>
      <c r="B736" s="6" t="n">
        <v>4.88</v>
      </c>
      <c r="C736" s="8">
        <f>B736/100/12</f>
        <v/>
      </c>
      <c r="D736" s="8">
        <f>D735*(1+C736)</f>
        <v/>
      </c>
    </row>
    <row r="737">
      <c r="A737" s="8" t="inlineStr">
        <is>
          <t>1917-12-01</t>
        </is>
      </c>
      <c r="B737" s="6" t="n">
        <v>4.94</v>
      </c>
      <c r="C737" s="8">
        <f>B737/100/12</f>
        <v/>
      </c>
      <c r="D737" s="8">
        <f>D736*(1+C737)</f>
        <v/>
      </c>
    </row>
    <row r="738">
      <c r="A738" s="8" t="inlineStr">
        <is>
          <t>1918-01-01</t>
        </is>
      </c>
      <c r="B738" s="6" t="n">
        <v>5.01</v>
      </c>
      <c r="C738" s="8">
        <f>B738/100/12</f>
        <v/>
      </c>
      <c r="D738" s="8">
        <f>D737*(1+C738)</f>
        <v/>
      </c>
    </row>
    <row r="739">
      <c r="A739" s="8" t="inlineStr">
        <is>
          <t>1918-02-01</t>
        </is>
      </c>
      <c r="B739" s="6" t="n">
        <v>5.12</v>
      </c>
      <c r="C739" s="8">
        <f>B739/100/12</f>
        <v/>
      </c>
      <c r="D739" s="8">
        <f>D738*(1+C739)</f>
        <v/>
      </c>
    </row>
    <row r="740">
      <c r="A740" s="8" t="inlineStr">
        <is>
          <t>1918-03-01</t>
        </is>
      </c>
      <c r="B740" s="6" t="n">
        <v>5.32</v>
      </c>
      <c r="C740" s="8">
        <f>B740/100/12</f>
        <v/>
      </c>
      <c r="D740" s="8">
        <f>D739*(1+C740)</f>
        <v/>
      </c>
    </row>
    <row r="741">
      <c r="A741" s="8" t="inlineStr">
        <is>
          <t>1918-04-01</t>
        </is>
      </c>
      <c r="B741" s="6" t="n">
        <v>5.35</v>
      </c>
      <c r="C741" s="8">
        <f>B741/100/12</f>
        <v/>
      </c>
      <c r="D741" s="8">
        <f>D740*(1+C741)</f>
        <v/>
      </c>
    </row>
    <row r="742">
      <c r="A742" s="8" t="inlineStr">
        <is>
          <t>1918-05-01</t>
        </is>
      </c>
      <c r="B742" s="6" t="n">
        <v>5.32</v>
      </c>
      <c r="C742" s="8">
        <f>B742/100/12</f>
        <v/>
      </c>
      <c r="D742" s="8">
        <f>D741*(1+C742)</f>
        <v/>
      </c>
    </row>
    <row r="743">
      <c r="A743" s="8" t="inlineStr">
        <is>
          <t>1918-06-01</t>
        </is>
      </c>
      <c r="B743" s="6" t="n">
        <v>5.32</v>
      </c>
      <c r="C743" s="8">
        <f>B743/100/12</f>
        <v/>
      </c>
      <c r="D743" s="8">
        <f>D742*(1+C743)</f>
        <v/>
      </c>
    </row>
    <row r="744">
      <c r="A744" s="8" t="inlineStr">
        <is>
          <t>1918-07-01</t>
        </is>
      </c>
      <c r="B744" s="6" t="n">
        <v>5.32</v>
      </c>
      <c r="C744" s="8">
        <f>B744/100/12</f>
        <v/>
      </c>
      <c r="D744" s="8">
        <f>D743*(1+C744)</f>
        <v/>
      </c>
    </row>
    <row r="745">
      <c r="A745" s="8" t="inlineStr">
        <is>
          <t>1918-08-01</t>
        </is>
      </c>
      <c r="B745" s="6" t="n">
        <v>5.38</v>
      </c>
      <c r="C745" s="8">
        <f>B745/100/12</f>
        <v/>
      </c>
      <c r="D745" s="8">
        <f>D744*(1+C745)</f>
        <v/>
      </c>
    </row>
    <row r="746">
      <c r="A746" s="8" t="inlineStr">
        <is>
          <t>1918-09-01</t>
        </is>
      </c>
      <c r="B746" s="6" t="n">
        <v>5.44</v>
      </c>
      <c r="C746" s="8">
        <f>B746/100/12</f>
        <v/>
      </c>
      <c r="D746" s="8">
        <f>D745*(1+C746)</f>
        <v/>
      </c>
    </row>
    <row r="747">
      <c r="A747" s="8" t="inlineStr">
        <is>
          <t>1918-10-01</t>
        </is>
      </c>
      <c r="B747" s="6" t="n">
        <v>5.44</v>
      </c>
      <c r="C747" s="8">
        <f>B747/100/12</f>
        <v/>
      </c>
      <c r="D747" s="8">
        <f>D746*(1+C747)</f>
        <v/>
      </c>
    </row>
    <row r="748">
      <c r="A748" s="8" t="inlineStr">
        <is>
          <t>1918-11-01</t>
        </is>
      </c>
      <c r="B748" s="6" t="n">
        <v>5.41</v>
      </c>
      <c r="C748" s="8">
        <f>B748/100/12</f>
        <v/>
      </c>
      <c r="D748" s="8">
        <f>D747*(1+C748)</f>
        <v/>
      </c>
    </row>
    <row r="749">
      <c r="A749" s="8" t="inlineStr">
        <is>
          <t>1918-12-01</t>
        </is>
      </c>
      <c r="B749" s="6" t="n">
        <v>5.25</v>
      </c>
      <c r="C749" s="8">
        <f>B749/100/12</f>
        <v/>
      </c>
      <c r="D749" s="8">
        <f>D748*(1+C749)</f>
        <v/>
      </c>
    </row>
    <row r="750">
      <c r="A750" s="8" t="inlineStr">
        <is>
          <t>1919-01-01</t>
        </is>
      </c>
      <c r="B750" s="6" t="n">
        <v>4.69</v>
      </c>
      <c r="C750" s="8">
        <f>B750/100/12</f>
        <v/>
      </c>
      <c r="D750" s="8">
        <f>D749*(1+C750)</f>
        <v/>
      </c>
    </row>
    <row r="751">
      <c r="A751" s="8" t="inlineStr">
        <is>
          <t>1919-02-01</t>
        </is>
      </c>
      <c r="B751" s="6" t="n">
        <v>4.62</v>
      </c>
      <c r="C751" s="8">
        <f>B751/100/12</f>
        <v/>
      </c>
      <c r="D751" s="8">
        <f>D750*(1+C751)</f>
        <v/>
      </c>
    </row>
    <row r="752">
      <c r="A752" s="8" t="inlineStr">
        <is>
          <t>1919-03-01</t>
        </is>
      </c>
      <c r="B752" s="6" t="n">
        <v>4.82</v>
      </c>
      <c r="C752" s="8">
        <f>B752/100/12</f>
        <v/>
      </c>
      <c r="D752" s="8">
        <f>D751*(1+C752)</f>
        <v/>
      </c>
    </row>
    <row r="753">
      <c r="A753" s="8" t="inlineStr">
        <is>
          <t>1919-04-01</t>
        </is>
      </c>
      <c r="B753" s="6" t="n">
        <v>4.82</v>
      </c>
      <c r="C753" s="8">
        <f>B753/100/12</f>
        <v/>
      </c>
      <c r="D753" s="8">
        <f>D752*(1+C753)</f>
        <v/>
      </c>
    </row>
    <row r="754">
      <c r="A754" s="8" t="inlineStr">
        <is>
          <t>1919-05-01</t>
        </is>
      </c>
      <c r="B754" s="6" t="n">
        <v>4.82</v>
      </c>
      <c r="C754" s="8">
        <f>B754/100/12</f>
        <v/>
      </c>
      <c r="D754" s="8">
        <f>D753*(1+C754)</f>
        <v/>
      </c>
    </row>
    <row r="755">
      <c r="A755" s="8" t="inlineStr">
        <is>
          <t>1919-06-01</t>
        </is>
      </c>
      <c r="B755" s="6" t="n">
        <v>4.97</v>
      </c>
      <c r="C755" s="8">
        <f>B755/100/12</f>
        <v/>
      </c>
      <c r="D755" s="8">
        <f>D754*(1+C755)</f>
        <v/>
      </c>
    </row>
    <row r="756">
      <c r="A756" s="8" t="inlineStr">
        <is>
          <t>1919-07-01</t>
        </is>
      </c>
      <c r="B756" s="6" t="n">
        <v>4.87</v>
      </c>
      <c r="C756" s="8">
        <f>B756/100/12</f>
        <v/>
      </c>
      <c r="D756" s="8">
        <f>D755*(1+C756)</f>
        <v/>
      </c>
    </row>
    <row r="757">
      <c r="A757" s="8" t="inlineStr">
        <is>
          <t>1919-08-01</t>
        </is>
      </c>
      <c r="B757" s="6" t="n">
        <v>4.82</v>
      </c>
      <c r="C757" s="8">
        <f>B757/100/12</f>
        <v/>
      </c>
      <c r="D757" s="8">
        <f>D756*(1+C757)</f>
        <v/>
      </c>
    </row>
    <row r="758">
      <c r="A758" s="8" t="inlineStr">
        <is>
          <t>1919-09-01</t>
        </is>
      </c>
      <c r="B758" s="6" t="n">
        <v>4.82</v>
      </c>
      <c r="C758" s="8">
        <f>B758/100/12</f>
        <v/>
      </c>
      <c r="D758" s="8">
        <f>D757*(1+C758)</f>
        <v/>
      </c>
    </row>
    <row r="759">
      <c r="A759" s="8" t="inlineStr">
        <is>
          <t>1919-10-01</t>
        </is>
      </c>
      <c r="B759" s="6" t="n">
        <v>4.82</v>
      </c>
      <c r="C759" s="8">
        <f>B759/100/12</f>
        <v/>
      </c>
      <c r="D759" s="8">
        <f>D758*(1+C759)</f>
        <v/>
      </c>
    </row>
    <row r="760">
      <c r="A760" s="8" t="inlineStr">
        <is>
          <t>1919-11-01</t>
        </is>
      </c>
      <c r="B760" s="6" t="n">
        <v>4.94</v>
      </c>
      <c r="C760" s="8">
        <f>B760/100/12</f>
        <v/>
      </c>
      <c r="D760" s="8">
        <f>D759*(1+C760)</f>
        <v/>
      </c>
    </row>
    <row r="761">
      <c r="A761" s="8" t="inlineStr">
        <is>
          <t>1919-12-01</t>
        </is>
      </c>
      <c r="B761" s="6" t="n">
        <v>5.32</v>
      </c>
      <c r="C761" s="8">
        <f>B761/100/12</f>
        <v/>
      </c>
      <c r="D761" s="8">
        <f>D760*(1+C761)</f>
        <v/>
      </c>
    </row>
    <row r="762">
      <c r="A762" s="8" t="inlineStr">
        <is>
          <t>1920-01-01</t>
        </is>
      </c>
      <c r="B762" s="6" t="n">
        <v>5.44</v>
      </c>
      <c r="C762" s="8">
        <f>B762/100/12</f>
        <v/>
      </c>
      <c r="D762" s="8">
        <f>D761*(1+C762)</f>
        <v/>
      </c>
    </row>
    <row r="763">
      <c r="A763" s="8" t="inlineStr">
        <is>
          <t>1920-02-01</t>
        </is>
      </c>
      <c r="B763" s="6" t="n">
        <v>5.84</v>
      </c>
      <c r="C763" s="8">
        <f>B763/100/12</f>
        <v/>
      </c>
      <c r="D763" s="8">
        <f>D762*(1+C763)</f>
        <v/>
      </c>
    </row>
    <row r="764">
      <c r="A764" s="8" t="inlineStr">
        <is>
          <t>1920-03-01</t>
        </is>
      </c>
      <c r="B764" s="6" t="n">
        <v>6.11</v>
      </c>
      <c r="C764" s="8">
        <f>B764/100/12</f>
        <v/>
      </c>
      <c r="D764" s="8">
        <f>D763*(1+C764)</f>
        <v/>
      </c>
    </row>
    <row r="765">
      <c r="A765" s="8" t="inlineStr">
        <is>
          <t>1920-04-01</t>
        </is>
      </c>
      <c r="B765" s="6" t="n">
        <v>6.26</v>
      </c>
      <c r="C765" s="8">
        <f>B765/100/12</f>
        <v/>
      </c>
      <c r="D765" s="8">
        <f>D764*(1+C765)</f>
        <v/>
      </c>
    </row>
    <row r="766">
      <c r="A766" s="8" t="inlineStr">
        <is>
          <t>1920-05-01</t>
        </is>
      </c>
      <c r="B766" s="6" t="n">
        <v>6.6</v>
      </c>
      <c r="C766" s="8">
        <f>B766/100/12</f>
        <v/>
      </c>
      <c r="D766" s="8">
        <f>D765*(1+C766)</f>
        <v/>
      </c>
    </row>
    <row r="767">
      <c r="A767" s="8" t="inlineStr">
        <is>
          <t>1920-06-01</t>
        </is>
      </c>
      <c r="B767" s="6" t="n">
        <v>7.16</v>
      </c>
      <c r="C767" s="8">
        <f>B767/100/12</f>
        <v/>
      </c>
      <c r="D767" s="8">
        <f>D766*(1+C767)</f>
        <v/>
      </c>
    </row>
    <row r="768">
      <c r="A768" s="8" t="inlineStr">
        <is>
          <t>1920-07-01</t>
        </is>
      </c>
      <c r="B768" s="6" t="n">
        <v>7.28</v>
      </c>
      <c r="C768" s="8">
        <f>B768/100/12</f>
        <v/>
      </c>
      <c r="D768" s="8">
        <f>D767*(1+C768)</f>
        <v/>
      </c>
    </row>
    <row r="769">
      <c r="A769" s="8" t="inlineStr">
        <is>
          <t>1920-08-01</t>
        </is>
      </c>
      <c r="B769" s="6" t="n">
        <v>7.44</v>
      </c>
      <c r="C769" s="8">
        <f>B769/100/12</f>
        <v/>
      </c>
      <c r="D769" s="8">
        <f>D768*(1+C769)</f>
        <v/>
      </c>
    </row>
    <row r="770">
      <c r="A770" s="8" t="inlineStr">
        <is>
          <t>1920-09-01</t>
        </is>
      </c>
      <c r="B770" s="6" t="n">
        <v>7.41</v>
      </c>
      <c r="C770" s="8">
        <f>B770/100/12</f>
        <v/>
      </c>
      <c r="D770" s="8">
        <f>D769*(1+C770)</f>
        <v/>
      </c>
    </row>
    <row r="771">
      <c r="A771" s="8" t="inlineStr">
        <is>
          <t>1920-10-01</t>
        </is>
      </c>
      <c r="B771" s="6" t="n">
        <v>7.44</v>
      </c>
      <c r="C771" s="8">
        <f>B771/100/12</f>
        <v/>
      </c>
      <c r="D771" s="8">
        <f>D770*(1+C771)</f>
        <v/>
      </c>
    </row>
    <row r="772">
      <c r="A772" s="8" t="inlineStr">
        <is>
          <t>1920-11-01</t>
        </is>
      </c>
      <c r="B772" s="6" t="n">
        <v>7.37</v>
      </c>
      <c r="C772" s="8">
        <f>B772/100/12</f>
        <v/>
      </c>
      <c r="D772" s="8">
        <f>D771*(1+C772)</f>
        <v/>
      </c>
    </row>
    <row r="773">
      <c r="A773" s="8" t="inlineStr">
        <is>
          <t>1920-12-01</t>
        </is>
      </c>
      <c r="B773" s="6" t="n">
        <v>7.32</v>
      </c>
      <c r="C773" s="8">
        <f>B773/100/12</f>
        <v/>
      </c>
      <c r="D773" s="8">
        <f>D772*(1+C773)</f>
        <v/>
      </c>
    </row>
    <row r="774">
      <c r="A774" s="8" t="inlineStr">
        <is>
          <t>1921-01-01</t>
        </is>
      </c>
      <c r="B774" s="6" t="n">
        <v>7.26</v>
      </c>
      <c r="C774" s="8">
        <f>B774/100/12</f>
        <v/>
      </c>
      <c r="D774" s="8">
        <f>D773*(1+C774)</f>
        <v/>
      </c>
    </row>
    <row r="775">
      <c r="A775" s="8" t="inlineStr">
        <is>
          <t>1921-02-01</t>
        </is>
      </c>
      <c r="B775" s="6" t="n">
        <v>7.19</v>
      </c>
      <c r="C775" s="8">
        <f>B775/100/12</f>
        <v/>
      </c>
      <c r="D775" s="8">
        <f>D774*(1+C775)</f>
        <v/>
      </c>
    </row>
    <row r="776">
      <c r="A776" s="8" t="inlineStr">
        <is>
          <t>1921-03-01</t>
        </is>
      </c>
      <c r="B776" s="6" t="n">
        <v>7.06</v>
      </c>
      <c r="C776" s="8">
        <f>B776/100/12</f>
        <v/>
      </c>
      <c r="D776" s="8">
        <f>D775*(1+C776)</f>
        <v/>
      </c>
    </row>
    <row r="777">
      <c r="A777" s="8" t="inlineStr">
        <is>
          <t>1921-04-01</t>
        </is>
      </c>
      <c r="B777" s="6" t="n">
        <v>7</v>
      </c>
      <c r="C777" s="8">
        <f>B777/100/12</f>
        <v/>
      </c>
      <c r="D777" s="8">
        <f>D776*(1+C777)</f>
        <v/>
      </c>
    </row>
    <row r="778">
      <c r="A778" s="8" t="inlineStr">
        <is>
          <t>1921-05-01</t>
        </is>
      </c>
      <c r="B778" s="6" t="n">
        <v>6.37</v>
      </c>
      <c r="C778" s="8">
        <f>B778/100/12</f>
        <v/>
      </c>
      <c r="D778" s="8">
        <f>D777*(1+C778)</f>
        <v/>
      </c>
    </row>
    <row r="779">
      <c r="A779" s="8" t="inlineStr">
        <is>
          <t>1921-06-01</t>
        </is>
      </c>
      <c r="B779" s="6" t="n">
        <v>6.15</v>
      </c>
      <c r="C779" s="8">
        <f>B779/100/12</f>
        <v/>
      </c>
      <c r="D779" s="8">
        <f>D778*(1+C779)</f>
        <v/>
      </c>
    </row>
    <row r="780">
      <c r="A780" s="8" t="inlineStr">
        <is>
          <t>1921-07-01</t>
        </is>
      </c>
      <c r="B780" s="6" t="n">
        <v>5.72</v>
      </c>
      <c r="C780" s="8">
        <f>B780/100/12</f>
        <v/>
      </c>
      <c r="D780" s="8">
        <f>D779*(1+C780)</f>
        <v/>
      </c>
    </row>
    <row r="781">
      <c r="A781" s="8" t="inlineStr">
        <is>
          <t>1921-08-01</t>
        </is>
      </c>
      <c r="B781" s="6" t="n">
        <v>5.39</v>
      </c>
      <c r="C781" s="8">
        <f>B781/100/12</f>
        <v/>
      </c>
      <c r="D781" s="8">
        <f>D780*(1+C781)</f>
        <v/>
      </c>
    </row>
    <row r="782">
      <c r="A782" s="8" t="inlineStr">
        <is>
          <t>1921-09-01</t>
        </is>
      </c>
      <c r="B782" s="6" t="n">
        <v>5.32</v>
      </c>
      <c r="C782" s="8">
        <f>B782/100/12</f>
        <v/>
      </c>
      <c r="D782" s="8">
        <f>D781*(1+C782)</f>
        <v/>
      </c>
    </row>
    <row r="783">
      <c r="A783" s="8" t="inlineStr">
        <is>
          <t>1921-10-01</t>
        </is>
      </c>
      <c r="B783" s="6" t="n">
        <v>5.06</v>
      </c>
      <c r="C783" s="8">
        <f>B783/100/12</f>
        <v/>
      </c>
      <c r="D783" s="8">
        <f>D782*(1+C783)</f>
        <v/>
      </c>
    </row>
    <row r="784">
      <c r="A784" s="8" t="inlineStr">
        <is>
          <t>1921-11-01</t>
        </is>
      </c>
      <c r="B784" s="6" t="n">
        <v>4.61</v>
      </c>
      <c r="C784" s="8">
        <f>B784/100/12</f>
        <v/>
      </c>
      <c r="D784" s="8">
        <f>D783*(1+C784)</f>
        <v/>
      </c>
    </row>
    <row r="785">
      <c r="A785" s="8" t="inlineStr">
        <is>
          <t>1921-12-01</t>
        </is>
      </c>
      <c r="B785" s="6" t="n">
        <v>4.56</v>
      </c>
      <c r="C785" s="8">
        <f>B785/100/12</f>
        <v/>
      </c>
      <c r="D785" s="8">
        <f>D784*(1+C785)</f>
        <v/>
      </c>
    </row>
    <row r="786">
      <c r="A786" s="8" t="inlineStr">
        <is>
          <t>1922-01-01</t>
        </is>
      </c>
      <c r="B786" s="6" t="n">
        <v>4.35</v>
      </c>
      <c r="C786" s="8">
        <f>B786/100/12</f>
        <v/>
      </c>
      <c r="D786" s="8">
        <f>D785*(1+C786)</f>
        <v/>
      </c>
    </row>
    <row r="787">
      <c r="A787" s="8" t="inlineStr">
        <is>
          <t>1922-02-01</t>
        </is>
      </c>
      <c r="B787" s="6" t="n">
        <v>4.32</v>
      </c>
      <c r="C787" s="8">
        <f>B787/100/12</f>
        <v/>
      </c>
      <c r="D787" s="8">
        <f>D786*(1+C787)</f>
        <v/>
      </c>
    </row>
    <row r="788">
      <c r="A788" s="8" t="inlineStr">
        <is>
          <t>1922-03-01</t>
        </is>
      </c>
      <c r="B788" s="6" t="n">
        <v>4.23</v>
      </c>
      <c r="C788" s="8">
        <f>B788/100/12</f>
        <v/>
      </c>
      <c r="D788" s="8">
        <f>D787*(1+C788)</f>
        <v/>
      </c>
    </row>
    <row r="789">
      <c r="A789" s="8" t="inlineStr">
        <is>
          <t>1922-04-01</t>
        </is>
      </c>
      <c r="B789" s="6" t="n">
        <v>4</v>
      </c>
      <c r="C789" s="8">
        <f>B789/100/12</f>
        <v/>
      </c>
      <c r="D789" s="8">
        <f>D788*(1+C789)</f>
        <v/>
      </c>
    </row>
    <row r="790">
      <c r="A790" s="8" t="inlineStr">
        <is>
          <t>1922-05-01</t>
        </is>
      </c>
      <c r="B790" s="6" t="n">
        <v>3.72</v>
      </c>
      <c r="C790" s="8">
        <f>B790/100/12</f>
        <v/>
      </c>
      <c r="D790" s="8">
        <f>D789*(1+C790)</f>
        <v/>
      </c>
    </row>
    <row r="791">
      <c r="A791" s="8" t="inlineStr">
        <is>
          <t>1922-06-01</t>
        </is>
      </c>
      <c r="B791" s="6" t="n">
        <v>3.47</v>
      </c>
      <c r="C791" s="8">
        <f>B791/100/12</f>
        <v/>
      </c>
      <c r="D791" s="8">
        <f>D790*(1+C791)</f>
        <v/>
      </c>
    </row>
    <row r="792">
      <c r="A792" s="8" t="inlineStr">
        <is>
          <t>1922-07-01</t>
        </is>
      </c>
      <c r="B792" s="6" t="n">
        <v>3.38</v>
      </c>
      <c r="C792" s="8">
        <f>B792/100/12</f>
        <v/>
      </c>
      <c r="D792" s="8">
        <f>D791*(1+C792)</f>
        <v/>
      </c>
    </row>
    <row r="793">
      <c r="A793" s="8" t="inlineStr">
        <is>
          <t>1922-08-01</t>
        </is>
      </c>
      <c r="B793" s="6" t="n">
        <v>3.32</v>
      </c>
      <c r="C793" s="8">
        <f>B793/100/12</f>
        <v/>
      </c>
      <c r="D793" s="8">
        <f>D792*(1+C793)</f>
        <v/>
      </c>
    </row>
    <row r="794">
      <c r="A794" s="8" t="inlineStr">
        <is>
          <t>1922-09-01</t>
        </is>
      </c>
      <c r="B794" s="6" t="n">
        <v>3.63</v>
      </c>
      <c r="C794" s="8">
        <f>B794/100/12</f>
        <v/>
      </c>
      <c r="D794" s="8">
        <f>D793*(1+C794)</f>
        <v/>
      </c>
    </row>
    <row r="795">
      <c r="A795" s="8" t="inlineStr">
        <is>
          <t>1922-10-01</t>
        </is>
      </c>
      <c r="B795" s="6" t="n">
        <v>3.83</v>
      </c>
      <c r="C795" s="8">
        <f>B795/100/12</f>
        <v/>
      </c>
      <c r="D795" s="8">
        <f>D794*(1+C795)</f>
        <v/>
      </c>
    </row>
    <row r="796">
      <c r="A796" s="8" t="inlineStr">
        <is>
          <t>1922-11-01</t>
        </is>
      </c>
      <c r="B796" s="6" t="n">
        <v>4.05</v>
      </c>
      <c r="C796" s="8">
        <f>B796/100/12</f>
        <v/>
      </c>
      <c r="D796" s="8">
        <f>D795*(1+C796)</f>
        <v/>
      </c>
    </row>
    <row r="797">
      <c r="A797" s="8" t="inlineStr">
        <is>
          <t>1922-12-01</t>
        </is>
      </c>
      <c r="B797" s="6" t="n">
        <v>4.06</v>
      </c>
      <c r="C797" s="8">
        <f>B797/100/12</f>
        <v/>
      </c>
      <c r="D797" s="8">
        <f>D796*(1+C797)</f>
        <v/>
      </c>
    </row>
    <row r="798">
      <c r="A798" s="8" t="inlineStr">
        <is>
          <t>1923-01-01</t>
        </is>
      </c>
      <c r="B798" s="6" t="n">
        <v>4.06</v>
      </c>
      <c r="C798" s="8">
        <f>B798/100/12</f>
        <v/>
      </c>
      <c r="D798" s="8">
        <f>D797*(1+C798)</f>
        <v/>
      </c>
    </row>
    <row r="799">
      <c r="A799" s="8" t="inlineStr">
        <is>
          <t>1923-02-01</t>
        </is>
      </c>
      <c r="B799" s="6" t="n">
        <v>4.12</v>
      </c>
      <c r="C799" s="8">
        <f>B799/100/12</f>
        <v/>
      </c>
      <c r="D799" s="8">
        <f>D798*(1+C799)</f>
        <v/>
      </c>
    </row>
    <row r="800">
      <c r="A800" s="8" t="inlineStr">
        <is>
          <t>1923-03-01</t>
        </is>
      </c>
      <c r="B800" s="6" t="n">
        <v>4.47</v>
      </c>
      <c r="C800" s="8">
        <f>B800/100/12</f>
        <v/>
      </c>
      <c r="D800" s="8">
        <f>D799*(1+C800)</f>
        <v/>
      </c>
    </row>
    <row r="801">
      <c r="A801" s="8" t="inlineStr">
        <is>
          <t>1923-04-01</t>
        </is>
      </c>
      <c r="B801" s="6" t="n">
        <v>4.56</v>
      </c>
      <c r="C801" s="8">
        <f>B801/100/12</f>
        <v/>
      </c>
      <c r="D801" s="8">
        <f>D800*(1+C801)</f>
        <v/>
      </c>
    </row>
    <row r="802">
      <c r="A802" s="8" t="inlineStr">
        <is>
          <t>1923-05-01</t>
        </is>
      </c>
      <c r="B802" s="6" t="n">
        <v>4.56</v>
      </c>
      <c r="C802" s="8">
        <f>B802/100/12</f>
        <v/>
      </c>
      <c r="D802" s="8">
        <f>D801*(1+C802)</f>
        <v/>
      </c>
    </row>
    <row r="803">
      <c r="A803" s="8" t="inlineStr">
        <is>
          <t>1923-06-01</t>
        </is>
      </c>
      <c r="B803" s="6" t="n">
        <v>4.35</v>
      </c>
      <c r="C803" s="8">
        <f>B803/100/12</f>
        <v/>
      </c>
      <c r="D803" s="8">
        <f>D802*(1+C803)</f>
        <v/>
      </c>
    </row>
    <row r="804">
      <c r="A804" s="8" t="inlineStr">
        <is>
          <t>1923-07-01</t>
        </is>
      </c>
      <c r="B804" s="6" t="n">
        <v>4.39</v>
      </c>
      <c r="C804" s="8">
        <f>B804/100/12</f>
        <v/>
      </c>
      <c r="D804" s="8">
        <f>D803*(1+C804)</f>
        <v/>
      </c>
    </row>
    <row r="805">
      <c r="A805" s="8" t="inlineStr">
        <is>
          <t>1923-08-01</t>
        </is>
      </c>
      <c r="B805" s="6" t="n">
        <v>4.47</v>
      </c>
      <c r="C805" s="8">
        <f>B805/100/12</f>
        <v/>
      </c>
      <c r="D805" s="8">
        <f>D804*(1+C805)</f>
        <v/>
      </c>
    </row>
    <row r="806">
      <c r="A806" s="8" t="inlineStr">
        <is>
          <t>1923-09-01</t>
        </is>
      </c>
      <c r="B806" s="6" t="n">
        <v>4.56</v>
      </c>
      <c r="C806" s="8">
        <f>B806/100/12</f>
        <v/>
      </c>
      <c r="D806" s="8">
        <f>D805*(1+C806)</f>
        <v/>
      </c>
    </row>
    <row r="807">
      <c r="A807" s="8" t="inlineStr">
        <is>
          <t>1923-10-01</t>
        </is>
      </c>
      <c r="B807" s="6" t="n">
        <v>4.56</v>
      </c>
      <c r="C807" s="8">
        <f>B807/100/12</f>
        <v/>
      </c>
      <c r="D807" s="8">
        <f>D806*(1+C807)</f>
        <v/>
      </c>
    </row>
    <row r="808">
      <c r="A808" s="8" t="inlineStr">
        <is>
          <t>1923-11-01</t>
        </is>
      </c>
      <c r="B808" s="6" t="n">
        <v>4.53</v>
      </c>
      <c r="C808" s="8">
        <f>B808/100/12</f>
        <v/>
      </c>
      <c r="D808" s="8">
        <f>D807*(1+C808)</f>
        <v/>
      </c>
    </row>
    <row r="809">
      <c r="A809" s="8" t="inlineStr">
        <is>
          <t>1923-12-01</t>
        </is>
      </c>
      <c r="B809" s="6" t="n">
        <v>4.32</v>
      </c>
      <c r="C809" s="8">
        <f>B809/100/12</f>
        <v/>
      </c>
      <c r="D809" s="8">
        <f>D808*(1+C809)</f>
        <v/>
      </c>
    </row>
    <row r="810">
      <c r="A810" s="8" t="inlineStr">
        <is>
          <t>1924-01-01</t>
        </is>
      </c>
      <c r="B810" s="6" t="n">
        <v>4.32</v>
      </c>
      <c r="C810" s="8">
        <f>B810/100/12</f>
        <v/>
      </c>
      <c r="D810" s="8">
        <f>D809*(1+C810)</f>
        <v/>
      </c>
    </row>
    <row r="811">
      <c r="A811" s="8" t="inlineStr">
        <is>
          <t>1924-02-01</t>
        </is>
      </c>
      <c r="B811" s="6" t="n">
        <v>4.22</v>
      </c>
      <c r="C811" s="8">
        <f>B811/100/12</f>
        <v/>
      </c>
      <c r="D811" s="8">
        <f>D810*(1+C811)</f>
        <v/>
      </c>
    </row>
    <row r="812">
      <c r="A812" s="8" t="inlineStr">
        <is>
          <t>1924-03-01</t>
        </is>
      </c>
      <c r="B812" s="6" t="n">
        <v>4.06</v>
      </c>
      <c r="C812" s="8">
        <f>B812/100/12</f>
        <v/>
      </c>
      <c r="D812" s="8">
        <f>D811*(1+C812)</f>
        <v/>
      </c>
    </row>
    <row r="813">
      <c r="A813" s="8" t="inlineStr">
        <is>
          <t>1924-04-01</t>
        </is>
      </c>
      <c r="B813" s="6" t="n">
        <v>4.06</v>
      </c>
      <c r="C813" s="8">
        <f>B813/100/12</f>
        <v/>
      </c>
      <c r="D813" s="8">
        <f>D812*(1+C813)</f>
        <v/>
      </c>
    </row>
    <row r="814">
      <c r="A814" s="8" t="inlineStr">
        <is>
          <t>1924-05-01</t>
        </is>
      </c>
      <c r="B814" s="6" t="n">
        <v>3.63</v>
      </c>
      <c r="C814" s="8">
        <f>B814/100/12</f>
        <v/>
      </c>
      <c r="D814" s="8">
        <f>D813*(1+C814)</f>
        <v/>
      </c>
    </row>
    <row r="815">
      <c r="A815" s="8" t="inlineStr">
        <is>
          <t>1924-06-01</t>
        </is>
      </c>
      <c r="B815" s="6" t="n">
        <v>3.41</v>
      </c>
      <c r="C815" s="8">
        <f>B815/100/12</f>
        <v/>
      </c>
      <c r="D815" s="8">
        <f>D814*(1+C815)</f>
        <v/>
      </c>
    </row>
    <row r="816">
      <c r="A816" s="8" t="inlineStr">
        <is>
          <t>1924-07-01</t>
        </is>
      </c>
      <c r="B816" s="6" t="n">
        <v>2.96</v>
      </c>
      <c r="C816" s="8">
        <f>B816/100/12</f>
        <v/>
      </c>
      <c r="D816" s="8">
        <f>D815*(1+C816)</f>
        <v/>
      </c>
    </row>
    <row r="817">
      <c r="A817" s="8" t="inlineStr">
        <is>
          <t>1924-08-01</t>
        </is>
      </c>
      <c r="B817" s="6" t="n">
        <v>2.69</v>
      </c>
      <c r="C817" s="8">
        <f>B817/100/12</f>
        <v/>
      </c>
      <c r="D817" s="8">
        <f>D816*(1+C817)</f>
        <v/>
      </c>
    </row>
    <row r="818">
      <c r="A818" s="8" t="inlineStr">
        <is>
          <t>1924-09-01</t>
        </is>
      </c>
      <c r="B818" s="6" t="n">
        <v>2.56</v>
      </c>
      <c r="C818" s="8">
        <f>B818/100/12</f>
        <v/>
      </c>
      <c r="D818" s="8">
        <f>D817*(1+C818)</f>
        <v/>
      </c>
    </row>
    <row r="819">
      <c r="A819" s="8" t="inlineStr">
        <is>
          <t>1924-10-01</t>
        </is>
      </c>
      <c r="B819" s="6" t="n">
        <v>2.56</v>
      </c>
      <c r="C819" s="8">
        <f>B819/100/12</f>
        <v/>
      </c>
      <c r="D819" s="8">
        <f>D818*(1+C819)</f>
        <v/>
      </c>
    </row>
    <row r="820">
      <c r="A820" s="8" t="inlineStr">
        <is>
          <t>1924-11-01</t>
        </is>
      </c>
      <c r="B820" s="6" t="n">
        <v>2.66</v>
      </c>
      <c r="C820" s="8">
        <f>B820/100/12</f>
        <v/>
      </c>
      <c r="D820" s="8">
        <f>D819*(1+C820)</f>
        <v/>
      </c>
    </row>
    <row r="821">
      <c r="A821" s="8" t="inlineStr">
        <is>
          <t>1924-12-01</t>
        </is>
      </c>
      <c r="B821" s="6" t="n">
        <v>2.99</v>
      </c>
      <c r="C821" s="8">
        <f>B821/100/12</f>
        <v/>
      </c>
      <c r="D821" s="8">
        <f>D820*(1+C821)</f>
        <v/>
      </c>
    </row>
    <row r="822">
      <c r="A822" s="8" t="inlineStr">
        <is>
          <t>1925-01-01</t>
        </is>
      </c>
      <c r="B822" s="6" t="n">
        <v>3.06</v>
      </c>
      <c r="C822" s="8">
        <f>B822/100/12</f>
        <v/>
      </c>
      <c r="D822" s="8">
        <f>D821*(1+C822)</f>
        <v/>
      </c>
    </row>
    <row r="823">
      <c r="A823" s="8" t="inlineStr">
        <is>
          <t>1925-02-01</t>
        </is>
      </c>
      <c r="B823" s="6" t="n">
        <v>3.06</v>
      </c>
      <c r="C823" s="8">
        <f>B823/100/12</f>
        <v/>
      </c>
      <c r="D823" s="8">
        <f>D822*(1+C823)</f>
        <v/>
      </c>
    </row>
    <row r="824">
      <c r="A824" s="8" t="inlineStr">
        <is>
          <t>1925-03-01</t>
        </is>
      </c>
      <c r="B824" s="6" t="n">
        <v>3.35</v>
      </c>
      <c r="C824" s="8">
        <f>B824/100/12</f>
        <v/>
      </c>
      <c r="D824" s="8">
        <f>D823*(1+C824)</f>
        <v/>
      </c>
    </row>
    <row r="825">
      <c r="A825" s="8" t="inlineStr">
        <is>
          <t>1925-04-01</t>
        </is>
      </c>
      <c r="B825" s="6" t="n">
        <v>3.37</v>
      </c>
      <c r="C825" s="8">
        <f>B825/100/12</f>
        <v/>
      </c>
      <c r="D825" s="8">
        <f>D824*(1+C825)</f>
        <v/>
      </c>
    </row>
    <row r="826">
      <c r="A826" s="8" t="inlineStr">
        <is>
          <t>1925-05-01</t>
        </is>
      </c>
      <c r="B826" s="6" t="n">
        <v>3.32</v>
      </c>
      <c r="C826" s="8">
        <f>B826/100/12</f>
        <v/>
      </c>
      <c r="D826" s="8">
        <f>D825*(1+C826)</f>
        <v/>
      </c>
    </row>
    <row r="827">
      <c r="A827" s="8" t="inlineStr">
        <is>
          <t>1925-06-01</t>
        </is>
      </c>
      <c r="B827" s="6" t="n">
        <v>3.32</v>
      </c>
      <c r="C827" s="8">
        <f>B827/100/12</f>
        <v/>
      </c>
      <c r="D827" s="8">
        <f>D826*(1+C827)</f>
        <v/>
      </c>
    </row>
    <row r="828">
      <c r="A828" s="8" t="inlineStr">
        <is>
          <t>1925-07-01</t>
        </is>
      </c>
      <c r="B828" s="6" t="n">
        <v>3.34</v>
      </c>
      <c r="C828" s="8">
        <f>B828/100/12</f>
        <v/>
      </c>
      <c r="D828" s="8">
        <f>D827*(1+C828)</f>
        <v/>
      </c>
    </row>
    <row r="829">
      <c r="A829" s="8" t="inlineStr">
        <is>
          <t>1925-08-01</t>
        </is>
      </c>
      <c r="B829" s="6" t="n">
        <v>3.41</v>
      </c>
      <c r="C829" s="8">
        <f>B829/100/12</f>
        <v/>
      </c>
      <c r="D829" s="8">
        <f>D828*(1+C829)</f>
        <v/>
      </c>
    </row>
    <row r="830">
      <c r="A830" s="8" t="inlineStr">
        <is>
          <t>1925-09-01</t>
        </is>
      </c>
      <c r="B830" s="6" t="n">
        <v>3.59</v>
      </c>
      <c r="C830" s="8">
        <f>B830/100/12</f>
        <v/>
      </c>
      <c r="D830" s="8">
        <f>D829*(1+C830)</f>
        <v/>
      </c>
    </row>
    <row r="831">
      <c r="A831" s="8" t="inlineStr">
        <is>
          <t>1925-10-01</t>
        </is>
      </c>
      <c r="B831" s="6" t="n">
        <v>3.82</v>
      </c>
      <c r="C831" s="8">
        <f>B831/100/12</f>
        <v/>
      </c>
      <c r="D831" s="8">
        <f>D830*(1+C831)</f>
        <v/>
      </c>
    </row>
    <row r="832">
      <c r="A832" s="8" t="inlineStr">
        <is>
          <t>1925-11-01</t>
        </is>
      </c>
      <c r="B832" s="6" t="n">
        <v>3.82</v>
      </c>
      <c r="C832" s="8">
        <f>B832/100/12</f>
        <v/>
      </c>
      <c r="D832" s="8">
        <f>D831*(1+C832)</f>
        <v/>
      </c>
    </row>
    <row r="833">
      <c r="A833" s="8" t="inlineStr">
        <is>
          <t>1925-12-01</t>
        </is>
      </c>
      <c r="B833" s="6" t="n">
        <v>3.82</v>
      </c>
      <c r="C833" s="8">
        <f>B833/100/12</f>
        <v/>
      </c>
      <c r="D833" s="8">
        <f>D832*(1+C833)</f>
        <v/>
      </c>
    </row>
    <row r="834">
      <c r="A834" s="8" t="inlineStr">
        <is>
          <t>1926-01-01</t>
        </is>
      </c>
      <c r="B834" s="6" t="n">
        <v>3.79</v>
      </c>
      <c r="C834" s="8">
        <f>B834/100/12</f>
        <v/>
      </c>
      <c r="D834" s="8">
        <f>D833*(1+C834)</f>
        <v/>
      </c>
    </row>
    <row r="835">
      <c r="A835" s="8" t="inlineStr">
        <is>
          <t>1926-02-01</t>
        </is>
      </c>
      <c r="B835" s="6" t="n">
        <v>3.59</v>
      </c>
      <c r="C835" s="8">
        <f>B835/100/12</f>
        <v/>
      </c>
      <c r="D835" s="8">
        <f>D834*(1+C835)</f>
        <v/>
      </c>
    </row>
    <row r="836">
      <c r="A836" s="8" t="inlineStr">
        <is>
          <t>1926-03-01</t>
        </is>
      </c>
      <c r="B836" s="6" t="n">
        <v>3.72</v>
      </c>
      <c r="C836" s="8">
        <f>B836/100/12</f>
        <v/>
      </c>
      <c r="D836" s="8">
        <f>D835*(1+C836)</f>
        <v/>
      </c>
    </row>
    <row r="837">
      <c r="A837" s="8" t="inlineStr">
        <is>
          <t>1926-04-01</t>
        </is>
      </c>
      <c r="B837" s="6" t="n">
        <v>3.63</v>
      </c>
      <c r="C837" s="8">
        <f>B837/100/12</f>
        <v/>
      </c>
      <c r="D837" s="8">
        <f>D836*(1+C837)</f>
        <v/>
      </c>
    </row>
    <row r="838">
      <c r="A838" s="8" t="inlineStr">
        <is>
          <t>1926-05-01</t>
        </is>
      </c>
      <c r="B838" s="6" t="n">
        <v>3.47</v>
      </c>
      <c r="C838" s="8">
        <f>B838/100/12</f>
        <v/>
      </c>
      <c r="D838" s="8">
        <f>D837*(1+C838)</f>
        <v/>
      </c>
    </row>
    <row r="839">
      <c r="A839" s="8" t="inlineStr">
        <is>
          <t>1926-06-01</t>
        </is>
      </c>
      <c r="B839" s="6" t="n">
        <v>3.32</v>
      </c>
      <c r="C839" s="8">
        <f>B839/100/12</f>
        <v/>
      </c>
      <c r="D839" s="8">
        <f>D838*(1+C839)</f>
        <v/>
      </c>
    </row>
    <row r="840">
      <c r="A840" s="8" t="inlineStr">
        <is>
          <t>1926-07-01</t>
        </is>
      </c>
      <c r="B840" s="6" t="n">
        <v>3.38</v>
      </c>
      <c r="C840" s="8">
        <f>B840/100/12</f>
        <v/>
      </c>
      <c r="D840" s="8">
        <f>D839*(1+C840)</f>
        <v/>
      </c>
    </row>
    <row r="841">
      <c r="A841" s="8" t="inlineStr">
        <is>
          <t>1926-08-01</t>
        </is>
      </c>
      <c r="B841" s="6" t="n">
        <v>3.66</v>
      </c>
      <c r="C841" s="8">
        <f>B841/100/12</f>
        <v/>
      </c>
      <c r="D841" s="8">
        <f>D840*(1+C841)</f>
        <v/>
      </c>
    </row>
    <row r="842">
      <c r="A842" s="8" t="inlineStr">
        <is>
          <t>1926-09-01</t>
        </is>
      </c>
      <c r="B842" s="6" t="n">
        <v>3.84</v>
      </c>
      <c r="C842" s="8">
        <f>B842/100/12</f>
        <v/>
      </c>
      <c r="D842" s="8">
        <f>D841*(1+C842)</f>
        <v/>
      </c>
    </row>
    <row r="843">
      <c r="A843" s="8" t="inlineStr">
        <is>
          <t>1926-10-01</t>
        </is>
      </c>
      <c r="B843" s="6" t="n">
        <v>3.97</v>
      </c>
      <c r="C843" s="8">
        <f>B843/100/12</f>
        <v/>
      </c>
      <c r="D843" s="8">
        <f>D842*(1+C843)</f>
        <v/>
      </c>
    </row>
    <row r="844">
      <c r="A844" s="8" t="inlineStr">
        <is>
          <t>1926-11-01</t>
        </is>
      </c>
      <c r="B844" s="6" t="n">
        <v>3.87</v>
      </c>
      <c r="C844" s="8">
        <f>B844/100/12</f>
        <v/>
      </c>
      <c r="D844" s="8">
        <f>D843*(1+C844)</f>
        <v/>
      </c>
    </row>
    <row r="845">
      <c r="A845" s="8" t="inlineStr">
        <is>
          <t>1926-12-01</t>
        </is>
      </c>
      <c r="B845" s="6" t="n">
        <v>3.84</v>
      </c>
      <c r="C845" s="8">
        <f>B845/100/12</f>
        <v/>
      </c>
      <c r="D845" s="8">
        <f>D844*(1+C845)</f>
        <v/>
      </c>
    </row>
    <row r="846">
      <c r="A846" s="8" t="inlineStr">
        <is>
          <t>1927-01-01</t>
        </is>
      </c>
      <c r="B846" s="6" t="n">
        <v>3.63</v>
      </c>
      <c r="C846" s="8">
        <f>B846/100/12</f>
        <v/>
      </c>
      <c r="D846" s="8">
        <f>D845*(1+C846)</f>
        <v/>
      </c>
    </row>
    <row r="847">
      <c r="A847" s="8" t="inlineStr">
        <is>
          <t>1927-02-01</t>
        </is>
      </c>
      <c r="B847" s="6" t="n">
        <v>3.35</v>
      </c>
      <c r="C847" s="8">
        <f>B847/100/12</f>
        <v/>
      </c>
      <c r="D847" s="8">
        <f>D846*(1+C847)</f>
        <v/>
      </c>
    </row>
    <row r="848">
      <c r="A848" s="8" t="inlineStr">
        <is>
          <t>1927-03-01</t>
        </is>
      </c>
      <c r="B848" s="6" t="n">
        <v>3.44</v>
      </c>
      <c r="C848" s="8">
        <f>B848/100/12</f>
        <v/>
      </c>
      <c r="D848" s="8">
        <f>D847*(1+C848)</f>
        <v/>
      </c>
    </row>
    <row r="849">
      <c r="A849" s="8" t="inlineStr">
        <is>
          <t>1927-04-01</t>
        </is>
      </c>
      <c r="B849" s="6" t="n">
        <v>3.53</v>
      </c>
      <c r="C849" s="8">
        <f>B849/100/12</f>
        <v/>
      </c>
      <c r="D849" s="8">
        <f>D848*(1+C849)</f>
        <v/>
      </c>
    </row>
    <row r="850">
      <c r="A850" s="8" t="inlineStr">
        <is>
          <t>1927-05-01</t>
        </is>
      </c>
      <c r="B850" s="6" t="n">
        <v>3.56</v>
      </c>
      <c r="C850" s="8">
        <f>B850/100/12</f>
        <v/>
      </c>
      <c r="D850" s="8">
        <f>D849*(1+C850)</f>
        <v/>
      </c>
    </row>
    <row r="851">
      <c r="A851" s="8" t="inlineStr">
        <is>
          <t>1927-06-01</t>
        </is>
      </c>
      <c r="B851" s="6" t="n">
        <v>3.56</v>
      </c>
      <c r="C851" s="8">
        <f>B851/100/12</f>
        <v/>
      </c>
      <c r="D851" s="8">
        <f>D850*(1+C851)</f>
        <v/>
      </c>
    </row>
    <row r="852">
      <c r="A852" s="8" t="inlineStr">
        <is>
          <t>1927-07-01</t>
        </is>
      </c>
      <c r="B852" s="6" t="n">
        <v>3.5</v>
      </c>
      <c r="C852" s="8">
        <f>B852/100/12</f>
        <v/>
      </c>
      <c r="D852" s="8">
        <f>D851*(1+C852)</f>
        <v/>
      </c>
    </row>
    <row r="853">
      <c r="A853" s="8" t="inlineStr">
        <is>
          <t>1927-08-01</t>
        </is>
      </c>
      <c r="B853" s="6" t="n">
        <v>3.34</v>
      </c>
      <c r="C853" s="8">
        <f>B853/100/12</f>
        <v/>
      </c>
      <c r="D853" s="8">
        <f>D852*(1+C853)</f>
        <v/>
      </c>
    </row>
    <row r="854">
      <c r="A854" s="8" t="inlineStr">
        <is>
          <t>1927-09-01</t>
        </is>
      </c>
      <c r="B854" s="6" t="n">
        <v>3.35</v>
      </c>
      <c r="C854" s="8">
        <f>B854/100/12</f>
        <v/>
      </c>
      <c r="D854" s="8">
        <f>D853*(1+C854)</f>
        <v/>
      </c>
    </row>
    <row r="855">
      <c r="A855" s="8" t="inlineStr">
        <is>
          <t>1927-10-01</t>
        </is>
      </c>
      <c r="B855" s="6" t="n">
        <v>3.44</v>
      </c>
      <c r="C855" s="8">
        <f>B855/100/12</f>
        <v/>
      </c>
      <c r="D855" s="8">
        <f>D854*(1+C855)</f>
        <v/>
      </c>
    </row>
    <row r="856">
      <c r="A856" s="8" t="inlineStr">
        <is>
          <t>1927-11-01</t>
        </is>
      </c>
      <c r="B856" s="6" t="n">
        <v>3.37</v>
      </c>
      <c r="C856" s="8">
        <f>B856/100/12</f>
        <v/>
      </c>
      <c r="D856" s="8">
        <f>D855*(1+C856)</f>
        <v/>
      </c>
    </row>
    <row r="857">
      <c r="A857" s="8" t="inlineStr">
        <is>
          <t>1927-12-01</t>
        </is>
      </c>
      <c r="B857" s="6" t="n">
        <v>3.41</v>
      </c>
      <c r="C857" s="8">
        <f>B857/100/12</f>
        <v/>
      </c>
      <c r="D857" s="8">
        <f>D856*(1+C857)</f>
        <v/>
      </c>
    </row>
    <row r="858">
      <c r="A858" s="8" t="inlineStr">
        <is>
          <t>1928-01-01</t>
        </is>
      </c>
      <c r="B858" s="6" t="n">
        <v>3.32</v>
      </c>
      <c r="C858" s="8">
        <f>B858/100/12</f>
        <v/>
      </c>
      <c r="D858" s="8">
        <f>D857*(1+C858)</f>
        <v/>
      </c>
    </row>
    <row r="859">
      <c r="A859" s="8" t="inlineStr">
        <is>
          <t>1928-02-01</t>
        </is>
      </c>
      <c r="B859" s="6" t="n">
        <v>3.43</v>
      </c>
      <c r="C859" s="8">
        <f>B859/100/12</f>
        <v/>
      </c>
      <c r="D859" s="8">
        <f>D858*(1+C859)</f>
        <v/>
      </c>
    </row>
    <row r="860">
      <c r="A860" s="8" t="inlineStr">
        <is>
          <t>1928-03-01</t>
        </is>
      </c>
      <c r="B860" s="6" t="n">
        <v>3.63</v>
      </c>
      <c r="C860" s="8">
        <f>B860/100/12</f>
        <v/>
      </c>
      <c r="D860" s="8">
        <f>D859*(1+C860)</f>
        <v/>
      </c>
    </row>
    <row r="861">
      <c r="A861" s="8" t="inlineStr">
        <is>
          <t>1928-04-01</t>
        </is>
      </c>
      <c r="B861" s="6" t="n">
        <v>3.75</v>
      </c>
      <c r="C861" s="8">
        <f>B861/100/12</f>
        <v/>
      </c>
      <c r="D861" s="8">
        <f>D860*(1+C861)</f>
        <v/>
      </c>
    </row>
    <row r="862">
      <c r="A862" s="8" t="inlineStr">
        <is>
          <t>1928-05-01</t>
        </is>
      </c>
      <c r="B862" s="6" t="n">
        <v>3.99</v>
      </c>
      <c r="C862" s="8">
        <f>B862/100/12</f>
        <v/>
      </c>
      <c r="D862" s="8">
        <f>D861*(1+C862)</f>
        <v/>
      </c>
    </row>
    <row r="863">
      <c r="A863" s="8" t="inlineStr">
        <is>
          <t>1928-06-01</t>
        </is>
      </c>
      <c r="B863" s="6" t="n">
        <v>4.16</v>
      </c>
      <c r="C863" s="8">
        <f>B863/100/12</f>
        <v/>
      </c>
      <c r="D863" s="8">
        <f>D862*(1+C863)</f>
        <v/>
      </c>
    </row>
    <row r="864">
      <c r="A864" s="8" t="inlineStr">
        <is>
          <t>1928-07-01</t>
        </is>
      </c>
      <c r="B864" s="6" t="n">
        <v>4.53</v>
      </c>
      <c r="C864" s="8">
        <f>B864/100/12</f>
        <v/>
      </c>
      <c r="D864" s="8">
        <f>D863*(1+C864)</f>
        <v/>
      </c>
    </row>
    <row r="865">
      <c r="A865" s="8" t="inlineStr">
        <is>
          <t>1928-08-01</t>
        </is>
      </c>
      <c r="B865" s="6" t="n">
        <v>4.86</v>
      </c>
      <c r="C865" s="8">
        <f>B865/100/12</f>
        <v/>
      </c>
      <c r="D865" s="8">
        <f>D864*(1+C865)</f>
        <v/>
      </c>
    </row>
    <row r="866">
      <c r="A866" s="8" t="inlineStr">
        <is>
          <t>1928-09-01</t>
        </is>
      </c>
      <c r="B866" s="6" t="n">
        <v>5.03</v>
      </c>
      <c r="C866" s="8">
        <f>B866/100/12</f>
        <v/>
      </c>
      <c r="D866" s="8">
        <f>D865*(1+C866)</f>
        <v/>
      </c>
    </row>
    <row r="867">
      <c r="A867" s="8" t="inlineStr">
        <is>
          <t>1928-10-01</t>
        </is>
      </c>
      <c r="B867" s="6" t="n">
        <v>4.95</v>
      </c>
      <c r="C867" s="8">
        <f>B867/100/12</f>
        <v/>
      </c>
      <c r="D867" s="8">
        <f>D866*(1+C867)</f>
        <v/>
      </c>
    </row>
    <row r="868">
      <c r="A868" s="8" t="inlineStr">
        <is>
          <t>1928-11-01</t>
        </is>
      </c>
      <c r="B868" s="6" t="n">
        <v>4.82</v>
      </c>
      <c r="C868" s="8">
        <f>B868/100/12</f>
        <v/>
      </c>
      <c r="D868" s="8">
        <f>D867*(1+C868)</f>
        <v/>
      </c>
    </row>
    <row r="869">
      <c r="A869" s="8" t="inlineStr">
        <is>
          <t>1928-12-01</t>
        </is>
      </c>
      <c r="B869" s="6" t="n">
        <v>4.88</v>
      </c>
      <c r="C869" s="8">
        <f>B869/100/12</f>
        <v/>
      </c>
      <c r="D869" s="8">
        <f>D868*(1+C869)</f>
        <v/>
      </c>
    </row>
    <row r="870">
      <c r="A870" s="8" t="inlineStr">
        <is>
          <t>1929-01-01</t>
        </is>
      </c>
      <c r="B870" s="6" t="n">
        <v>4.94</v>
      </c>
      <c r="C870" s="8">
        <f>B870/100/12</f>
        <v/>
      </c>
      <c r="D870" s="8">
        <f>D869*(1+C870)</f>
        <v/>
      </c>
    </row>
    <row r="871">
      <c r="A871" s="8" t="inlineStr">
        <is>
          <t>1929-02-01</t>
        </is>
      </c>
      <c r="B871" s="6" t="n">
        <v>5</v>
      </c>
      <c r="C871" s="8">
        <f>B871/100/12</f>
        <v/>
      </c>
      <c r="D871" s="8">
        <f>D870*(1+C871)</f>
        <v/>
      </c>
    </row>
    <row r="872">
      <c r="A872" s="8" t="inlineStr">
        <is>
          <t>1929-03-01</t>
        </is>
      </c>
      <c r="B872" s="6" t="n">
        <v>5.13</v>
      </c>
      <c r="C872" s="8">
        <f>B872/100/12</f>
        <v/>
      </c>
      <c r="D872" s="8">
        <f>D871*(1+C872)</f>
        <v/>
      </c>
    </row>
    <row r="873">
      <c r="A873" s="8" t="inlineStr">
        <is>
          <t>1929-04-01</t>
        </is>
      </c>
      <c r="B873" s="6" t="n">
        <v>5.32</v>
      </c>
      <c r="C873" s="8">
        <f>B873/100/12</f>
        <v/>
      </c>
      <c r="D873" s="8">
        <f>D872*(1+C873)</f>
        <v/>
      </c>
    </row>
    <row r="874">
      <c r="A874" s="8" t="inlineStr">
        <is>
          <t>1929-05-01</t>
        </is>
      </c>
      <c r="B874" s="6" t="n">
        <v>5.44</v>
      </c>
      <c r="C874" s="8">
        <f>B874/100/12</f>
        <v/>
      </c>
      <c r="D874" s="8">
        <f>D873*(1+C874)</f>
        <v/>
      </c>
    </row>
    <row r="875">
      <c r="A875" s="8" t="inlineStr">
        <is>
          <t>1929-06-01</t>
        </is>
      </c>
      <c r="B875" s="6" t="n">
        <v>5.44</v>
      </c>
      <c r="C875" s="8">
        <f>B875/100/12</f>
        <v/>
      </c>
      <c r="D875" s="8">
        <f>D874*(1+C875)</f>
        <v/>
      </c>
    </row>
    <row r="876">
      <c r="A876" s="8" t="inlineStr">
        <is>
          <t>1929-07-01</t>
        </is>
      </c>
      <c r="B876" s="6" t="n">
        <v>5.44</v>
      </c>
      <c r="C876" s="8">
        <f>B876/100/12</f>
        <v/>
      </c>
      <c r="D876" s="8">
        <f>D875*(1+C876)</f>
        <v/>
      </c>
    </row>
    <row r="877">
      <c r="A877" s="8" t="inlineStr">
        <is>
          <t>1929-08-01</t>
        </is>
      </c>
      <c r="B877" s="6" t="n">
        <v>5.52</v>
      </c>
      <c r="C877" s="8">
        <f>B877/100/12</f>
        <v/>
      </c>
      <c r="D877" s="8">
        <f>D876*(1+C877)</f>
        <v/>
      </c>
    </row>
    <row r="878">
      <c r="A878" s="8" t="inlineStr">
        <is>
          <t>1929-09-01</t>
        </is>
      </c>
      <c r="B878" s="6" t="n">
        <v>5.56</v>
      </c>
      <c r="C878" s="8">
        <f>B878/100/12</f>
        <v/>
      </c>
      <c r="D878" s="8">
        <f>D877*(1+C878)</f>
        <v/>
      </c>
    </row>
    <row r="879">
      <c r="A879" s="8" t="inlineStr">
        <is>
          <t>1929-10-01</t>
        </is>
      </c>
      <c r="B879" s="6" t="n">
        <v>5.56</v>
      </c>
      <c r="C879" s="8">
        <f>B879/100/12</f>
        <v/>
      </c>
      <c r="D879" s="8">
        <f>D878*(1+C879)</f>
        <v/>
      </c>
    </row>
    <row r="880">
      <c r="A880" s="8" t="inlineStr">
        <is>
          <t>1929-11-01</t>
        </is>
      </c>
      <c r="B880" s="6" t="n">
        <v>4.85</v>
      </c>
      <c r="C880" s="8">
        <f>B880/100/12</f>
        <v/>
      </c>
      <c r="D880" s="8">
        <f>D879*(1+C880)</f>
        <v/>
      </c>
    </row>
    <row r="881">
      <c r="A881" s="8" t="inlineStr">
        <is>
          <t>1929-12-01</t>
        </is>
      </c>
      <c r="B881" s="6" t="n">
        <v>4.44</v>
      </c>
      <c r="C881" s="8">
        <f>B881/100/12</f>
        <v/>
      </c>
      <c r="D881" s="8">
        <f>D880*(1+C881)</f>
        <v/>
      </c>
    </row>
    <row r="882">
      <c r="A882" s="8" t="inlineStr">
        <is>
          <t>1930-01-01</t>
        </is>
      </c>
      <c r="B882" s="6" t="n">
        <v>4.34</v>
      </c>
      <c r="C882" s="8">
        <f>B882/100/12</f>
        <v/>
      </c>
      <c r="D882" s="8">
        <f>D881*(1+C882)</f>
        <v/>
      </c>
    </row>
    <row r="883">
      <c r="A883" s="8" t="inlineStr">
        <is>
          <t>1930-02-01</t>
        </is>
      </c>
      <c r="B883" s="6" t="n">
        <v>4.06</v>
      </c>
      <c r="C883" s="8">
        <f>B883/100/12</f>
        <v/>
      </c>
      <c r="D883" s="8">
        <f>D882*(1+C883)</f>
        <v/>
      </c>
    </row>
    <row r="884">
      <c r="A884" s="8" t="inlineStr">
        <is>
          <t>1930-03-01</t>
        </is>
      </c>
      <c r="B884" s="6" t="n">
        <v>3.54</v>
      </c>
      <c r="C884" s="8">
        <f>B884/100/12</f>
        <v/>
      </c>
      <c r="D884" s="8">
        <f>D883*(1+C884)</f>
        <v/>
      </c>
    </row>
    <row r="885">
      <c r="A885" s="8" t="inlineStr">
        <is>
          <t>1930-04-01</t>
        </is>
      </c>
      <c r="B885" s="6" t="n">
        <v>3.32</v>
      </c>
      <c r="C885" s="8">
        <f>B885/100/12</f>
        <v/>
      </c>
      <c r="D885" s="8">
        <f>D884*(1+C885)</f>
        <v/>
      </c>
    </row>
    <row r="886">
      <c r="A886" s="8" t="inlineStr">
        <is>
          <t>1930-05-01</t>
        </is>
      </c>
      <c r="B886" s="6" t="n">
        <v>3.12</v>
      </c>
      <c r="C886" s="8">
        <f>B886/100/12</f>
        <v/>
      </c>
      <c r="D886" s="8">
        <f>D885*(1+C886)</f>
        <v/>
      </c>
    </row>
    <row r="887">
      <c r="A887" s="8" t="inlineStr">
        <is>
          <t>1930-06-01</t>
        </is>
      </c>
      <c r="B887" s="6" t="n">
        <v>2.88</v>
      </c>
      <c r="C887" s="8">
        <f>B887/100/12</f>
        <v/>
      </c>
      <c r="D887" s="8">
        <f>D886*(1+C887)</f>
        <v/>
      </c>
    </row>
    <row r="888">
      <c r="A888" s="8" t="inlineStr">
        <is>
          <t>1930-07-01</t>
        </is>
      </c>
      <c r="B888" s="6" t="n">
        <v>2.59</v>
      </c>
      <c r="C888" s="8">
        <f>B888/100/12</f>
        <v/>
      </c>
      <c r="D888" s="8">
        <f>D887*(1+C888)</f>
        <v/>
      </c>
    </row>
    <row r="889">
      <c r="A889" s="8" t="inlineStr">
        <is>
          <t>1930-08-01</t>
        </is>
      </c>
      <c r="B889" s="6" t="n">
        <v>2.44</v>
      </c>
      <c r="C889" s="8">
        <f>B889/100/12</f>
        <v/>
      </c>
      <c r="D889" s="8">
        <f>D888*(1+C889)</f>
        <v/>
      </c>
    </row>
    <row r="890">
      <c r="A890" s="8" t="inlineStr">
        <is>
          <t>1930-09-01</t>
        </is>
      </c>
      <c r="B890" s="6" t="n">
        <v>2.44</v>
      </c>
      <c r="C890" s="8">
        <f>B890/100/12</f>
        <v/>
      </c>
      <c r="D890" s="8">
        <f>D889*(1+C890)</f>
        <v/>
      </c>
    </row>
    <row r="891">
      <c r="A891" s="8" t="inlineStr">
        <is>
          <t>1930-10-01</t>
        </is>
      </c>
      <c r="B891" s="6" t="n">
        <v>2.44</v>
      </c>
      <c r="C891" s="8">
        <f>B891/100/12</f>
        <v/>
      </c>
      <c r="D891" s="8">
        <f>D890*(1+C891)</f>
        <v/>
      </c>
    </row>
    <row r="892">
      <c r="A892" s="8" t="inlineStr">
        <is>
          <t>1930-11-01</t>
        </is>
      </c>
      <c r="B892" s="6" t="n">
        <v>2.41</v>
      </c>
      <c r="C892" s="8">
        <f>B892/100/12</f>
        <v/>
      </c>
      <c r="D892" s="8">
        <f>D891*(1+C892)</f>
        <v/>
      </c>
    </row>
    <row r="893">
      <c r="A893" s="8" t="inlineStr">
        <is>
          <t>1930-12-01</t>
        </is>
      </c>
      <c r="B893" s="6" t="n">
        <v>2.29</v>
      </c>
      <c r="C893" s="8">
        <f>B893/100/12</f>
        <v/>
      </c>
      <c r="D893" s="8">
        <f>D892*(1+C893)</f>
        <v/>
      </c>
    </row>
    <row r="894">
      <c r="A894" s="8" t="inlineStr">
        <is>
          <t>1931-01-01</t>
        </is>
      </c>
      <c r="B894" s="6" t="n">
        <v>2.26</v>
      </c>
      <c r="C894" s="8">
        <f>B894/100/12</f>
        <v/>
      </c>
      <c r="D894" s="8">
        <f>D893*(1+C894)</f>
        <v/>
      </c>
    </row>
    <row r="895">
      <c r="A895" s="8" t="inlineStr">
        <is>
          <t>1931-02-01</t>
        </is>
      </c>
      <c r="B895" s="6" t="n">
        <v>1.94</v>
      </c>
      <c r="C895" s="8">
        <f>B895/100/12</f>
        <v/>
      </c>
      <c r="D895" s="8">
        <f>D894*(1+C895)</f>
        <v/>
      </c>
    </row>
    <row r="896">
      <c r="A896" s="8" t="inlineStr">
        <is>
          <t>1931-03-01</t>
        </is>
      </c>
      <c r="B896" s="6" t="n">
        <v>1.97</v>
      </c>
      <c r="C896" s="8">
        <f>B896/100/12</f>
        <v/>
      </c>
      <c r="D896" s="8">
        <f>D895*(1+C896)</f>
        <v/>
      </c>
    </row>
    <row r="897">
      <c r="A897" s="8" t="inlineStr">
        <is>
          <t>1931-04-01</t>
        </is>
      </c>
      <c r="B897" s="6" t="n">
        <v>1.84</v>
      </c>
      <c r="C897" s="8">
        <f>B897/100/12</f>
        <v/>
      </c>
      <c r="D897" s="8">
        <f>D896*(1+C897)</f>
        <v/>
      </c>
    </row>
    <row r="898">
      <c r="A898" s="8" t="inlineStr">
        <is>
          <t>1931-05-01</t>
        </is>
      </c>
      <c r="B898" s="6" t="n">
        <v>1.56</v>
      </c>
      <c r="C898" s="8">
        <f>B898/100/12</f>
        <v/>
      </c>
      <c r="D898" s="8">
        <f>D897*(1+C898)</f>
        <v/>
      </c>
    </row>
    <row r="899">
      <c r="A899" s="8" t="inlineStr">
        <is>
          <t>1931-06-01</t>
        </is>
      </c>
      <c r="B899" s="6" t="n">
        <v>1.56</v>
      </c>
      <c r="C899" s="8">
        <f>B899/100/12</f>
        <v/>
      </c>
      <c r="D899" s="8">
        <f>D898*(1+C899)</f>
        <v/>
      </c>
    </row>
    <row r="900">
      <c r="A900" s="8" t="inlineStr">
        <is>
          <t>1931-07-01</t>
        </is>
      </c>
      <c r="B900" s="6" t="n">
        <v>1.39</v>
      </c>
      <c r="C900" s="8">
        <f>B900/100/12</f>
        <v/>
      </c>
      <c r="D900" s="8">
        <f>D899*(1+C900)</f>
        <v/>
      </c>
    </row>
    <row r="901">
      <c r="A901" s="8" t="inlineStr">
        <is>
          <t>1931-08-01</t>
        </is>
      </c>
      <c r="B901" s="6" t="n">
        <v>1.32</v>
      </c>
      <c r="C901" s="8">
        <f>B901/100/12</f>
        <v/>
      </c>
      <c r="D901" s="8">
        <f>D900*(1+C901)</f>
        <v/>
      </c>
    </row>
    <row r="902">
      <c r="A902" s="8" t="inlineStr">
        <is>
          <t>1931-09-01</t>
        </is>
      </c>
      <c r="B902" s="6" t="n">
        <v>1.32</v>
      </c>
      <c r="C902" s="8">
        <f>B902/100/12</f>
        <v/>
      </c>
      <c r="D902" s="8">
        <f>D901*(1+C902)</f>
        <v/>
      </c>
    </row>
    <row r="903">
      <c r="A903" s="8" t="inlineStr">
        <is>
          <t>1931-10-01</t>
        </is>
      </c>
      <c r="B903" s="6" t="n">
        <v>2.79</v>
      </c>
      <c r="C903" s="8">
        <f>B903/100/12</f>
        <v/>
      </c>
      <c r="D903" s="8">
        <f>D902*(1+C903)</f>
        <v/>
      </c>
    </row>
    <row r="904">
      <c r="A904" s="8" t="inlineStr">
        <is>
          <t>1931-11-01</t>
        </is>
      </c>
      <c r="B904" s="6" t="n">
        <v>3.44</v>
      </c>
      <c r="C904" s="8">
        <f>B904/100/12</f>
        <v/>
      </c>
      <c r="D904" s="8">
        <f>D903*(1+C904)</f>
        <v/>
      </c>
    </row>
    <row r="905">
      <c r="A905" s="8" t="inlineStr">
        <is>
          <t>1931-12-01</t>
        </is>
      </c>
      <c r="B905" s="6" t="n">
        <v>3.44</v>
      </c>
      <c r="C905" s="8">
        <f>B905/100/12</f>
        <v/>
      </c>
      <c r="D905" s="8">
        <f>D904*(1+C905)</f>
        <v/>
      </c>
    </row>
    <row r="906">
      <c r="A906" s="8" t="inlineStr">
        <is>
          <t>1932-01-01</t>
        </is>
      </c>
      <c r="B906" s="6" t="n">
        <v>3.44</v>
      </c>
      <c r="C906" s="8">
        <f>B906/100/12</f>
        <v/>
      </c>
      <c r="D906" s="8">
        <f>D905*(1+C906)</f>
        <v/>
      </c>
    </row>
    <row r="907">
      <c r="A907" s="8" t="inlineStr">
        <is>
          <t>1932-02-01</t>
        </is>
      </c>
      <c r="B907" s="6" t="n">
        <v>3.32</v>
      </c>
      <c r="C907" s="8">
        <f>B907/100/12</f>
        <v/>
      </c>
      <c r="D907" s="8">
        <f>D906*(1+C907)</f>
        <v/>
      </c>
    </row>
    <row r="908">
      <c r="A908" s="8" t="inlineStr">
        <is>
          <t>1932-03-01</t>
        </is>
      </c>
      <c r="B908" s="6" t="n">
        <v>2.96</v>
      </c>
      <c r="C908" s="8">
        <f>B908/100/12</f>
        <v/>
      </c>
      <c r="D908" s="8">
        <f>D907*(1+C908)</f>
        <v/>
      </c>
    </row>
    <row r="909">
      <c r="A909" s="8" t="inlineStr">
        <is>
          <t>1932-04-01</t>
        </is>
      </c>
      <c r="B909" s="6" t="n">
        <v>2.82</v>
      </c>
      <c r="C909" s="8">
        <f>B909/100/12</f>
        <v/>
      </c>
      <c r="D909" s="8">
        <f>D908*(1+C909)</f>
        <v/>
      </c>
    </row>
    <row r="910">
      <c r="A910" s="8" t="inlineStr">
        <is>
          <t>1932-05-01</t>
        </is>
      </c>
      <c r="B910" s="6" t="n">
        <v>2.44</v>
      </c>
      <c r="C910" s="8">
        <f>B910/100/12</f>
        <v/>
      </c>
      <c r="D910" s="8">
        <f>D909*(1+C910)</f>
        <v/>
      </c>
    </row>
    <row r="911">
      <c r="A911" s="8" t="inlineStr">
        <is>
          <t>1932-06-01</t>
        </is>
      </c>
      <c r="B911" s="6" t="n">
        <v>2.22</v>
      </c>
      <c r="C911" s="8">
        <f>B911/100/12</f>
        <v/>
      </c>
      <c r="D911" s="8">
        <f>D910*(1+C911)</f>
        <v/>
      </c>
    </row>
    <row r="912">
      <c r="A912" s="8" t="inlineStr">
        <is>
          <t>1932-07-01</t>
        </is>
      </c>
      <c r="B912" s="6" t="n">
        <v>2</v>
      </c>
      <c r="C912" s="8">
        <f>B912/100/12</f>
        <v/>
      </c>
      <c r="D912" s="8">
        <f>D911*(1+C912)</f>
        <v/>
      </c>
    </row>
    <row r="913">
      <c r="A913" s="8" t="inlineStr">
        <is>
          <t>1932-08-01</t>
        </is>
      </c>
      <c r="B913" s="6" t="n">
        <v>1.62</v>
      </c>
      <c r="C913" s="8">
        <f>B913/100/12</f>
        <v/>
      </c>
      <c r="D913" s="8">
        <f>D912*(1+C913)</f>
        <v/>
      </c>
    </row>
    <row r="914">
      <c r="A914" s="8" t="inlineStr">
        <is>
          <t>1932-09-01</t>
        </is>
      </c>
      <c r="B914" s="6" t="n">
        <v>1.56</v>
      </c>
      <c r="C914" s="8">
        <f>B914/100/12</f>
        <v/>
      </c>
      <c r="D914" s="8">
        <f>D913*(1+C914)</f>
        <v/>
      </c>
    </row>
    <row r="915">
      <c r="A915" s="8" t="inlineStr">
        <is>
          <t>1932-10-01</t>
        </is>
      </c>
      <c r="B915" s="6" t="n">
        <v>1.38</v>
      </c>
      <c r="C915" s="8">
        <f>B915/100/12</f>
        <v/>
      </c>
      <c r="D915" s="8">
        <f>D914*(1+C915)</f>
        <v/>
      </c>
    </row>
    <row r="916">
      <c r="A916" s="8" t="inlineStr">
        <is>
          <t>1932-11-01</t>
        </is>
      </c>
      <c r="B916" s="6" t="n">
        <v>1.18</v>
      </c>
      <c r="C916" s="8">
        <f>B916/100/12</f>
        <v/>
      </c>
      <c r="D916" s="8">
        <f>D915*(1+C916)</f>
        <v/>
      </c>
    </row>
    <row r="917">
      <c r="A917" s="8" t="inlineStr">
        <is>
          <t>1932-12-01</t>
        </is>
      </c>
      <c r="B917" s="6" t="n">
        <v>0.95</v>
      </c>
      <c r="C917" s="8">
        <f>B917/100/12</f>
        <v/>
      </c>
      <c r="D917" s="8">
        <f>D916*(1+C917)</f>
        <v/>
      </c>
    </row>
    <row r="918">
      <c r="A918" s="8" t="inlineStr">
        <is>
          <t>1933-01-01</t>
        </is>
      </c>
      <c r="B918" s="6" t="n">
        <v>0.82</v>
      </c>
      <c r="C918" s="8">
        <f>B918/100/12</f>
        <v/>
      </c>
      <c r="D918" s="8">
        <f>D917*(1+C918)</f>
        <v/>
      </c>
    </row>
    <row r="919">
      <c r="A919" s="8" t="inlineStr">
        <is>
          <t>1933-02-01</t>
        </is>
      </c>
      <c r="B919" s="6" t="n">
        <v>0.82</v>
      </c>
      <c r="C919" s="8">
        <f>B919/100/12</f>
        <v/>
      </c>
      <c r="D919" s="8">
        <f>D918*(1+C919)</f>
        <v/>
      </c>
    </row>
    <row r="920">
      <c r="A920" s="8" t="inlineStr">
        <is>
          <t>1933-03-01</t>
        </is>
      </c>
      <c r="B920" s="6" t="n">
        <v>2.22</v>
      </c>
      <c r="C920" s="8">
        <f>B920/100/12</f>
        <v/>
      </c>
      <c r="D920" s="8">
        <f>D919*(1+C920)</f>
        <v/>
      </c>
    </row>
    <row r="921">
      <c r="A921" s="8" t="inlineStr">
        <is>
          <t>1933-04-01</t>
        </is>
      </c>
      <c r="B921" s="6" t="n">
        <v>2</v>
      </c>
      <c r="C921" s="8">
        <f>B921/100/12</f>
        <v/>
      </c>
      <c r="D921" s="8">
        <f>D920*(1+C921)</f>
        <v/>
      </c>
    </row>
    <row r="922">
      <c r="A922" s="8" t="inlineStr">
        <is>
          <t>1933-05-01</t>
        </is>
      </c>
      <c r="B922" s="6" t="n">
        <v>1.52</v>
      </c>
      <c r="C922" s="8">
        <f>B922/100/12</f>
        <v/>
      </c>
      <c r="D922" s="8">
        <f>D921*(1+C922)</f>
        <v/>
      </c>
    </row>
    <row r="923">
      <c r="A923" s="8" t="inlineStr">
        <is>
          <t>1933-06-01</t>
        </is>
      </c>
      <c r="B923" s="6" t="n">
        <v>1.13</v>
      </c>
      <c r="C923" s="8">
        <f>B923/100/12</f>
        <v/>
      </c>
      <c r="D923" s="8">
        <f>D922*(1+C923)</f>
        <v/>
      </c>
    </row>
    <row r="924">
      <c r="A924" s="8" t="inlineStr">
        <is>
          <t>1933-07-01</t>
        </is>
      </c>
      <c r="B924" s="6" t="n">
        <v>0.9399999999999999</v>
      </c>
      <c r="C924" s="8">
        <f>B924/100/12</f>
        <v/>
      </c>
      <c r="D924" s="8">
        <f>D923*(1+C924)</f>
        <v/>
      </c>
    </row>
    <row r="925">
      <c r="A925" s="8" t="inlineStr">
        <is>
          <t>1933-08-01</t>
        </is>
      </c>
      <c r="B925" s="6" t="n">
        <v>0.9399999999999999</v>
      </c>
      <c r="C925" s="8">
        <f>B925/100/12</f>
        <v/>
      </c>
      <c r="D925" s="8">
        <f>D924*(1+C925)</f>
        <v/>
      </c>
    </row>
    <row r="926">
      <c r="A926" s="8" t="inlineStr">
        <is>
          <t>1933-09-01</t>
        </is>
      </c>
      <c r="B926" s="6" t="n">
        <v>0.6899999999999999</v>
      </c>
      <c r="C926" s="8">
        <f>B926/100/12</f>
        <v/>
      </c>
      <c r="D926" s="8">
        <f>D925*(1+C926)</f>
        <v/>
      </c>
    </row>
    <row r="927">
      <c r="A927" s="8" t="inlineStr">
        <is>
          <t>1933-10-01</t>
        </is>
      </c>
      <c r="B927" s="6" t="n">
        <v>0.6899999999999999</v>
      </c>
      <c r="C927" s="8">
        <f>B927/100/12</f>
        <v/>
      </c>
      <c r="D927" s="8">
        <f>D926*(1+C927)</f>
        <v/>
      </c>
    </row>
    <row r="928">
      <c r="A928" s="8" t="inlineStr">
        <is>
          <t>1933-11-01</t>
        </is>
      </c>
      <c r="B928" s="6" t="n">
        <v>0.6899999999999999</v>
      </c>
      <c r="C928" s="8">
        <f>B928/100/12</f>
        <v/>
      </c>
      <c r="D928" s="8">
        <f>D927*(1+C928)</f>
        <v/>
      </c>
    </row>
    <row r="929">
      <c r="A929" s="8" t="inlineStr">
        <is>
          <t>1933-12-01</t>
        </is>
      </c>
      <c r="B929" s="6" t="n">
        <v>0.85</v>
      </c>
      <c r="C929" s="8">
        <f>B929/100/12</f>
        <v/>
      </c>
      <c r="D929" s="8">
        <f>D928*(1+C929)</f>
        <v/>
      </c>
    </row>
    <row r="930">
      <c r="A930" s="8" t="inlineStr">
        <is>
          <t>1934-01-01</t>
        </is>
      </c>
      <c r="B930" s="6" t="n">
        <v>0.72</v>
      </c>
      <c r="C930" s="8">
        <f>B930/100/12</f>
        <v/>
      </c>
      <c r="D930" s="8">
        <f>D929*(1+C930)</f>
        <v/>
      </c>
    </row>
    <row r="931">
      <c r="A931" s="8" t="inlineStr">
        <is>
          <t>1934-02-01</t>
        </is>
      </c>
      <c r="B931" s="6" t="n">
        <v>0.62</v>
      </c>
      <c r="C931" s="8">
        <f>B931/100/12</f>
        <v/>
      </c>
      <c r="D931" s="8">
        <f>D930*(1+C931)</f>
        <v/>
      </c>
    </row>
    <row r="932">
      <c r="A932" s="8" t="inlineStr">
        <is>
          <t>1934-03-01</t>
        </is>
      </c>
      <c r="B932" s="6" t="n">
        <v>0.24</v>
      </c>
      <c r="C932" s="8">
        <f>B932/100/12</f>
        <v/>
      </c>
      <c r="D932" s="8">
        <f>D931*(1+C932)</f>
        <v/>
      </c>
    </row>
    <row r="933">
      <c r="A933" s="8" t="inlineStr">
        <is>
          <t>1934-04-01</t>
        </is>
      </c>
      <c r="B933" s="6" t="n">
        <v>0.15</v>
      </c>
      <c r="C933" s="8">
        <f>B933/100/12</f>
        <v/>
      </c>
      <c r="D933" s="8">
        <f>D932*(1+C933)</f>
        <v/>
      </c>
    </row>
    <row r="934">
      <c r="A934" s="8" t="inlineStr">
        <is>
          <t>1934-05-01</t>
        </is>
      </c>
      <c r="B934" s="6" t="n">
        <v>0.16</v>
      </c>
      <c r="C934" s="8">
        <f>B934/100/12</f>
        <v/>
      </c>
      <c r="D934" s="8">
        <f>D933*(1+C934)</f>
        <v/>
      </c>
    </row>
    <row r="935">
      <c r="A935" s="8" t="inlineStr">
        <is>
          <t>1934-06-01</t>
        </is>
      </c>
      <c r="B935" s="6" t="n">
        <v>0.15</v>
      </c>
      <c r="C935" s="8">
        <f>B935/100/12</f>
        <v/>
      </c>
      <c r="D935" s="8">
        <f>D934*(1+C935)</f>
        <v/>
      </c>
    </row>
    <row r="936">
      <c r="A936" s="8" t="inlineStr">
        <is>
          <t>1934-07-01</t>
        </is>
      </c>
      <c r="B936" s="6" t="n">
        <v>0.15</v>
      </c>
      <c r="C936" s="8">
        <f>B936/100/12</f>
        <v/>
      </c>
      <c r="D936" s="8">
        <f>D935*(1+C936)</f>
        <v/>
      </c>
    </row>
    <row r="937">
      <c r="A937" s="8" t="inlineStr">
        <is>
          <t>1934-08-01</t>
        </is>
      </c>
      <c r="B937" s="6" t="n">
        <v>0.19</v>
      </c>
      <c r="C937" s="8">
        <f>B937/100/12</f>
        <v/>
      </c>
      <c r="D937" s="8">
        <f>D936*(1+C937)</f>
        <v/>
      </c>
    </row>
    <row r="938">
      <c r="A938" s="8" t="inlineStr">
        <is>
          <t>1934-09-01</t>
        </is>
      </c>
      <c r="B938" s="6" t="n">
        <v>0.21</v>
      </c>
      <c r="C938" s="8">
        <f>B938/100/12</f>
        <v/>
      </c>
      <c r="D938" s="8">
        <f>D937*(1+C938)</f>
        <v/>
      </c>
    </row>
    <row r="939">
      <c r="A939" s="8" t="inlineStr">
        <is>
          <t>1934-10-01</t>
        </is>
      </c>
      <c r="B939" s="6" t="n">
        <v>0.27</v>
      </c>
      <c r="C939" s="8">
        <f>B939/100/12</f>
        <v/>
      </c>
      <c r="D939" s="8">
        <f>D938*(1+C939)</f>
        <v/>
      </c>
    </row>
    <row r="940">
      <c r="A940" s="8" t="inlineStr">
        <is>
          <t>1934-11-01</t>
        </is>
      </c>
      <c r="B940" s="6" t="n">
        <v>0.25</v>
      </c>
      <c r="C940" s="8">
        <f>B940/100/12</f>
        <v/>
      </c>
      <c r="D940" s="8">
        <f>D939*(1+C940)</f>
        <v/>
      </c>
    </row>
    <row r="941">
      <c r="A941" s="8" t="inlineStr">
        <is>
          <t>1934-12-01</t>
        </is>
      </c>
      <c r="B941" s="6" t="n">
        <v>0.23</v>
      </c>
      <c r="C941" s="8">
        <f>B941/100/12</f>
        <v/>
      </c>
      <c r="D941" s="8">
        <f>D940*(1+C941)</f>
        <v/>
      </c>
    </row>
    <row r="942">
      <c r="A942" s="8" t="inlineStr">
        <is>
          <t>1935-01-01</t>
        </is>
      </c>
      <c r="B942" s="6" t="n">
        <v>0.2</v>
      </c>
      <c r="C942" s="8">
        <f>B942/100/12</f>
        <v/>
      </c>
      <c r="D942" s="8">
        <f>D941*(1+C942)</f>
        <v/>
      </c>
    </row>
    <row r="943">
      <c r="A943" s="8" t="inlineStr">
        <is>
          <t>1935-02-01</t>
        </is>
      </c>
      <c r="B943" s="6" t="n">
        <v>0.19</v>
      </c>
      <c r="C943" s="8">
        <f>B943/100/12</f>
        <v/>
      </c>
      <c r="D943" s="8">
        <f>D942*(1+C943)</f>
        <v/>
      </c>
    </row>
    <row r="944">
      <c r="A944" s="8" t="inlineStr">
        <is>
          <t>1935-03-01</t>
        </is>
      </c>
      <c r="B944" s="6" t="n">
        <v>0.15</v>
      </c>
      <c r="C944" s="8">
        <f>B944/100/12</f>
        <v/>
      </c>
      <c r="D944" s="8">
        <f>D943*(1+C944)</f>
        <v/>
      </c>
    </row>
    <row r="945">
      <c r="A945" s="8" t="inlineStr">
        <is>
          <t>1935-04-01</t>
        </is>
      </c>
      <c r="B945" s="6" t="n">
        <v>0.15</v>
      </c>
      <c r="C945" s="8">
        <f>B945/100/12</f>
        <v/>
      </c>
      <c r="D945" s="8">
        <f>D944*(1+C945)</f>
        <v/>
      </c>
    </row>
    <row r="946">
      <c r="A946" s="8" t="inlineStr">
        <is>
          <t>1935-05-01</t>
        </is>
      </c>
      <c r="B946" s="6" t="n">
        <v>0.15</v>
      </c>
      <c r="C946" s="8">
        <f>B946/100/12</f>
        <v/>
      </c>
      <c r="D946" s="8">
        <f>D945*(1+C946)</f>
        <v/>
      </c>
    </row>
    <row r="947">
      <c r="A947" s="8" t="inlineStr">
        <is>
          <t>1935-06-01</t>
        </is>
      </c>
      <c r="B947" s="6" t="n">
        <v>0.15</v>
      </c>
      <c r="C947" s="8">
        <f>B947/100/12</f>
        <v/>
      </c>
      <c r="D947" s="8">
        <f>D946*(1+C947)</f>
        <v/>
      </c>
    </row>
    <row r="948">
      <c r="A948" s="8" t="inlineStr">
        <is>
          <t>1935-07-01</t>
        </is>
      </c>
      <c r="B948" s="6" t="n">
        <v>0.15</v>
      </c>
      <c r="C948" s="8">
        <f>B948/100/12</f>
        <v/>
      </c>
      <c r="D948" s="8">
        <f>D947*(1+C948)</f>
        <v/>
      </c>
    </row>
    <row r="949">
      <c r="A949" s="8" t="inlineStr">
        <is>
          <t>1935-08-01</t>
        </is>
      </c>
      <c r="B949" s="6" t="n">
        <v>0.16</v>
      </c>
      <c r="C949" s="8">
        <f>B949/100/12</f>
        <v/>
      </c>
      <c r="D949" s="8">
        <f>D948*(1+C949)</f>
        <v/>
      </c>
    </row>
    <row r="950">
      <c r="A950" s="8" t="inlineStr">
        <is>
          <t>1935-09-01</t>
        </is>
      </c>
      <c r="B950" s="6" t="n">
        <v>0.2</v>
      </c>
      <c r="C950" s="8">
        <f>B950/100/12</f>
        <v/>
      </c>
      <c r="D950" s="8">
        <f>D949*(1+C950)</f>
        <v/>
      </c>
    </row>
    <row r="951">
      <c r="A951" s="8" t="inlineStr">
        <is>
          <t>1935-10-01</t>
        </is>
      </c>
      <c r="B951" s="6" t="n">
        <v>0.2</v>
      </c>
      <c r="C951" s="8">
        <f>B951/100/12</f>
        <v/>
      </c>
      <c r="D951" s="8">
        <f>D950*(1+C951)</f>
        <v/>
      </c>
    </row>
    <row r="952">
      <c r="A952" s="8" t="inlineStr">
        <is>
          <t>1935-11-01</t>
        </is>
      </c>
      <c r="B952" s="6" t="n">
        <v>0.16</v>
      </c>
      <c r="C952" s="8">
        <f>B952/100/12</f>
        <v/>
      </c>
      <c r="D952" s="8">
        <f>D951*(1+C952)</f>
        <v/>
      </c>
    </row>
    <row r="953">
      <c r="A953" s="8" t="inlineStr">
        <is>
          <t>1935-12-01</t>
        </is>
      </c>
      <c r="B953" s="6" t="n">
        <v>0.15</v>
      </c>
      <c r="C953" s="8">
        <f>B953/100/12</f>
        <v/>
      </c>
      <c r="D953" s="8">
        <f>D952*(1+C953)</f>
        <v/>
      </c>
    </row>
    <row r="954">
      <c r="A954" s="8" t="inlineStr">
        <is>
          <t>1936-01-01</t>
        </is>
      </c>
      <c r="B954" s="6" t="n">
        <v>0.2</v>
      </c>
      <c r="C954" s="8">
        <f>B954/100/12</f>
        <v/>
      </c>
      <c r="D954" s="8">
        <f>D953*(1+C954)</f>
        <v/>
      </c>
    </row>
    <row r="955">
      <c r="A955" s="8" t="inlineStr">
        <is>
          <t>1936-02-01</t>
        </is>
      </c>
      <c r="B955" s="6" t="n">
        <v>0.2</v>
      </c>
      <c r="C955" s="8">
        <f>B955/100/12</f>
        <v/>
      </c>
      <c r="D955" s="8">
        <f>D954*(1+C955)</f>
        <v/>
      </c>
    </row>
    <row r="956">
      <c r="A956" s="8" t="inlineStr">
        <is>
          <t>1936-03-01</t>
        </is>
      </c>
      <c r="B956" s="6" t="n">
        <v>0.2</v>
      </c>
      <c r="C956" s="8">
        <f>B956/100/12</f>
        <v/>
      </c>
      <c r="D956" s="8">
        <f>D955*(1+C956)</f>
        <v/>
      </c>
    </row>
    <row r="957">
      <c r="A957" s="8" t="inlineStr">
        <is>
          <t>1936-04-01</t>
        </is>
      </c>
      <c r="B957" s="6" t="n">
        <v>0.2</v>
      </c>
      <c r="C957" s="8">
        <f>B957/100/12</f>
        <v/>
      </c>
      <c r="D957" s="8">
        <f>D956*(1+C957)</f>
        <v/>
      </c>
    </row>
    <row r="958">
      <c r="A958" s="8" t="inlineStr">
        <is>
          <t>1936-05-01</t>
        </is>
      </c>
      <c r="B958" s="6" t="n">
        <v>0.2</v>
      </c>
      <c r="C958" s="8">
        <f>B958/100/12</f>
        <v/>
      </c>
      <c r="D958" s="8">
        <f>D957*(1+C958)</f>
        <v/>
      </c>
    </row>
    <row r="959">
      <c r="A959" s="8" t="inlineStr">
        <is>
          <t>1936-06-01</t>
        </is>
      </c>
      <c r="B959" s="6" t="n">
        <v>0.2</v>
      </c>
      <c r="C959" s="8">
        <f>B959/100/12</f>
        <v/>
      </c>
      <c r="D959" s="8">
        <f>D958*(1+C959)</f>
        <v/>
      </c>
    </row>
    <row r="960">
      <c r="A960" s="8" t="inlineStr">
        <is>
          <t>1936-07-01</t>
        </is>
      </c>
      <c r="B960" s="6" t="n">
        <v>0.15</v>
      </c>
      <c r="C960" s="8">
        <f>B960/100/12</f>
        <v/>
      </c>
      <c r="D960" s="8">
        <f>D959*(1+C960)</f>
        <v/>
      </c>
    </row>
    <row r="961">
      <c r="A961" s="8" t="inlineStr">
        <is>
          <t>1936-08-01</t>
        </is>
      </c>
      <c r="B961" s="6" t="n">
        <v>0.2</v>
      </c>
      <c r="C961" s="8">
        <f>B961/100/12</f>
        <v/>
      </c>
      <c r="D961" s="8">
        <f>D960*(1+C961)</f>
        <v/>
      </c>
    </row>
    <row r="962">
      <c r="A962" s="8" t="inlineStr">
        <is>
          <t>1936-09-01</t>
        </is>
      </c>
      <c r="B962" s="6" t="n">
        <v>0.16</v>
      </c>
      <c r="C962" s="8">
        <f>B962/100/12</f>
        <v/>
      </c>
      <c r="D962" s="8">
        <f>D961*(1+C962)</f>
        <v/>
      </c>
    </row>
    <row r="963">
      <c r="A963" s="8" t="inlineStr">
        <is>
          <t>1936-10-01</t>
        </is>
      </c>
      <c r="B963" s="6" t="n">
        <v>0.13</v>
      </c>
      <c r="C963" s="8">
        <f>B963/100/12</f>
        <v/>
      </c>
      <c r="D963" s="8">
        <f>D962*(1+C963)</f>
        <v/>
      </c>
    </row>
    <row r="964">
      <c r="A964" s="8" t="inlineStr">
        <is>
          <t>1936-11-01</t>
        </is>
      </c>
      <c r="B964" s="6" t="n">
        <v>0.11</v>
      </c>
      <c r="C964" s="8">
        <f>B964/100/12</f>
        <v/>
      </c>
      <c r="D964" s="8">
        <f>D963*(1+C964)</f>
        <v/>
      </c>
    </row>
    <row r="965">
      <c r="A965" s="8" t="inlineStr">
        <is>
          <t>1936-12-01</t>
        </is>
      </c>
      <c r="B965" s="6" t="n">
        <v>0.12</v>
      </c>
      <c r="C965" s="8">
        <f>B965/100/12</f>
        <v/>
      </c>
      <c r="D965" s="8">
        <f>D964*(1+C965)</f>
        <v/>
      </c>
    </row>
    <row r="966">
      <c r="A966" s="8" t="inlineStr">
        <is>
          <t>1937-01-01</t>
        </is>
      </c>
      <c r="B966" s="6" t="n">
        <v>0.17</v>
      </c>
      <c r="C966" s="8">
        <f>B966/100/12</f>
        <v/>
      </c>
      <c r="D966" s="8">
        <f>D965*(1+C966)</f>
        <v/>
      </c>
    </row>
    <row r="967">
      <c r="A967" s="8" t="inlineStr">
        <is>
          <t>1937-02-01</t>
        </is>
      </c>
      <c r="B967" s="6" t="n">
        <v>0.15</v>
      </c>
      <c r="C967" s="8">
        <f>B967/100/12</f>
        <v/>
      </c>
      <c r="D967" s="8">
        <f>D966*(1+C967)</f>
        <v/>
      </c>
    </row>
    <row r="968">
      <c r="A968" s="8" t="inlineStr">
        <is>
          <t>1937-03-01</t>
        </is>
      </c>
      <c r="B968" s="6" t="n">
        <v>0.38</v>
      </c>
      <c r="C968" s="8">
        <f>B968/100/12</f>
        <v/>
      </c>
      <c r="D968" s="8">
        <f>D967*(1+C968)</f>
        <v/>
      </c>
    </row>
    <row r="969">
      <c r="A969" s="8" t="inlineStr">
        <is>
          <t>1937-04-01</t>
        </is>
      </c>
      <c r="B969" s="6" t="n">
        <v>0.5600000000000001</v>
      </c>
      <c r="C969" s="8">
        <f>B969/100/12</f>
        <v/>
      </c>
      <c r="D969" s="8">
        <f>D968*(1+C969)</f>
        <v/>
      </c>
    </row>
    <row r="970">
      <c r="A970" s="8" t="inlineStr">
        <is>
          <t>1937-05-01</t>
        </is>
      </c>
      <c r="B970" s="6" t="n">
        <v>0.41</v>
      </c>
      <c r="C970" s="8">
        <f>B970/100/12</f>
        <v/>
      </c>
      <c r="D970" s="8">
        <f>D969*(1+C970)</f>
        <v/>
      </c>
    </row>
    <row r="971">
      <c r="A971" s="8" t="inlineStr">
        <is>
          <t>1937-06-01</t>
        </is>
      </c>
      <c r="B971" s="6" t="n">
        <v>0.36</v>
      </c>
      <c r="C971" s="8">
        <f>B971/100/12</f>
        <v/>
      </c>
      <c r="D971" s="8">
        <f>D970*(1+C971)</f>
        <v/>
      </c>
    </row>
    <row r="972">
      <c r="A972" s="8" t="inlineStr">
        <is>
          <t>1937-07-01</t>
        </is>
      </c>
      <c r="B972" s="6" t="n">
        <v>0.28</v>
      </c>
      <c r="C972" s="8">
        <f>B972/100/12</f>
        <v/>
      </c>
      <c r="D972" s="8">
        <f>D971*(1+C972)</f>
        <v/>
      </c>
    </row>
    <row r="973">
      <c r="A973" s="8" t="inlineStr">
        <is>
          <t>1937-08-01</t>
        </is>
      </c>
      <c r="B973" s="6" t="n">
        <v>0.29</v>
      </c>
      <c r="C973" s="8">
        <f>B973/100/12</f>
        <v/>
      </c>
      <c r="D973" s="8">
        <f>D972*(1+C973)</f>
        <v/>
      </c>
    </row>
    <row r="974">
      <c r="A974" s="8" t="inlineStr">
        <is>
          <t>1937-09-01</t>
        </is>
      </c>
      <c r="B974" s="6" t="n">
        <v>0.31</v>
      </c>
      <c r="C974" s="8">
        <f>B974/100/12</f>
        <v/>
      </c>
      <c r="D974" s="8">
        <f>D973*(1+C974)</f>
        <v/>
      </c>
    </row>
    <row r="975">
      <c r="A975" s="8" t="inlineStr">
        <is>
          <t>1937-10-01</t>
        </is>
      </c>
      <c r="B975" s="6" t="n">
        <v>0.2</v>
      </c>
      <c r="C975" s="8">
        <f>B975/100/12</f>
        <v/>
      </c>
      <c r="D975" s="8">
        <f>D974*(1+C975)</f>
        <v/>
      </c>
    </row>
    <row r="976">
      <c r="A976" s="8" t="inlineStr">
        <is>
          <t>1937-11-01</t>
        </is>
      </c>
      <c r="B976" s="6" t="n">
        <v>0.09</v>
      </c>
      <c r="C976" s="8">
        <f>B976/100/12</f>
        <v/>
      </c>
      <c r="D976" s="8">
        <f>D975*(1+C976)</f>
        <v/>
      </c>
    </row>
    <row r="977">
      <c r="A977" s="8" t="inlineStr">
        <is>
          <t>1937-12-01</t>
        </is>
      </c>
      <c r="B977" s="6" t="n">
        <v>0.11</v>
      </c>
      <c r="C977" s="8">
        <f>B977/100/12</f>
        <v/>
      </c>
      <c r="D977" s="8">
        <f>D976*(1+C977)</f>
        <v/>
      </c>
    </row>
    <row r="978">
      <c r="A978" s="8" t="inlineStr">
        <is>
          <t>1938-01-01</t>
        </is>
      </c>
      <c r="B978" s="6" t="n">
        <v>0.1</v>
      </c>
      <c r="C978" s="8">
        <f>B978/100/12</f>
        <v/>
      </c>
      <c r="D978" s="8">
        <f>D977*(1+C978)</f>
        <v/>
      </c>
    </row>
    <row r="979">
      <c r="A979" s="8" t="inlineStr">
        <is>
          <t>1938-02-01</t>
        </is>
      </c>
      <c r="B979" s="6" t="n">
        <v>0.08</v>
      </c>
      <c r="C979" s="8">
        <f>B979/100/12</f>
        <v/>
      </c>
      <c r="D979" s="8">
        <f>D978*(1+C979)</f>
        <v/>
      </c>
    </row>
    <row r="980">
      <c r="A980" s="8" t="inlineStr">
        <is>
          <t>1938-03-01</t>
        </is>
      </c>
      <c r="B980" s="6" t="n">
        <v>0.08</v>
      </c>
      <c r="C980" s="8">
        <f>B980/100/12</f>
        <v/>
      </c>
      <c r="D980" s="8">
        <f>D979*(1+C980)</f>
        <v/>
      </c>
    </row>
    <row r="981">
      <c r="A981" s="8" t="inlineStr">
        <is>
          <t>1938-04-01</t>
        </is>
      </c>
      <c r="B981" s="6" t="n">
        <v>0.09</v>
      </c>
      <c r="C981" s="8">
        <f>B981/100/12</f>
        <v/>
      </c>
      <c r="D981" s="8">
        <f>D980*(1+C981)</f>
        <v/>
      </c>
    </row>
    <row r="982">
      <c r="A982" s="8" t="inlineStr">
        <is>
          <t>1938-05-01</t>
        </is>
      </c>
      <c r="B982" s="6" t="n">
        <v>0.05</v>
      </c>
      <c r="C982" s="8">
        <f>B982/100/12</f>
        <v/>
      </c>
      <c r="D982" s="8">
        <f>D981*(1+C982)</f>
        <v/>
      </c>
    </row>
    <row r="983">
      <c r="A983" s="8" t="inlineStr">
        <is>
          <t>1938-06-01</t>
        </is>
      </c>
      <c r="B983" s="6" t="n">
        <v>0.05</v>
      </c>
      <c r="C983" s="8">
        <f>B983/100/12</f>
        <v/>
      </c>
      <c r="D983" s="8">
        <f>D982*(1+C983)</f>
        <v/>
      </c>
    </row>
    <row r="984">
      <c r="A984" s="8" t="inlineStr">
        <is>
          <t>1938-07-01</t>
        </is>
      </c>
      <c r="B984" s="6" t="n">
        <v>0.07000000000000001</v>
      </c>
      <c r="C984" s="8">
        <f>B984/100/12</f>
        <v/>
      </c>
      <c r="D984" s="8">
        <f>D983*(1+C984)</f>
        <v/>
      </c>
    </row>
    <row r="985">
      <c r="A985" s="8" t="inlineStr">
        <is>
          <t>1938-08-01</t>
        </is>
      </c>
      <c r="B985" s="6" t="n">
        <v>0.06</v>
      </c>
      <c r="C985" s="8">
        <f>B985/100/12</f>
        <v/>
      </c>
      <c r="D985" s="8">
        <f>D984*(1+C985)</f>
        <v/>
      </c>
    </row>
    <row r="986">
      <c r="A986" s="8" t="inlineStr">
        <is>
          <t>1938-09-01</t>
        </is>
      </c>
      <c r="B986" s="6" t="n">
        <v>0.08</v>
      </c>
      <c r="C986" s="8">
        <f>B986/100/12</f>
        <v/>
      </c>
      <c r="D986" s="8">
        <f>D985*(1+C986)</f>
        <v/>
      </c>
    </row>
    <row r="987">
      <c r="A987" s="8" t="inlineStr">
        <is>
          <t>1938-10-01</t>
        </is>
      </c>
      <c r="B987" s="6" t="n">
        <v>0.05</v>
      </c>
      <c r="C987" s="8">
        <f>B987/100/12</f>
        <v/>
      </c>
      <c r="D987" s="8">
        <f>D986*(1+C987)</f>
        <v/>
      </c>
    </row>
    <row r="988">
      <c r="A988" s="8" t="inlineStr">
        <is>
          <t>1938-11-01</t>
        </is>
      </c>
      <c r="B988" s="6" t="n">
        <v>0.04</v>
      </c>
      <c r="C988" s="8">
        <f>B988/100/12</f>
        <v/>
      </c>
      <c r="D988" s="8">
        <f>D987*(1+C988)</f>
        <v/>
      </c>
    </row>
    <row r="989">
      <c r="A989" s="8" t="inlineStr">
        <is>
          <t>1938-12-01</t>
        </is>
      </c>
      <c r="B989" s="6" t="n">
        <v>0.03</v>
      </c>
      <c r="C989" s="8">
        <f>B989/100/12</f>
        <v/>
      </c>
      <c r="D989" s="8">
        <f>D988*(1+C989)</f>
        <v/>
      </c>
    </row>
    <row r="990">
      <c r="A990" s="8" t="inlineStr">
        <is>
          <t>1939-01-01</t>
        </is>
      </c>
      <c r="B990" s="6" t="n">
        <v>0.03</v>
      </c>
      <c r="C990" s="8">
        <f>B990/100/12</f>
        <v/>
      </c>
      <c r="D990" s="8">
        <f>D989*(1+C990)</f>
        <v/>
      </c>
    </row>
    <row r="991">
      <c r="A991" s="8" t="inlineStr">
        <is>
          <t>1939-02-01</t>
        </is>
      </c>
      <c r="B991" s="6" t="n">
        <v>0.03</v>
      </c>
      <c r="C991" s="8">
        <f>B991/100/12</f>
        <v/>
      </c>
      <c r="D991" s="8">
        <f>D990*(1+C991)</f>
        <v/>
      </c>
    </row>
    <row r="992">
      <c r="A992" s="8" t="inlineStr">
        <is>
          <t>1939-03-01</t>
        </is>
      </c>
      <c r="B992" s="6" t="n">
        <v>0.03</v>
      </c>
      <c r="C992" s="8">
        <f>B992/100/12</f>
        <v/>
      </c>
      <c r="D992" s="8">
        <f>D991*(1+C992)</f>
        <v/>
      </c>
    </row>
    <row r="993">
      <c r="A993" s="8" t="inlineStr">
        <is>
          <t>1939-04-01</t>
        </is>
      </c>
      <c r="B993" s="6" t="n">
        <v>0.03</v>
      </c>
      <c r="C993" s="8">
        <f>B993/100/12</f>
        <v/>
      </c>
      <c r="D993" s="8">
        <f>D992*(1+C993)</f>
        <v/>
      </c>
    </row>
    <row r="994">
      <c r="A994" s="8" t="inlineStr">
        <is>
          <t>1939-05-01</t>
        </is>
      </c>
      <c r="B994" s="6" t="n">
        <v>0.03</v>
      </c>
      <c r="C994" s="8">
        <f>B994/100/12</f>
        <v/>
      </c>
      <c r="D994" s="8">
        <f>D993*(1+C994)</f>
        <v/>
      </c>
    </row>
    <row r="995">
      <c r="A995" s="8" t="inlineStr">
        <is>
          <t>1939-06-01</t>
        </is>
      </c>
      <c r="B995" s="6" t="n">
        <v>0.03</v>
      </c>
      <c r="C995" s="8">
        <f>B995/100/12</f>
        <v/>
      </c>
      <c r="D995" s="8">
        <f>D994*(1+C995)</f>
        <v/>
      </c>
    </row>
    <row r="996">
      <c r="A996" s="8" t="inlineStr">
        <is>
          <t>1939-07-01</t>
        </is>
      </c>
      <c r="B996" s="6" t="n">
        <v>0.04</v>
      </c>
      <c r="C996" s="8">
        <f>B996/100/12</f>
        <v/>
      </c>
      <c r="D996" s="8">
        <f>D995*(1+C996)</f>
        <v/>
      </c>
    </row>
    <row r="997">
      <c r="A997" s="8" t="inlineStr">
        <is>
          <t>1939-08-01</t>
        </is>
      </c>
      <c r="B997" s="6" t="n">
        <v>0.05</v>
      </c>
      <c r="C997" s="8">
        <f>B997/100/12</f>
        <v/>
      </c>
      <c r="D997" s="8">
        <f>D996*(1+C997)</f>
        <v/>
      </c>
    </row>
    <row r="998">
      <c r="A998" s="8" t="inlineStr">
        <is>
          <t>1939-09-01</t>
        </is>
      </c>
      <c r="B998" s="6" t="n">
        <v>0.14</v>
      </c>
      <c r="C998" s="8">
        <f>B998/100/12</f>
        <v/>
      </c>
      <c r="D998" s="8">
        <f>D997*(1+C998)</f>
        <v/>
      </c>
    </row>
    <row r="999">
      <c r="A999" s="8" t="inlineStr">
        <is>
          <t>1939-10-01</t>
        </is>
      </c>
      <c r="B999" s="6" t="n">
        <v>0.05</v>
      </c>
      <c r="C999" s="8">
        <f>B999/100/12</f>
        <v/>
      </c>
      <c r="D999" s="8">
        <f>D998*(1+C999)</f>
        <v/>
      </c>
    </row>
    <row r="1000">
      <c r="A1000" s="8" t="inlineStr">
        <is>
          <t>1939-11-01</t>
        </is>
      </c>
      <c r="B1000" s="6" t="n">
        <v>0.05</v>
      </c>
      <c r="C1000" s="8">
        <f>B1000/100/12</f>
        <v/>
      </c>
      <c r="D1000" s="8">
        <f>D999*(1+C1000)</f>
        <v/>
      </c>
    </row>
    <row r="1001">
      <c r="A1001" s="8" t="inlineStr">
        <is>
          <t>1939-12-01</t>
        </is>
      </c>
      <c r="B1001" s="6" t="n">
        <v>0.04</v>
      </c>
      <c r="C1001" s="8">
        <f>B1001/100/12</f>
        <v/>
      </c>
      <c r="D1001" s="8">
        <f>D1000*(1+C1001)</f>
        <v/>
      </c>
    </row>
    <row r="1002">
      <c r="A1002" s="8" t="inlineStr">
        <is>
          <t>1940-01-01</t>
        </is>
      </c>
      <c r="B1002" s="6" t="n">
        <v>0.01</v>
      </c>
      <c r="C1002" s="8">
        <f>B1002/100/12</f>
        <v/>
      </c>
      <c r="D1002" s="8">
        <f>D1001*(1+C1002)</f>
        <v/>
      </c>
    </row>
    <row r="1003">
      <c r="A1003" s="8" t="inlineStr">
        <is>
          <t>1940-02-01</t>
        </is>
      </c>
      <c r="B1003" s="6" t="n">
        <v>0.02</v>
      </c>
      <c r="C1003" s="8">
        <f>B1003/100/12</f>
        <v/>
      </c>
      <c r="D1003" s="8">
        <f>D1002*(1+C1003)</f>
        <v/>
      </c>
    </row>
    <row r="1004">
      <c r="A1004" s="8" t="inlineStr">
        <is>
          <t>1940-03-01</t>
        </is>
      </c>
      <c r="B1004" s="6" t="n">
        <v>0.02</v>
      </c>
      <c r="C1004" s="8">
        <f>B1004/100/12</f>
        <v/>
      </c>
      <c r="D1004" s="8">
        <f>D1003*(1+C1004)</f>
        <v/>
      </c>
    </row>
    <row r="1005">
      <c r="A1005" s="8" t="inlineStr">
        <is>
          <t>1940-04-01</t>
        </is>
      </c>
      <c r="B1005" s="6" t="n">
        <v>0.02</v>
      </c>
      <c r="C1005" s="8">
        <f>B1005/100/12</f>
        <v/>
      </c>
      <c r="D1005" s="8">
        <f>D1004*(1+C1005)</f>
        <v/>
      </c>
    </row>
    <row r="1006">
      <c r="A1006" s="8" t="inlineStr">
        <is>
          <t>1940-05-01</t>
        </is>
      </c>
      <c r="B1006" s="6" t="n">
        <v>0.06</v>
      </c>
      <c r="C1006" s="8">
        <f>B1006/100/12</f>
        <v/>
      </c>
      <c r="D1006" s="8">
        <f>D1005*(1+C1006)</f>
        <v/>
      </c>
    </row>
    <row r="1007">
      <c r="A1007" s="8" t="inlineStr">
        <is>
          <t>1940-06-01</t>
        </is>
      </c>
      <c r="B1007" s="6" t="n">
        <v>0.1</v>
      </c>
      <c r="C1007" s="8">
        <f>B1007/100/12</f>
        <v/>
      </c>
      <c r="D1007" s="8">
        <f>D1006*(1+C1007)</f>
        <v/>
      </c>
    </row>
    <row r="1008">
      <c r="A1008" s="8" t="inlineStr">
        <is>
          <t>1940-07-01</t>
        </is>
      </c>
      <c r="B1008" s="6" t="n">
        <v>0.05</v>
      </c>
      <c r="C1008" s="8">
        <f>B1008/100/12</f>
        <v/>
      </c>
      <c r="D1008" s="8">
        <f>D1007*(1+C1008)</f>
        <v/>
      </c>
    </row>
    <row r="1009">
      <c r="A1009" s="8" t="inlineStr">
        <is>
          <t>1940-08-01</t>
        </is>
      </c>
      <c r="B1009" s="6" t="n">
        <v>0.04</v>
      </c>
      <c r="C1009" s="8">
        <f>B1009/100/12</f>
        <v/>
      </c>
      <c r="D1009" s="8">
        <f>D1008*(1+C1009)</f>
        <v/>
      </c>
    </row>
    <row r="1010">
      <c r="A1010" s="8" t="inlineStr">
        <is>
          <t>1940-09-01</t>
        </is>
      </c>
      <c r="B1010" s="6" t="n">
        <v>0.05</v>
      </c>
      <c r="C1010" s="8">
        <f>B1010/100/12</f>
        <v/>
      </c>
      <c r="D1010" s="8">
        <f>D1009*(1+C1010)</f>
        <v/>
      </c>
    </row>
    <row r="1011">
      <c r="A1011" s="8" t="inlineStr">
        <is>
          <t>1940-10-01</t>
        </is>
      </c>
      <c r="B1011" s="6" t="n">
        <v>0.02</v>
      </c>
      <c r="C1011" s="8">
        <f>B1011/100/12</f>
        <v/>
      </c>
      <c r="D1011" s="8">
        <f>D1010*(1+C1011)</f>
        <v/>
      </c>
    </row>
    <row r="1012">
      <c r="A1012" s="8" t="inlineStr">
        <is>
          <t>1940-11-01</t>
        </is>
      </c>
      <c r="B1012" s="6" t="n">
        <v>0.02</v>
      </c>
      <c r="C1012" s="8">
        <f>B1012/100/12</f>
        <v/>
      </c>
      <c r="D1012" s="8">
        <f>D1011*(1+C1012)</f>
        <v/>
      </c>
    </row>
    <row r="1013">
      <c r="A1013" s="8" t="inlineStr">
        <is>
          <t>1940-12-01</t>
        </is>
      </c>
      <c r="B1013" s="6" t="n">
        <v>0.02</v>
      </c>
      <c r="C1013" s="8">
        <f>B1013/100/12</f>
        <v/>
      </c>
      <c r="D1013" s="8">
        <f>D1012*(1+C1013)</f>
        <v/>
      </c>
    </row>
    <row r="1014">
      <c r="A1014" s="8" t="inlineStr">
        <is>
          <t>1941-01-01</t>
        </is>
      </c>
      <c r="B1014" s="6" t="n">
        <v>0.02</v>
      </c>
      <c r="C1014" s="8">
        <f>B1014/100/12</f>
        <v/>
      </c>
      <c r="D1014" s="8">
        <f>D1013*(1+C1014)</f>
        <v/>
      </c>
    </row>
    <row r="1015">
      <c r="A1015" s="8" t="inlineStr">
        <is>
          <t>1941-02-01</t>
        </is>
      </c>
      <c r="B1015" s="6" t="n">
        <v>0.04</v>
      </c>
      <c r="C1015" s="8">
        <f>B1015/100/12</f>
        <v/>
      </c>
      <c r="D1015" s="8">
        <f>D1014*(1+C1015)</f>
        <v/>
      </c>
    </row>
    <row r="1016">
      <c r="A1016" s="8" t="inlineStr">
        <is>
          <t>1941-03-01</t>
        </is>
      </c>
      <c r="B1016" s="6" t="n">
        <v>0.11</v>
      </c>
      <c r="C1016" s="8">
        <f>B1016/100/12</f>
        <v/>
      </c>
      <c r="D1016" s="8">
        <f>D1015*(1+C1016)</f>
        <v/>
      </c>
    </row>
    <row r="1017">
      <c r="A1017" s="8" t="inlineStr">
        <is>
          <t>1941-04-01</t>
        </is>
      </c>
      <c r="B1017" s="6" t="n">
        <v>0.1</v>
      </c>
      <c r="C1017" s="8">
        <f>B1017/100/12</f>
        <v/>
      </c>
      <c r="D1017" s="8">
        <f>D1016*(1+C1017)</f>
        <v/>
      </c>
    </row>
    <row r="1018">
      <c r="A1018" s="8" t="inlineStr">
        <is>
          <t>1941-05-01</t>
        </is>
      </c>
      <c r="B1018" s="6" t="n">
        <v>0.11</v>
      </c>
      <c r="C1018" s="8">
        <f>B1018/100/12</f>
        <v/>
      </c>
      <c r="D1018" s="8">
        <f>D1017*(1+C1018)</f>
        <v/>
      </c>
    </row>
    <row r="1019">
      <c r="A1019" s="8" t="inlineStr">
        <is>
          <t>1941-06-01</t>
        </is>
      </c>
      <c r="B1019" s="6" t="n">
        <v>0.12</v>
      </c>
      <c r="C1019" s="8">
        <f>B1019/100/12</f>
        <v/>
      </c>
      <c r="D1019" s="8">
        <f>D1018*(1+C1019)</f>
        <v/>
      </c>
    </row>
    <row r="1020">
      <c r="A1020" s="8" t="inlineStr">
        <is>
          <t>1941-07-01</t>
        </is>
      </c>
      <c r="B1020" s="6" t="n">
        <v>0.12</v>
      </c>
      <c r="C1020" s="8">
        <f>B1020/100/12</f>
        <v/>
      </c>
      <c r="D1020" s="8">
        <f>D1019*(1+C1020)</f>
        <v/>
      </c>
    </row>
    <row r="1021">
      <c r="A1021" s="8" t="inlineStr">
        <is>
          <t>1941-08-01</t>
        </is>
      </c>
      <c r="B1021" s="6" t="n">
        <v>0.13</v>
      </c>
      <c r="C1021" s="8">
        <f>B1021/100/12</f>
        <v/>
      </c>
      <c r="D1021" s="8">
        <f>D1020*(1+C1021)</f>
        <v/>
      </c>
    </row>
    <row r="1022">
      <c r="A1022" s="8" t="inlineStr">
        <is>
          <t>1941-09-01</t>
        </is>
      </c>
      <c r="B1022" s="6" t="n">
        <v>0.1</v>
      </c>
      <c r="C1022" s="8">
        <f>B1022/100/12</f>
        <v/>
      </c>
      <c r="D1022" s="8">
        <f>D1021*(1+C1022)</f>
        <v/>
      </c>
    </row>
    <row r="1023">
      <c r="A1023" s="8" t="inlineStr">
        <is>
          <t>1941-10-01</t>
        </is>
      </c>
      <c r="B1023" s="6" t="n">
        <v>0.09</v>
      </c>
      <c r="C1023" s="8">
        <f>B1023/100/12</f>
        <v/>
      </c>
      <c r="D1023" s="8">
        <f>D1022*(1+C1023)</f>
        <v/>
      </c>
    </row>
    <row r="1024">
      <c r="A1024" s="8" t="inlineStr">
        <is>
          <t>1941-11-01</t>
        </is>
      </c>
      <c r="B1024" s="6" t="n">
        <v>0.28</v>
      </c>
      <c r="C1024" s="8">
        <f>B1024/100/12</f>
        <v/>
      </c>
      <c r="D1024" s="8">
        <f>D1023*(1+C1024)</f>
        <v/>
      </c>
    </row>
    <row r="1025">
      <c r="A1025" s="8" t="inlineStr">
        <is>
          <t>1941-12-01</t>
        </is>
      </c>
      <c r="B1025" s="6" t="n">
        <v>0.33</v>
      </c>
      <c r="C1025" s="8">
        <f>B1025/100/12</f>
        <v/>
      </c>
      <c r="D1025" s="8">
        <f>D1024*(1+C1025)</f>
        <v/>
      </c>
    </row>
    <row r="1026">
      <c r="A1026" s="8" t="inlineStr">
        <is>
          <t>1942-01-01</t>
        </is>
      </c>
      <c r="B1026" s="6" t="n">
        <v>0.27</v>
      </c>
      <c r="C1026" s="8">
        <f>B1026/100/12</f>
        <v/>
      </c>
      <c r="D1026" s="8">
        <f>D1025*(1+C1026)</f>
        <v/>
      </c>
    </row>
    <row r="1027">
      <c r="A1027" s="8" t="inlineStr">
        <is>
          <t>1942-02-01</t>
        </is>
      </c>
      <c r="B1027" s="6" t="n">
        <v>0.25</v>
      </c>
      <c r="C1027" s="8">
        <f>B1027/100/12</f>
        <v/>
      </c>
      <c r="D1027" s="8">
        <f>D1026*(1+C1027)</f>
        <v/>
      </c>
    </row>
    <row r="1028">
      <c r="A1028" s="8" t="inlineStr">
        <is>
          <t>1942-03-01</t>
        </is>
      </c>
      <c r="B1028" s="6" t="n">
        <v>0.25</v>
      </c>
      <c r="C1028" s="8">
        <f>B1028/100/12</f>
        <v/>
      </c>
      <c r="D1028" s="8">
        <f>D1027*(1+C1028)</f>
        <v/>
      </c>
    </row>
    <row r="1029">
      <c r="A1029" s="8" t="inlineStr">
        <is>
          <t>1942-04-01</t>
        </is>
      </c>
      <c r="B1029" s="6" t="n">
        <v>0.32</v>
      </c>
      <c r="C1029" s="8">
        <f>B1029/100/12</f>
        <v/>
      </c>
      <c r="D1029" s="8">
        <f>D1028*(1+C1029)</f>
        <v/>
      </c>
    </row>
    <row r="1030">
      <c r="A1030" s="8" t="inlineStr">
        <is>
          <t>1942-05-01</t>
        </is>
      </c>
      <c r="B1030" s="6" t="n">
        <v>0.37</v>
      </c>
      <c r="C1030" s="8">
        <f>B1030/100/12</f>
        <v/>
      </c>
      <c r="D1030" s="8">
        <f>D1029*(1+C1030)</f>
        <v/>
      </c>
    </row>
    <row r="1031">
      <c r="A1031" s="8" t="inlineStr">
        <is>
          <t>1942-06-01</t>
        </is>
      </c>
      <c r="B1031" s="6" t="n">
        <v>0.37</v>
      </c>
      <c r="C1031" s="8">
        <f>B1031/100/12</f>
        <v/>
      </c>
      <c r="D1031" s="8">
        <f>D1030*(1+C1031)</f>
        <v/>
      </c>
    </row>
    <row r="1032">
      <c r="A1032" s="8" t="inlineStr">
        <is>
          <t>1942-07-01</t>
        </is>
      </c>
      <c r="B1032" s="6" t="n">
        <v>0.38</v>
      </c>
      <c r="C1032" s="8">
        <f>B1032/100/12</f>
        <v/>
      </c>
      <c r="D1032" s="8">
        <f>D1031*(1+C1032)</f>
        <v/>
      </c>
    </row>
    <row r="1033">
      <c r="A1033" s="8" t="inlineStr">
        <is>
          <t>1942-08-01</t>
        </is>
      </c>
      <c r="B1033" s="6" t="n">
        <v>0.38</v>
      </c>
      <c r="C1033" s="8">
        <f>B1033/100/12</f>
        <v/>
      </c>
      <c r="D1033" s="8">
        <f>D1032*(1+C1033)</f>
        <v/>
      </c>
    </row>
    <row r="1034">
      <c r="A1034" s="8" t="inlineStr">
        <is>
          <t>1942-09-01</t>
        </is>
      </c>
      <c r="B1034" s="6" t="n">
        <v>0.38</v>
      </c>
      <c r="C1034" s="8">
        <f>B1034/100/12</f>
        <v/>
      </c>
      <c r="D1034" s="8">
        <f>D1033*(1+C1034)</f>
        <v/>
      </c>
    </row>
    <row r="1035">
      <c r="A1035" s="8" t="inlineStr">
        <is>
          <t>1942-10-01</t>
        </is>
      </c>
      <c r="B1035" s="6" t="n">
        <v>0.38</v>
      </c>
      <c r="C1035" s="8">
        <f>B1035/100/12</f>
        <v/>
      </c>
      <c r="D1035" s="8">
        <f>D1034*(1+C1035)</f>
        <v/>
      </c>
    </row>
    <row r="1036">
      <c r="A1036" s="8" t="inlineStr">
        <is>
          <t>1942-11-01</t>
        </is>
      </c>
      <c r="B1036" s="6" t="n">
        <v>0.38</v>
      </c>
      <c r="C1036" s="8">
        <f>B1036/100/12</f>
        <v/>
      </c>
      <c r="D1036" s="8">
        <f>D1035*(1+C1036)</f>
        <v/>
      </c>
    </row>
    <row r="1037">
      <c r="A1037" s="8" t="inlineStr">
        <is>
          <t>1942-12-01</t>
        </is>
      </c>
      <c r="B1037" s="6" t="n">
        <v>0.38</v>
      </c>
      <c r="C1037" s="8">
        <f>B1037/100/12</f>
        <v/>
      </c>
      <c r="D1037" s="8">
        <f>D1036*(1+C1037)</f>
        <v/>
      </c>
    </row>
    <row r="1038">
      <c r="A1038" s="8" t="inlineStr">
        <is>
          <t>1943-01-01</t>
        </is>
      </c>
      <c r="B1038" s="6" t="n">
        <v>0.38</v>
      </c>
      <c r="C1038" s="8">
        <f>B1038/100/12</f>
        <v/>
      </c>
      <c r="D1038" s="8">
        <f>D1037*(1+C1038)</f>
        <v/>
      </c>
    </row>
    <row r="1039">
      <c r="A1039" s="8" t="inlineStr">
        <is>
          <t>1943-02-01</t>
        </is>
      </c>
      <c r="B1039" s="6" t="n">
        <v>0.38</v>
      </c>
      <c r="C1039" s="8">
        <f>B1039/100/12</f>
        <v/>
      </c>
      <c r="D1039" s="8">
        <f>D1038*(1+C1039)</f>
        <v/>
      </c>
    </row>
    <row r="1040">
      <c r="A1040" s="8" t="inlineStr">
        <is>
          <t>1943-03-01</t>
        </is>
      </c>
      <c r="B1040" s="6" t="n">
        <v>0.38</v>
      </c>
      <c r="C1040" s="8">
        <f>B1040/100/12</f>
        <v/>
      </c>
      <c r="D1040" s="8">
        <f>D1039*(1+C1040)</f>
        <v/>
      </c>
    </row>
    <row r="1041">
      <c r="A1041" s="8" t="inlineStr">
        <is>
          <t>1943-04-01</t>
        </is>
      </c>
      <c r="B1041" s="6" t="n">
        <v>0.38</v>
      </c>
      <c r="C1041" s="8">
        <f>B1041/100/12</f>
        <v/>
      </c>
      <c r="D1041" s="8">
        <f>D1040*(1+C1041)</f>
        <v/>
      </c>
    </row>
    <row r="1042">
      <c r="A1042" s="8" t="inlineStr">
        <is>
          <t>1943-05-01</t>
        </is>
      </c>
      <c r="B1042" s="6" t="n">
        <v>0.38</v>
      </c>
      <c r="C1042" s="8">
        <f>B1042/100/12</f>
        <v/>
      </c>
      <c r="D1042" s="8">
        <f>D1041*(1+C1042)</f>
        <v/>
      </c>
    </row>
    <row r="1043">
      <c r="A1043" s="8" t="inlineStr">
        <is>
          <t>1943-06-01</t>
        </is>
      </c>
      <c r="B1043" s="6" t="n">
        <v>0.38</v>
      </c>
      <c r="C1043" s="8">
        <f>B1043/100/12</f>
        <v/>
      </c>
      <c r="D1043" s="8">
        <f>D1042*(1+C1043)</f>
        <v/>
      </c>
    </row>
    <row r="1044">
      <c r="A1044" s="8" t="inlineStr">
        <is>
          <t>1943-07-01</t>
        </is>
      </c>
      <c r="B1044" s="6" t="n">
        <v>0.38</v>
      </c>
      <c r="C1044" s="8">
        <f>B1044/100/12</f>
        <v/>
      </c>
      <c r="D1044" s="8">
        <f>D1043*(1+C1044)</f>
        <v/>
      </c>
    </row>
    <row r="1045">
      <c r="A1045" s="8" t="inlineStr">
        <is>
          <t>1943-08-01</t>
        </is>
      </c>
      <c r="B1045" s="6" t="n">
        <v>0.38</v>
      </c>
      <c r="C1045" s="8">
        <f>B1045/100/12</f>
        <v/>
      </c>
      <c r="D1045" s="8">
        <f>D1044*(1+C1045)</f>
        <v/>
      </c>
    </row>
    <row r="1046">
      <c r="A1046" s="8" t="inlineStr">
        <is>
          <t>1943-09-01</t>
        </is>
      </c>
      <c r="B1046" s="6" t="n">
        <v>0.38</v>
      </c>
      <c r="C1046" s="8">
        <f>B1046/100/12</f>
        <v/>
      </c>
      <c r="D1046" s="8">
        <f>D1045*(1+C1046)</f>
        <v/>
      </c>
    </row>
    <row r="1047">
      <c r="A1047" s="8" t="inlineStr">
        <is>
          <t>1943-10-01</t>
        </is>
      </c>
      <c r="B1047" s="6" t="n">
        <v>0.38</v>
      </c>
      <c r="C1047" s="8">
        <f>B1047/100/12</f>
        <v/>
      </c>
      <c r="D1047" s="8">
        <f>D1046*(1+C1047)</f>
        <v/>
      </c>
    </row>
    <row r="1048">
      <c r="A1048" s="8" t="inlineStr">
        <is>
          <t>1943-11-01</t>
        </is>
      </c>
      <c r="B1048" s="6" t="n">
        <v>0.38</v>
      </c>
      <c r="C1048" s="8">
        <f>B1048/100/12</f>
        <v/>
      </c>
      <c r="D1048" s="8">
        <f>D1047*(1+C1048)</f>
        <v/>
      </c>
    </row>
    <row r="1049">
      <c r="A1049" s="8" t="inlineStr">
        <is>
          <t>1943-12-01</t>
        </is>
      </c>
      <c r="B1049" s="6" t="n">
        <v>0.38</v>
      </c>
      <c r="C1049" s="8">
        <f>B1049/100/12</f>
        <v/>
      </c>
      <c r="D1049" s="8">
        <f>D1048*(1+C1049)</f>
        <v/>
      </c>
    </row>
    <row r="1050">
      <c r="A1050" s="8" t="inlineStr">
        <is>
          <t>1944-01-01</t>
        </is>
      </c>
      <c r="B1050" s="6" t="n">
        <v>0.38</v>
      </c>
      <c r="C1050" s="8">
        <f>B1050/100/12</f>
        <v/>
      </c>
      <c r="D1050" s="8">
        <f>D1049*(1+C1050)</f>
        <v/>
      </c>
    </row>
    <row r="1051">
      <c r="A1051" s="8" t="inlineStr">
        <is>
          <t>1944-02-01</t>
        </is>
      </c>
      <c r="B1051" s="6" t="n">
        <v>0.38</v>
      </c>
      <c r="C1051" s="8">
        <f>B1051/100/12</f>
        <v/>
      </c>
      <c r="D1051" s="8">
        <f>D1050*(1+C1051)</f>
        <v/>
      </c>
    </row>
    <row r="1052">
      <c r="A1052" s="8" t="inlineStr">
        <is>
          <t>1944-03-01</t>
        </is>
      </c>
      <c r="B1052" s="6" t="n">
        <v>0.38</v>
      </c>
      <c r="C1052" s="8">
        <f>B1052/100/12</f>
        <v/>
      </c>
      <c r="D1052" s="8">
        <f>D1051*(1+C1052)</f>
        <v/>
      </c>
    </row>
    <row r="1053">
      <c r="A1053" s="8" t="inlineStr">
        <is>
          <t>1944-04-01</t>
        </is>
      </c>
      <c r="B1053" s="6" t="n">
        <v>0.38</v>
      </c>
      <c r="C1053" s="8">
        <f>B1053/100/12</f>
        <v/>
      </c>
      <c r="D1053" s="8">
        <f>D1052*(1+C1053)</f>
        <v/>
      </c>
    </row>
    <row r="1054">
      <c r="A1054" s="8" t="inlineStr">
        <is>
          <t>1944-05-01</t>
        </is>
      </c>
      <c r="B1054" s="6" t="n">
        <v>0.38</v>
      </c>
      <c r="C1054" s="8">
        <f>B1054/100/12</f>
        <v/>
      </c>
      <c r="D1054" s="8">
        <f>D1053*(1+C1054)</f>
        <v/>
      </c>
    </row>
    <row r="1055">
      <c r="A1055" s="8" t="inlineStr">
        <is>
          <t>1944-06-01</t>
        </is>
      </c>
      <c r="B1055" s="6" t="n">
        <v>0.38</v>
      </c>
      <c r="C1055" s="8">
        <f>B1055/100/12</f>
        <v/>
      </c>
      <c r="D1055" s="8">
        <f>D1054*(1+C1055)</f>
        <v/>
      </c>
    </row>
    <row r="1056">
      <c r="A1056" s="8" t="inlineStr">
        <is>
          <t>1944-07-01</t>
        </is>
      </c>
      <c r="B1056" s="6" t="n">
        <v>0.38</v>
      </c>
      <c r="C1056" s="8">
        <f>B1056/100/12</f>
        <v/>
      </c>
      <c r="D1056" s="8">
        <f>D1055*(1+C1056)</f>
        <v/>
      </c>
    </row>
    <row r="1057">
      <c r="A1057" s="8" t="inlineStr">
        <is>
          <t>1944-08-01</t>
        </is>
      </c>
      <c r="B1057" s="6" t="n">
        <v>0.38</v>
      </c>
      <c r="C1057" s="8">
        <f>B1057/100/12</f>
        <v/>
      </c>
      <c r="D1057" s="8">
        <f>D1056*(1+C1057)</f>
        <v/>
      </c>
    </row>
    <row r="1058">
      <c r="A1058" s="8" t="inlineStr">
        <is>
          <t>1944-09-01</t>
        </is>
      </c>
      <c r="B1058" s="6" t="n">
        <v>0.38</v>
      </c>
      <c r="C1058" s="8">
        <f>B1058/100/12</f>
        <v/>
      </c>
      <c r="D1058" s="8">
        <f>D1057*(1+C1058)</f>
        <v/>
      </c>
    </row>
    <row r="1059">
      <c r="A1059" s="8" t="inlineStr">
        <is>
          <t>1944-10-01</t>
        </is>
      </c>
      <c r="B1059" s="6" t="n">
        <v>0.38</v>
      </c>
      <c r="C1059" s="8">
        <f>B1059/100/12</f>
        <v/>
      </c>
      <c r="D1059" s="8">
        <f>D1058*(1+C1059)</f>
        <v/>
      </c>
    </row>
    <row r="1060">
      <c r="A1060" s="8" t="inlineStr">
        <is>
          <t>1944-11-01</t>
        </is>
      </c>
      <c r="B1060" s="6" t="n">
        <v>0.38</v>
      </c>
      <c r="C1060" s="8">
        <f>B1060/100/12</f>
        <v/>
      </c>
      <c r="D1060" s="8">
        <f>D1059*(1+C1060)</f>
        <v/>
      </c>
    </row>
    <row r="1061">
      <c r="A1061" s="8" t="inlineStr">
        <is>
          <t>1944-12-01</t>
        </is>
      </c>
      <c r="B1061" s="6" t="n">
        <v>0.38</v>
      </c>
      <c r="C1061" s="8">
        <f>B1061/100/12</f>
        <v/>
      </c>
      <c r="D1061" s="8">
        <f>D1060*(1+C1061)</f>
        <v/>
      </c>
    </row>
    <row r="1062">
      <c r="A1062" s="8" t="inlineStr">
        <is>
          <t>1945-01-01</t>
        </is>
      </c>
      <c r="B1062" s="6" t="n">
        <v>0.38</v>
      </c>
      <c r="C1062" s="8">
        <f>B1062/100/12</f>
        <v/>
      </c>
      <c r="D1062" s="8">
        <f>D1061*(1+C1062)</f>
        <v/>
      </c>
    </row>
    <row r="1063">
      <c r="A1063" s="8" t="inlineStr">
        <is>
          <t>1945-02-01</t>
        </is>
      </c>
      <c r="B1063" s="6" t="n">
        <v>0.38</v>
      </c>
      <c r="C1063" s="8">
        <f>B1063/100/12</f>
        <v/>
      </c>
      <c r="D1063" s="8">
        <f>D1062*(1+C1063)</f>
        <v/>
      </c>
    </row>
    <row r="1064">
      <c r="A1064" s="8" t="inlineStr">
        <is>
          <t>1945-03-01</t>
        </is>
      </c>
      <c r="B1064" s="6" t="n">
        <v>0.38</v>
      </c>
      <c r="C1064" s="8">
        <f>B1064/100/12</f>
        <v/>
      </c>
      <c r="D1064" s="8">
        <f>D1063*(1+C1064)</f>
        <v/>
      </c>
    </row>
    <row r="1065">
      <c r="A1065" s="8" t="inlineStr">
        <is>
          <t>1945-04-01</t>
        </is>
      </c>
      <c r="B1065" s="6" t="n">
        <v>0.38</v>
      </c>
      <c r="C1065" s="8">
        <f>B1065/100/12</f>
        <v/>
      </c>
      <c r="D1065" s="8">
        <f>D1064*(1+C1065)</f>
        <v/>
      </c>
    </row>
    <row r="1066">
      <c r="A1066" s="8" t="inlineStr">
        <is>
          <t>1945-05-01</t>
        </is>
      </c>
      <c r="B1066" s="6" t="n">
        <v>0.38</v>
      </c>
      <c r="C1066" s="8">
        <f>B1066/100/12</f>
        <v/>
      </c>
      <c r="D1066" s="8">
        <f>D1065*(1+C1066)</f>
        <v/>
      </c>
    </row>
    <row r="1067">
      <c r="A1067" s="8" t="inlineStr">
        <is>
          <t>1945-06-01</t>
        </is>
      </c>
      <c r="B1067" s="6" t="n">
        <v>0.38</v>
      </c>
      <c r="C1067" s="8">
        <f>B1067/100/12</f>
        <v/>
      </c>
      <c r="D1067" s="8">
        <f>D1066*(1+C1067)</f>
        <v/>
      </c>
    </row>
    <row r="1068">
      <c r="A1068" s="8" t="inlineStr">
        <is>
          <t>1945-07-01</t>
        </is>
      </c>
      <c r="B1068" s="6" t="n">
        <v>0.38</v>
      </c>
      <c r="C1068" s="8">
        <f>B1068/100/12</f>
        <v/>
      </c>
      <c r="D1068" s="8">
        <f>D1067*(1+C1068)</f>
        <v/>
      </c>
    </row>
    <row r="1069">
      <c r="A1069" s="8" t="inlineStr">
        <is>
          <t>1945-08-01</t>
        </is>
      </c>
      <c r="B1069" s="6" t="n">
        <v>0.38</v>
      </c>
      <c r="C1069" s="8">
        <f>B1069/100/12</f>
        <v/>
      </c>
      <c r="D1069" s="8">
        <f>D1068*(1+C1069)</f>
        <v/>
      </c>
    </row>
    <row r="1070">
      <c r="A1070" s="8" t="inlineStr">
        <is>
          <t>1945-09-01</t>
        </is>
      </c>
      <c r="B1070" s="6" t="n">
        <v>0.38</v>
      </c>
      <c r="C1070" s="8">
        <f>B1070/100/12</f>
        <v/>
      </c>
      <c r="D1070" s="8">
        <f>D1069*(1+C1070)</f>
        <v/>
      </c>
    </row>
    <row r="1071">
      <c r="A1071" s="8" t="inlineStr">
        <is>
          <t>1945-10-01</t>
        </is>
      </c>
      <c r="B1071" s="6" t="n">
        <v>0.38</v>
      </c>
      <c r="C1071" s="8">
        <f>B1071/100/12</f>
        <v/>
      </c>
      <c r="D1071" s="8">
        <f>D1070*(1+C1071)</f>
        <v/>
      </c>
    </row>
    <row r="1072">
      <c r="A1072" s="8" t="inlineStr">
        <is>
          <t>1945-11-01</t>
        </is>
      </c>
      <c r="B1072" s="6" t="n">
        <v>0.38</v>
      </c>
      <c r="C1072" s="8">
        <f>B1072/100/12</f>
        <v/>
      </c>
      <c r="D1072" s="8">
        <f>D1071*(1+C1072)</f>
        <v/>
      </c>
    </row>
    <row r="1073">
      <c r="A1073" s="8" t="inlineStr">
        <is>
          <t>1945-12-01</t>
        </is>
      </c>
      <c r="B1073" s="6" t="n">
        <v>0.38</v>
      </c>
      <c r="C1073" s="8">
        <f>B1073/100/12</f>
        <v/>
      </c>
      <c r="D1073" s="8">
        <f>D1072*(1+C1073)</f>
        <v/>
      </c>
    </row>
    <row r="1074">
      <c r="A1074" s="8" t="inlineStr">
        <is>
          <t>1946-01-01</t>
        </is>
      </c>
      <c r="B1074" s="6" t="n">
        <v>0.38</v>
      </c>
      <c r="C1074" s="8">
        <f>B1074/100/12</f>
        <v/>
      </c>
      <c r="D1074" s="8">
        <f>D1073*(1+C1074)</f>
        <v/>
      </c>
    </row>
    <row r="1075">
      <c r="A1075" s="8" t="inlineStr">
        <is>
          <t>1946-02-01</t>
        </is>
      </c>
      <c r="B1075" s="6" t="n">
        <v>0.38</v>
      </c>
      <c r="C1075" s="8">
        <f>B1075/100/12</f>
        <v/>
      </c>
      <c r="D1075" s="8">
        <f>D1074*(1+C1075)</f>
        <v/>
      </c>
    </row>
    <row r="1076">
      <c r="A1076" s="8" t="inlineStr">
        <is>
          <t>1946-03-01</t>
        </is>
      </c>
      <c r="B1076" s="6" t="n">
        <v>0.38</v>
      </c>
      <c r="C1076" s="8">
        <f>B1076/100/12</f>
        <v/>
      </c>
      <c r="D1076" s="8">
        <f>D1075*(1+C1076)</f>
        <v/>
      </c>
    </row>
    <row r="1077">
      <c r="A1077" s="8" t="inlineStr">
        <is>
          <t>1946-04-01</t>
        </is>
      </c>
      <c r="B1077" s="6" t="n">
        <v>0.38</v>
      </c>
      <c r="C1077" s="8">
        <f>B1077/100/12</f>
        <v/>
      </c>
      <c r="D1077" s="8">
        <f>D1076*(1+C1077)</f>
        <v/>
      </c>
    </row>
    <row r="1078">
      <c r="A1078" s="8" t="inlineStr">
        <is>
          <t>1946-05-01</t>
        </is>
      </c>
      <c r="B1078" s="6" t="n">
        <v>0.38</v>
      </c>
      <c r="C1078" s="8">
        <f>B1078/100/12</f>
        <v/>
      </c>
      <c r="D1078" s="8">
        <f>D1077*(1+C1078)</f>
        <v/>
      </c>
    </row>
    <row r="1079">
      <c r="A1079" s="8" t="inlineStr">
        <is>
          <t>1946-06-01</t>
        </is>
      </c>
      <c r="B1079" s="6" t="n">
        <v>0.38</v>
      </c>
      <c r="C1079" s="8">
        <f>B1079/100/12</f>
        <v/>
      </c>
      <c r="D1079" s="8">
        <f>D1078*(1+C1079)</f>
        <v/>
      </c>
    </row>
    <row r="1080">
      <c r="A1080" s="8" t="inlineStr">
        <is>
          <t>1946-07-01</t>
        </is>
      </c>
      <c r="B1080" s="6" t="n">
        <v>0.38</v>
      </c>
      <c r="C1080" s="8">
        <f>B1080/100/12</f>
        <v/>
      </c>
      <c r="D1080" s="8">
        <f>D1079*(1+C1080)</f>
        <v/>
      </c>
    </row>
    <row r="1081">
      <c r="A1081" s="8" t="inlineStr">
        <is>
          <t>1946-08-01</t>
        </is>
      </c>
      <c r="B1081" s="6" t="n">
        <v>0.38</v>
      </c>
      <c r="C1081" s="8">
        <f>B1081/100/12</f>
        <v/>
      </c>
      <c r="D1081" s="8">
        <f>D1080*(1+C1081)</f>
        <v/>
      </c>
    </row>
    <row r="1082">
      <c r="A1082" s="8" t="inlineStr">
        <is>
          <t>1946-09-01</t>
        </is>
      </c>
      <c r="B1082" s="6" t="n">
        <v>0.38</v>
      </c>
      <c r="C1082" s="8">
        <f>B1082/100/12</f>
        <v/>
      </c>
      <c r="D1082" s="8">
        <f>D1081*(1+C1082)</f>
        <v/>
      </c>
    </row>
    <row r="1083">
      <c r="A1083" s="8" t="inlineStr">
        <is>
          <t>1946-10-01</t>
        </is>
      </c>
      <c r="B1083" s="6" t="n">
        <v>0.38</v>
      </c>
      <c r="C1083" s="8">
        <f>B1083/100/12</f>
        <v/>
      </c>
      <c r="D1083" s="8">
        <f>D1082*(1+C1083)</f>
        <v/>
      </c>
    </row>
    <row r="1084">
      <c r="A1084" s="8" t="inlineStr">
        <is>
          <t>1946-11-01</t>
        </is>
      </c>
      <c r="B1084" s="6" t="n">
        <v>0.38</v>
      </c>
      <c r="C1084" s="8">
        <f>B1084/100/12</f>
        <v/>
      </c>
      <c r="D1084" s="8">
        <f>D1083*(1+C1084)</f>
        <v/>
      </c>
    </row>
    <row r="1085">
      <c r="A1085" s="8" t="inlineStr">
        <is>
          <t>1946-12-01</t>
        </is>
      </c>
      <c r="B1085" s="6" t="n">
        <v>0.38</v>
      </c>
      <c r="C1085" s="8">
        <f>B1085/100/12</f>
        <v/>
      </c>
      <c r="D1085" s="8">
        <f>D1084*(1+C1085)</f>
        <v/>
      </c>
    </row>
    <row r="1086">
      <c r="A1086" s="8" t="inlineStr">
        <is>
          <t>1947-01-01</t>
        </is>
      </c>
      <c r="B1086" s="6" t="n">
        <v>0.38</v>
      </c>
      <c r="C1086" s="8">
        <f>B1086/100/12</f>
        <v/>
      </c>
      <c r="D1086" s="8">
        <f>D1085*(1+C1086)</f>
        <v/>
      </c>
    </row>
    <row r="1087">
      <c r="A1087" s="8" t="inlineStr">
        <is>
          <t>1947-02-01</t>
        </is>
      </c>
      <c r="B1087" s="6" t="n">
        <v>0.38</v>
      </c>
      <c r="C1087" s="8">
        <f>B1087/100/12</f>
        <v/>
      </c>
      <c r="D1087" s="8">
        <f>D1086*(1+C1087)</f>
        <v/>
      </c>
    </row>
    <row r="1088">
      <c r="A1088" s="8" t="inlineStr">
        <is>
          <t>1947-03-01</t>
        </is>
      </c>
      <c r="B1088" s="6" t="n">
        <v>0.38</v>
      </c>
      <c r="C1088" s="8">
        <f>B1088/100/12</f>
        <v/>
      </c>
      <c r="D1088" s="8">
        <f>D1087*(1+C1088)</f>
        <v/>
      </c>
    </row>
    <row r="1089">
      <c r="A1089" s="8" t="inlineStr">
        <is>
          <t>1947-04-01</t>
        </is>
      </c>
      <c r="B1089" s="6" t="n">
        <v>0.38</v>
      </c>
      <c r="C1089" s="8">
        <f>B1089/100/12</f>
        <v/>
      </c>
      <c r="D1089" s="8">
        <f>D1088*(1+C1089)</f>
        <v/>
      </c>
    </row>
    <row r="1090">
      <c r="A1090" s="8" t="inlineStr">
        <is>
          <t>1947-05-01</t>
        </is>
      </c>
      <c r="B1090" s="6" t="n">
        <v>0.38</v>
      </c>
      <c r="C1090" s="8">
        <f>B1090/100/12</f>
        <v/>
      </c>
      <c r="D1090" s="8">
        <f>D1089*(1+C1090)</f>
        <v/>
      </c>
    </row>
    <row r="1091">
      <c r="A1091" s="8" t="inlineStr">
        <is>
          <t>1947-06-01</t>
        </is>
      </c>
      <c r="B1091" s="6" t="n">
        <v>0.38</v>
      </c>
      <c r="C1091" s="8">
        <f>B1091/100/12</f>
        <v/>
      </c>
      <c r="D1091" s="8">
        <f>D1090*(1+C1091)</f>
        <v/>
      </c>
    </row>
    <row r="1092">
      <c r="A1092" s="8" t="inlineStr">
        <is>
          <t>1947-07-01</t>
        </is>
      </c>
      <c r="B1092" s="6" t="n">
        <v>0.66</v>
      </c>
      <c r="C1092" s="8">
        <f>B1092/100/12</f>
        <v/>
      </c>
      <c r="D1092" s="8">
        <f>D1091*(1+C1092)</f>
        <v/>
      </c>
    </row>
    <row r="1093">
      <c r="A1093" s="8" t="inlineStr">
        <is>
          <t>1947-08-01</t>
        </is>
      </c>
      <c r="B1093" s="6" t="n">
        <v>0.75</v>
      </c>
      <c r="C1093" s="8">
        <f>B1093/100/12</f>
        <v/>
      </c>
      <c r="D1093" s="8">
        <f>D1092*(1+C1093)</f>
        <v/>
      </c>
    </row>
    <row r="1094">
      <c r="A1094" s="8" t="inlineStr">
        <is>
          <t>1947-09-01</t>
        </is>
      </c>
      <c r="B1094" s="6" t="n">
        <v>0.8</v>
      </c>
      <c r="C1094" s="8">
        <f>B1094/100/12</f>
        <v/>
      </c>
      <c r="D1094" s="8">
        <f>D1093*(1+C1094)</f>
        <v/>
      </c>
    </row>
    <row r="1095">
      <c r="A1095" s="8" t="inlineStr">
        <is>
          <t>1947-10-01</t>
        </is>
      </c>
      <c r="B1095" s="6" t="n">
        <v>0.85</v>
      </c>
      <c r="C1095" s="8">
        <f>B1095/100/12</f>
        <v/>
      </c>
      <c r="D1095" s="8">
        <f>D1094*(1+C1095)</f>
        <v/>
      </c>
    </row>
    <row r="1096">
      <c r="A1096" s="8" t="inlineStr">
        <is>
          <t>1947-11-01</t>
        </is>
      </c>
      <c r="B1096" s="6" t="n">
        <v>0.92</v>
      </c>
      <c r="C1096" s="8">
        <f>B1096/100/12</f>
        <v/>
      </c>
      <c r="D1096" s="8">
        <f>D1095*(1+C1096)</f>
        <v/>
      </c>
    </row>
    <row r="1097">
      <c r="A1097" s="8" t="inlineStr">
        <is>
          <t>1947-12-01</t>
        </is>
      </c>
      <c r="B1097" s="6" t="n">
        <v>0.95</v>
      </c>
      <c r="C1097" s="8">
        <f>B1097/100/12</f>
        <v/>
      </c>
      <c r="D1097" s="8">
        <f>D1096*(1+C1097)</f>
        <v/>
      </c>
    </row>
    <row r="1098">
      <c r="A1098" s="8" t="inlineStr">
        <is>
          <t>1948-01-01</t>
        </is>
      </c>
      <c r="B1098" s="6" t="n">
        <v>0.97</v>
      </c>
      <c r="C1098" s="8">
        <f>B1098/100/12</f>
        <v/>
      </c>
      <c r="D1098" s="8">
        <f>D1097*(1+C1098)</f>
        <v/>
      </c>
    </row>
    <row r="1099">
      <c r="A1099" s="8" t="inlineStr">
        <is>
          <t>1948-02-01</t>
        </is>
      </c>
      <c r="B1099" s="6" t="n">
        <v>1</v>
      </c>
      <c r="C1099" s="8">
        <f>B1099/100/12</f>
        <v/>
      </c>
      <c r="D1099" s="8">
        <f>D1098*(1+C1099)</f>
        <v/>
      </c>
    </row>
    <row r="1100">
      <c r="A1100" s="8" t="inlineStr">
        <is>
          <t>1948-03-01</t>
        </is>
      </c>
      <c r="B1100" s="6" t="n">
        <v>1</v>
      </c>
      <c r="C1100" s="8">
        <f>B1100/100/12</f>
        <v/>
      </c>
      <c r="D1100" s="8">
        <f>D1099*(1+C1100)</f>
        <v/>
      </c>
    </row>
    <row r="1101">
      <c r="A1101" s="8" t="inlineStr">
        <is>
          <t>1948-04-01</t>
        </is>
      </c>
      <c r="B1101" s="6" t="n">
        <v>1</v>
      </c>
      <c r="C1101" s="8">
        <f>B1101/100/12</f>
        <v/>
      </c>
      <c r="D1101" s="8">
        <f>D1100*(1+C1101)</f>
        <v/>
      </c>
    </row>
    <row r="1102">
      <c r="A1102" s="8" t="inlineStr">
        <is>
          <t>1948-05-01</t>
        </is>
      </c>
      <c r="B1102" s="6" t="n">
        <v>1</v>
      </c>
      <c r="C1102" s="8">
        <f>B1102/100/12</f>
        <v/>
      </c>
      <c r="D1102" s="8">
        <f>D1101*(1+C1102)</f>
        <v/>
      </c>
    </row>
    <row r="1103">
      <c r="A1103" s="8" t="inlineStr">
        <is>
          <t>1948-06-01</t>
        </is>
      </c>
      <c r="B1103" s="6" t="n">
        <v>1</v>
      </c>
      <c r="C1103" s="8">
        <f>B1103/100/12</f>
        <v/>
      </c>
      <c r="D1103" s="8">
        <f>D1102*(1+C1103)</f>
        <v/>
      </c>
    </row>
    <row r="1104">
      <c r="A1104" s="8" t="inlineStr">
        <is>
          <t>1948-07-01</t>
        </is>
      </c>
      <c r="B1104" s="6" t="n">
        <v>1</v>
      </c>
      <c r="C1104" s="8">
        <f>B1104/100/12</f>
        <v/>
      </c>
      <c r="D1104" s="8">
        <f>D1103*(1+C1104)</f>
        <v/>
      </c>
    </row>
    <row r="1105">
      <c r="A1105" s="8" t="inlineStr">
        <is>
          <t>1948-08-01</t>
        </is>
      </c>
      <c r="B1105" s="6" t="n">
        <v>1.06</v>
      </c>
      <c r="C1105" s="8">
        <f>B1105/100/12</f>
        <v/>
      </c>
      <c r="D1105" s="8">
        <f>D1104*(1+C1105)</f>
        <v/>
      </c>
    </row>
    <row r="1106">
      <c r="A1106" s="8" t="inlineStr">
        <is>
          <t>1948-09-01</t>
        </is>
      </c>
      <c r="B1106" s="6" t="n">
        <v>1.09</v>
      </c>
      <c r="C1106" s="8">
        <f>B1106/100/12</f>
        <v/>
      </c>
      <c r="D1106" s="8">
        <f>D1105*(1+C1106)</f>
        <v/>
      </c>
    </row>
    <row r="1107">
      <c r="A1107" s="8" t="inlineStr">
        <is>
          <t>1948-10-01</t>
        </is>
      </c>
      <c r="B1107" s="6" t="n">
        <v>1.12</v>
      </c>
      <c r="C1107" s="8">
        <f>B1107/100/12</f>
        <v/>
      </c>
      <c r="D1107" s="8">
        <f>D1106*(1+C1107)</f>
        <v/>
      </c>
    </row>
    <row r="1108">
      <c r="A1108" s="8" t="inlineStr">
        <is>
          <t>1948-11-01</t>
        </is>
      </c>
      <c r="B1108" s="6" t="n">
        <v>1.14</v>
      </c>
      <c r="C1108" s="8">
        <f>B1108/100/12</f>
        <v/>
      </c>
      <c r="D1108" s="8">
        <f>D1107*(1+C1108)</f>
        <v/>
      </c>
    </row>
    <row r="1109">
      <c r="A1109" s="8" t="inlineStr">
        <is>
          <t>1948-12-01</t>
        </is>
      </c>
      <c r="B1109" s="6" t="n">
        <v>1.16</v>
      </c>
      <c r="C1109" s="8">
        <f>B1109/100/12</f>
        <v/>
      </c>
      <c r="D1109" s="8">
        <f>D1108*(1+C1109)</f>
        <v/>
      </c>
    </row>
    <row r="1110">
      <c r="A1110" s="8" t="inlineStr">
        <is>
          <t>1949-01-01</t>
        </is>
      </c>
      <c r="B1110" s="6" t="n">
        <v>1.17</v>
      </c>
      <c r="C1110" s="8">
        <f>B1110/100/12</f>
        <v/>
      </c>
      <c r="D1110" s="8">
        <f>D1109*(1+C1110)</f>
        <v/>
      </c>
    </row>
    <row r="1111">
      <c r="A1111" s="8" t="inlineStr">
        <is>
          <t>1949-02-01</t>
        </is>
      </c>
      <c r="B1111" s="6" t="n">
        <v>1.17</v>
      </c>
      <c r="C1111" s="8">
        <f>B1111/100/12</f>
        <v/>
      </c>
      <c r="D1111" s="8">
        <f>D1110*(1+C1111)</f>
        <v/>
      </c>
    </row>
    <row r="1112">
      <c r="A1112" s="8" t="inlineStr">
        <is>
          <t>1949-03-01</t>
        </is>
      </c>
      <c r="B1112" s="6" t="n">
        <v>1.17</v>
      </c>
      <c r="C1112" s="8">
        <f>B1112/100/12</f>
        <v/>
      </c>
      <c r="D1112" s="8">
        <f>D1111*(1+C1112)</f>
        <v/>
      </c>
    </row>
    <row r="1113">
      <c r="A1113" s="8" t="inlineStr">
        <is>
          <t>1949-04-01</t>
        </is>
      </c>
      <c r="B1113" s="6" t="n">
        <v>1.17</v>
      </c>
      <c r="C1113" s="8">
        <f>B1113/100/12</f>
        <v/>
      </c>
      <c r="D1113" s="8">
        <f>D1112*(1+C1113)</f>
        <v/>
      </c>
    </row>
    <row r="1114">
      <c r="A1114" s="8" t="inlineStr">
        <is>
          <t>1949-05-01</t>
        </is>
      </c>
      <c r="B1114" s="6" t="n">
        <v>1.17</v>
      </c>
      <c r="C1114" s="8">
        <f>B1114/100/12</f>
        <v/>
      </c>
      <c r="D1114" s="8">
        <f>D1113*(1+C1114)</f>
        <v/>
      </c>
    </row>
    <row r="1115">
      <c r="A1115" s="8" t="inlineStr">
        <is>
          <t>1949-06-01</t>
        </is>
      </c>
      <c r="B1115" s="6" t="n">
        <v>1.17</v>
      </c>
      <c r="C1115" s="8">
        <f>B1115/100/12</f>
        <v/>
      </c>
      <c r="D1115" s="8">
        <f>D1114*(1+C1115)</f>
        <v/>
      </c>
    </row>
    <row r="1116">
      <c r="A1116" s="8" t="inlineStr">
        <is>
          <t>1949-07-01</t>
        </is>
      </c>
      <c r="B1116" s="6" t="n">
        <v>1.02</v>
      </c>
      <c r="C1116" s="8">
        <f>B1116/100/12</f>
        <v/>
      </c>
      <c r="D1116" s="8">
        <f>D1115*(1+C1116)</f>
        <v/>
      </c>
    </row>
    <row r="1117">
      <c r="A1117" s="8" t="inlineStr">
        <is>
          <t>1949-08-01</t>
        </is>
      </c>
      <c r="B1117" s="6" t="n">
        <v>1.04</v>
      </c>
      <c r="C1117" s="8">
        <f>B1117/100/12</f>
        <v/>
      </c>
      <c r="D1117" s="8">
        <f>D1116*(1+C1117)</f>
        <v/>
      </c>
    </row>
    <row r="1118">
      <c r="A1118" s="8" t="inlineStr">
        <is>
          <t>1949-09-01</t>
        </is>
      </c>
      <c r="B1118" s="6" t="n">
        <v>1.07</v>
      </c>
      <c r="C1118" s="8">
        <f>B1118/100/12</f>
        <v/>
      </c>
      <c r="D1118" s="8">
        <f>D1117*(1+C1118)</f>
        <v/>
      </c>
    </row>
    <row r="1119">
      <c r="A1119" s="8" t="inlineStr">
        <is>
          <t>1949-10-01</t>
        </is>
      </c>
      <c r="B1119" s="6" t="n">
        <v>1.05</v>
      </c>
      <c r="C1119" s="8">
        <f>B1119/100/12</f>
        <v/>
      </c>
      <c r="D1119" s="8">
        <f>D1118*(1+C1119)</f>
        <v/>
      </c>
    </row>
    <row r="1120">
      <c r="A1120" s="8" t="inlineStr">
        <is>
          <t>1949-11-01</t>
        </is>
      </c>
      <c r="B1120" s="6" t="n">
        <v>1.08</v>
      </c>
      <c r="C1120" s="8">
        <f>B1120/100/12</f>
        <v/>
      </c>
      <c r="D1120" s="8">
        <f>D1119*(1+C1120)</f>
        <v/>
      </c>
    </row>
    <row r="1121">
      <c r="A1121" s="8" t="inlineStr">
        <is>
          <t>1949-12-01</t>
        </is>
      </c>
      <c r="B1121" s="6" t="n">
        <v>1.1</v>
      </c>
      <c r="C1121" s="8">
        <f>B1121/100/12</f>
        <v/>
      </c>
      <c r="D1121" s="8">
        <f>D1120*(1+C1121)</f>
        <v/>
      </c>
    </row>
    <row r="1122">
      <c r="A1122" s="8" t="inlineStr">
        <is>
          <t>1950-01-01</t>
        </is>
      </c>
      <c r="B1122" s="6" t="n">
        <v>1.07</v>
      </c>
      <c r="C1122" s="8">
        <f>B1122/100/12</f>
        <v/>
      </c>
      <c r="D1122" s="8">
        <f>D1121*(1+C1122)</f>
        <v/>
      </c>
    </row>
    <row r="1123">
      <c r="A1123" s="8" t="inlineStr">
        <is>
          <t>1950-02-01</t>
        </is>
      </c>
      <c r="B1123" s="6" t="n">
        <v>1.12</v>
      </c>
      <c r="C1123" s="8">
        <f>B1123/100/12</f>
        <v/>
      </c>
      <c r="D1123" s="8">
        <f>D1122*(1+C1123)</f>
        <v/>
      </c>
    </row>
    <row r="1124">
      <c r="A1124" s="8" t="inlineStr">
        <is>
          <t>1950-03-01</t>
        </is>
      </c>
      <c r="B1124" s="6" t="n">
        <v>1.12</v>
      </c>
      <c r="C1124" s="8">
        <f>B1124/100/12</f>
        <v/>
      </c>
      <c r="D1124" s="8">
        <f>D1123*(1+C1124)</f>
        <v/>
      </c>
    </row>
    <row r="1125">
      <c r="A1125" s="8" t="inlineStr">
        <is>
          <t>1950-04-01</t>
        </is>
      </c>
      <c r="B1125" s="6" t="n">
        <v>1.15</v>
      </c>
      <c r="C1125" s="8">
        <f>B1125/100/12</f>
        <v/>
      </c>
      <c r="D1125" s="8">
        <f>D1124*(1+C1125)</f>
        <v/>
      </c>
    </row>
    <row r="1126">
      <c r="A1126" s="8" t="inlineStr">
        <is>
          <t>1950-05-01</t>
        </is>
      </c>
      <c r="B1126" s="6" t="n">
        <v>1.16</v>
      </c>
      <c r="C1126" s="8">
        <f>B1126/100/12</f>
        <v/>
      </c>
      <c r="D1126" s="8">
        <f>D1125*(1+C1126)</f>
        <v/>
      </c>
    </row>
    <row r="1127">
      <c r="A1127" s="8" t="inlineStr">
        <is>
          <t>1950-06-01</t>
        </is>
      </c>
      <c r="B1127" s="6" t="n">
        <v>1.15</v>
      </c>
      <c r="C1127" s="8">
        <f>B1127/100/12</f>
        <v/>
      </c>
      <c r="D1127" s="8">
        <f>D1126*(1+C1127)</f>
        <v/>
      </c>
    </row>
    <row r="1128">
      <c r="A1128" s="8" t="inlineStr">
        <is>
          <t>1950-07-01</t>
        </is>
      </c>
      <c r="B1128" s="6" t="n">
        <v>1.16</v>
      </c>
      <c r="C1128" s="8">
        <f>B1128/100/12</f>
        <v/>
      </c>
      <c r="D1128" s="8">
        <f>D1127*(1+C1128)</f>
        <v/>
      </c>
    </row>
    <row r="1129">
      <c r="A1129" s="8" t="inlineStr">
        <is>
          <t>1950-08-01</t>
        </is>
      </c>
      <c r="B1129" s="6" t="n">
        <v>1.2</v>
      </c>
      <c r="C1129" s="8">
        <f>B1129/100/12</f>
        <v/>
      </c>
      <c r="D1129" s="8">
        <f>D1128*(1+C1129)</f>
        <v/>
      </c>
    </row>
    <row r="1130">
      <c r="A1130" s="8" t="inlineStr">
        <is>
          <t>1950-09-01</t>
        </is>
      </c>
      <c r="B1130" s="6" t="n">
        <v>1.3</v>
      </c>
      <c r="C1130" s="8">
        <f>B1130/100/12</f>
        <v/>
      </c>
      <c r="D1130" s="8">
        <f>D1129*(1+C1130)</f>
        <v/>
      </c>
    </row>
    <row r="1131">
      <c r="A1131" s="8" t="inlineStr">
        <is>
          <t>1950-10-01</t>
        </is>
      </c>
      <c r="B1131" s="6" t="n">
        <v>1.31</v>
      </c>
      <c r="C1131" s="8">
        <f>B1131/100/12</f>
        <v/>
      </c>
      <c r="D1131" s="8">
        <f>D1130*(1+C1131)</f>
        <v/>
      </c>
    </row>
    <row r="1132">
      <c r="A1132" s="8" t="inlineStr">
        <is>
          <t>1950-11-01</t>
        </is>
      </c>
      <c r="B1132" s="6" t="n">
        <v>1.36</v>
      </c>
      <c r="C1132" s="8">
        <f>B1132/100/12</f>
        <v/>
      </c>
      <c r="D1132" s="8">
        <f>D1131*(1+C1132)</f>
        <v/>
      </c>
    </row>
    <row r="1133">
      <c r="A1133" s="8" t="inlineStr">
        <is>
          <t>1950-12-01</t>
        </is>
      </c>
      <c r="B1133" s="6" t="n">
        <v>1.34</v>
      </c>
      <c r="C1133" s="8">
        <f>B1133/100/12</f>
        <v/>
      </c>
      <c r="D1133" s="8">
        <f>D1132*(1+C1133)</f>
        <v/>
      </c>
    </row>
    <row r="1134">
      <c r="A1134" s="8" t="inlineStr">
        <is>
          <t>1951-01-01</t>
        </is>
      </c>
      <c r="B1134" s="6" t="n">
        <v>1.34</v>
      </c>
      <c r="C1134" s="8">
        <f>B1134/100/12</f>
        <v/>
      </c>
      <c r="D1134" s="8">
        <f>D1133*(1+C1134)</f>
        <v/>
      </c>
    </row>
    <row r="1135">
      <c r="A1135" s="8" t="inlineStr">
        <is>
          <t>1951-02-01</t>
        </is>
      </c>
      <c r="B1135" s="6" t="n">
        <v>1.36</v>
      </c>
      <c r="C1135" s="8">
        <f>B1135/100/12</f>
        <v/>
      </c>
      <c r="D1135" s="8">
        <f>D1134*(1+C1135)</f>
        <v/>
      </c>
    </row>
    <row r="1136">
      <c r="A1136" s="8" t="inlineStr">
        <is>
          <t>1951-03-01</t>
        </is>
      </c>
      <c r="B1136" s="6" t="n">
        <v>1.4</v>
      </c>
      <c r="C1136" s="8">
        <f>B1136/100/12</f>
        <v/>
      </c>
      <c r="D1136" s="8">
        <f>D1135*(1+C1136)</f>
        <v/>
      </c>
    </row>
    <row r="1137">
      <c r="A1137" s="8" t="inlineStr">
        <is>
          <t>1951-04-01</t>
        </is>
      </c>
      <c r="B1137" s="6" t="n">
        <v>1.47</v>
      </c>
      <c r="C1137" s="8">
        <f>B1137/100/12</f>
        <v/>
      </c>
      <c r="D1137" s="8">
        <f>D1136*(1+C1137)</f>
        <v/>
      </c>
    </row>
    <row r="1138">
      <c r="A1138" s="8" t="inlineStr">
        <is>
          <t>1951-05-01</t>
        </is>
      </c>
      <c r="B1138" s="6" t="n">
        <v>1.55</v>
      </c>
      <c r="C1138" s="8">
        <f>B1138/100/12</f>
        <v/>
      </c>
      <c r="D1138" s="8">
        <f>D1137*(1+C1138)</f>
        <v/>
      </c>
    </row>
    <row r="1139">
      <c r="A1139" s="8" t="inlineStr">
        <is>
          <t>1951-06-01</t>
        </is>
      </c>
      <c r="B1139" s="6" t="n">
        <v>1.45</v>
      </c>
      <c r="C1139" s="8">
        <f>B1139/100/12</f>
        <v/>
      </c>
      <c r="D1139" s="8">
        <f>D1138*(1+C1139)</f>
        <v/>
      </c>
    </row>
    <row r="1140">
      <c r="A1140" s="8" t="inlineStr">
        <is>
          <t>1951-07-01</t>
        </is>
      </c>
      <c r="B1140" s="6" t="n">
        <v>1.56</v>
      </c>
      <c r="C1140" s="8">
        <f>B1140/100/12</f>
        <v/>
      </c>
      <c r="D1140" s="8">
        <f>D1139*(1+C1140)</f>
        <v/>
      </c>
    </row>
    <row r="1141">
      <c r="A1141" s="8" t="inlineStr">
        <is>
          <t>1951-08-01</t>
        </is>
      </c>
      <c r="B1141" s="6" t="n">
        <v>1.62</v>
      </c>
      <c r="C1141" s="8">
        <f>B1141/100/12</f>
        <v/>
      </c>
      <c r="D1141" s="8">
        <f>D1140*(1+C1141)</f>
        <v/>
      </c>
    </row>
    <row r="1142">
      <c r="A1142" s="8" t="inlineStr">
        <is>
          <t>1951-09-01</t>
        </is>
      </c>
      <c r="B1142" s="6" t="n">
        <v>1.63</v>
      </c>
      <c r="C1142" s="8">
        <f>B1142/100/12</f>
        <v/>
      </c>
      <c r="D1142" s="8">
        <f>D1141*(1+C1142)</f>
        <v/>
      </c>
    </row>
    <row r="1143">
      <c r="A1143" s="8" t="inlineStr">
        <is>
          <t>1951-10-01</t>
        </is>
      </c>
      <c r="B1143" s="6" t="n">
        <v>1.54</v>
      </c>
      <c r="C1143" s="8">
        <f>B1143/100/12</f>
        <v/>
      </c>
      <c r="D1143" s="8">
        <f>D1142*(1+C1143)</f>
        <v/>
      </c>
    </row>
    <row r="1144">
      <c r="A1144" s="8" t="inlineStr">
        <is>
          <t>1951-11-01</t>
        </is>
      </c>
      <c r="B1144" s="6" t="n">
        <v>1.56</v>
      </c>
      <c r="C1144" s="8">
        <f>B1144/100/12</f>
        <v/>
      </c>
      <c r="D1144" s="8">
        <f>D1143*(1+C1144)</f>
        <v/>
      </c>
    </row>
    <row r="1145">
      <c r="A1145" s="8" t="inlineStr">
        <is>
          <t>1951-12-01</t>
        </is>
      </c>
      <c r="B1145" s="6" t="n">
        <v>1.73</v>
      </c>
      <c r="C1145" s="8">
        <f>B1145/100/12</f>
        <v/>
      </c>
      <c r="D1145" s="8">
        <f>D1144*(1+C1145)</f>
        <v/>
      </c>
    </row>
    <row r="1146">
      <c r="A1146" s="8" t="inlineStr">
        <is>
          <t>1952-01-01</t>
        </is>
      </c>
      <c r="B1146" s="6" t="n">
        <v>1.57</v>
      </c>
      <c r="C1146" s="8">
        <f>B1146/100/12</f>
        <v/>
      </c>
      <c r="D1146" s="8">
        <f>D1145*(1+C1146)</f>
        <v/>
      </c>
    </row>
    <row r="1147">
      <c r="A1147" s="8" t="inlineStr">
        <is>
          <t>1952-02-01</t>
        </is>
      </c>
      <c r="B1147" s="6" t="n">
        <v>1.54</v>
      </c>
      <c r="C1147" s="8">
        <f>B1147/100/12</f>
        <v/>
      </c>
      <c r="D1147" s="8">
        <f>D1146*(1+C1147)</f>
        <v/>
      </c>
    </row>
    <row r="1148">
      <c r="A1148" s="8" t="inlineStr">
        <is>
          <t>1952-03-01</t>
        </is>
      </c>
      <c r="B1148" s="6" t="n">
        <v>1.59</v>
      </c>
      <c r="C1148" s="8">
        <f>B1148/100/12</f>
        <v/>
      </c>
      <c r="D1148" s="8">
        <f>D1147*(1+C1148)</f>
        <v/>
      </c>
    </row>
    <row r="1149">
      <c r="A1149" s="8" t="inlineStr">
        <is>
          <t>1952-04-01</t>
        </is>
      </c>
      <c r="B1149" s="6" t="n">
        <v>1.57</v>
      </c>
      <c r="C1149" s="8">
        <f>B1149/100/12</f>
        <v/>
      </c>
      <c r="D1149" s="8">
        <f>D1148*(1+C1149)</f>
        <v/>
      </c>
    </row>
    <row r="1150">
      <c r="A1150" s="8" t="inlineStr">
        <is>
          <t>1952-05-01</t>
        </is>
      </c>
      <c r="B1150" s="6" t="n">
        <v>1.67</v>
      </c>
      <c r="C1150" s="8">
        <f>B1150/100/12</f>
        <v/>
      </c>
      <c r="D1150" s="8">
        <f>D1149*(1+C1150)</f>
        <v/>
      </c>
    </row>
    <row r="1151">
      <c r="A1151" s="8" t="inlineStr">
        <is>
          <t>1952-06-01</t>
        </is>
      </c>
      <c r="B1151" s="6" t="n">
        <v>1.7</v>
      </c>
      <c r="C1151" s="8">
        <f>B1151/100/12</f>
        <v/>
      </c>
      <c r="D1151" s="8">
        <f>D1150*(1+C1151)</f>
        <v/>
      </c>
    </row>
    <row r="1152">
      <c r="A1152" s="8" t="inlineStr">
        <is>
          <t>1952-07-01</t>
        </is>
      </c>
      <c r="B1152" s="6" t="n">
        <v>1.81</v>
      </c>
      <c r="C1152" s="8">
        <f>B1152/100/12</f>
        <v/>
      </c>
      <c r="D1152" s="8">
        <f>D1151*(1+C1152)</f>
        <v/>
      </c>
    </row>
    <row r="1153">
      <c r="A1153" s="8" t="inlineStr">
        <is>
          <t>1952-08-01</t>
        </is>
      </c>
      <c r="B1153" s="6" t="n">
        <v>1.83</v>
      </c>
      <c r="C1153" s="8">
        <f>B1153/100/12</f>
        <v/>
      </c>
      <c r="D1153" s="8">
        <f>D1152*(1+C1153)</f>
        <v/>
      </c>
    </row>
    <row r="1154">
      <c r="A1154" s="8" t="inlineStr">
        <is>
          <t>1952-09-01</t>
        </is>
      </c>
      <c r="B1154" s="6" t="n">
        <v>1.71</v>
      </c>
      <c r="C1154" s="8">
        <f>B1154/100/12</f>
        <v/>
      </c>
      <c r="D1154" s="8">
        <f>D1153*(1+C1154)</f>
        <v/>
      </c>
    </row>
    <row r="1155">
      <c r="A1155" s="8" t="inlineStr">
        <is>
          <t>1952-10-01</t>
        </is>
      </c>
      <c r="B1155" s="6" t="n">
        <v>1.74</v>
      </c>
      <c r="C1155" s="8">
        <f>B1155/100/12</f>
        <v/>
      </c>
      <c r="D1155" s="8">
        <f>D1154*(1+C1155)</f>
        <v/>
      </c>
    </row>
    <row r="1156">
      <c r="A1156" s="8" t="inlineStr">
        <is>
          <t>1952-11-01</t>
        </is>
      </c>
      <c r="B1156" s="6" t="n">
        <v>1.85</v>
      </c>
      <c r="C1156" s="8">
        <f>B1156/100/12</f>
        <v/>
      </c>
      <c r="D1156" s="8">
        <f>D1155*(1+C1156)</f>
        <v/>
      </c>
    </row>
    <row r="1157">
      <c r="A1157" s="8" t="inlineStr">
        <is>
          <t>1952-12-01</t>
        </is>
      </c>
      <c r="B1157" s="6" t="n">
        <v>2.09</v>
      </c>
      <c r="C1157" s="8">
        <f>B1157/100/12</f>
        <v/>
      </c>
      <c r="D1157" s="8">
        <f>D1156*(1+C1157)</f>
        <v/>
      </c>
    </row>
    <row r="1158">
      <c r="A1158" s="8" t="inlineStr">
        <is>
          <t>1953-01-01</t>
        </is>
      </c>
      <c r="B1158" s="6" t="n">
        <v>1.96</v>
      </c>
      <c r="C1158" s="8">
        <f>B1158/100/12</f>
        <v/>
      </c>
      <c r="D1158" s="8">
        <f>D1157*(1+C1158)</f>
        <v/>
      </c>
    </row>
    <row r="1159">
      <c r="A1159" s="8" t="inlineStr">
        <is>
          <t>1953-02-01</t>
        </is>
      </c>
      <c r="B1159" s="6" t="n">
        <v>1.97</v>
      </c>
      <c r="C1159" s="8">
        <f>B1159/100/12</f>
        <v/>
      </c>
      <c r="D1159" s="8">
        <f>D1158*(1+C1159)</f>
        <v/>
      </c>
    </row>
    <row r="1160">
      <c r="A1160" s="8" t="inlineStr">
        <is>
          <t>1953-03-01</t>
        </is>
      </c>
      <c r="B1160" s="6" t="n">
        <v>2.01</v>
      </c>
      <c r="C1160" s="8">
        <f>B1160/100/12</f>
        <v/>
      </c>
      <c r="D1160" s="8">
        <f>D1159*(1+C1160)</f>
        <v/>
      </c>
    </row>
    <row r="1161">
      <c r="A1161" s="8" t="inlineStr">
        <is>
          <t>1953-04-01</t>
        </is>
      </c>
      <c r="B1161" s="6" t="n">
        <v>2.19</v>
      </c>
      <c r="C1161" s="8">
        <f>B1161/100/12</f>
        <v/>
      </c>
      <c r="D1161" s="8">
        <f>D1160*(1+C1161)</f>
        <v/>
      </c>
    </row>
    <row r="1162">
      <c r="A1162" s="8" t="inlineStr">
        <is>
          <t>1953-05-01</t>
        </is>
      </c>
      <c r="B1162" s="6" t="n">
        <v>2.16</v>
      </c>
      <c r="C1162" s="8">
        <f>B1162/100/12</f>
        <v/>
      </c>
      <c r="D1162" s="8">
        <f>D1161*(1+C1162)</f>
        <v/>
      </c>
    </row>
    <row r="1163">
      <c r="A1163" s="8" t="inlineStr">
        <is>
          <t>1953-06-01</t>
        </is>
      </c>
      <c r="B1163" s="6" t="n">
        <v>2.11</v>
      </c>
      <c r="C1163" s="8">
        <f>B1163/100/12</f>
        <v/>
      </c>
      <c r="D1163" s="8">
        <f>D1162*(1+C1163)</f>
        <v/>
      </c>
    </row>
    <row r="1164">
      <c r="A1164" s="8" t="inlineStr">
        <is>
          <t>1953-07-01</t>
        </is>
      </c>
      <c r="B1164" s="6" t="n">
        <v>2.04</v>
      </c>
      <c r="C1164" s="8">
        <f>B1164/100/12</f>
        <v/>
      </c>
      <c r="D1164" s="8">
        <f>D1163*(1+C1164)</f>
        <v/>
      </c>
    </row>
    <row r="1165">
      <c r="A1165" s="8" t="inlineStr">
        <is>
          <t>1953-08-01</t>
        </is>
      </c>
      <c r="B1165" s="6" t="n">
        <v>2.04</v>
      </c>
      <c r="C1165" s="8">
        <f>B1165/100/12</f>
        <v/>
      </c>
      <c r="D1165" s="8">
        <f>D1164*(1+C1165)</f>
        <v/>
      </c>
    </row>
    <row r="1166">
      <c r="A1166" s="8" t="inlineStr">
        <is>
          <t>1953-09-01</t>
        </is>
      </c>
      <c r="B1166" s="6" t="n">
        <v>1.79</v>
      </c>
      <c r="C1166" s="8">
        <f>B1166/100/12</f>
        <v/>
      </c>
      <c r="D1166" s="8">
        <f>D1165*(1+C1166)</f>
        <v/>
      </c>
    </row>
    <row r="1167">
      <c r="A1167" s="8" t="inlineStr">
        <is>
          <t>1953-10-01</t>
        </is>
      </c>
      <c r="B1167" s="6" t="n">
        <v>1.38</v>
      </c>
      <c r="C1167" s="8">
        <f>B1167/100/12</f>
        <v/>
      </c>
      <c r="D1167" s="8">
        <f>D1166*(1+C1167)</f>
        <v/>
      </c>
    </row>
    <row r="1168">
      <c r="A1168" s="8" t="inlineStr">
        <is>
          <t>1953-11-01</t>
        </is>
      </c>
      <c r="B1168" s="6" t="n">
        <v>1.44</v>
      </c>
      <c r="C1168" s="8">
        <f>B1168/100/12</f>
        <v/>
      </c>
      <c r="D1168" s="8">
        <f>D1167*(1+C1168)</f>
        <v/>
      </c>
    </row>
    <row r="1169">
      <c r="A1169" s="8" t="inlineStr">
        <is>
          <t>1953-12-01</t>
        </is>
      </c>
      <c r="B1169" s="6" t="n">
        <v>1.6</v>
      </c>
      <c r="C1169" s="8">
        <f>B1169/100/12</f>
        <v/>
      </c>
      <c r="D1169" s="8">
        <f>D1168*(1+C1169)</f>
        <v/>
      </c>
    </row>
    <row r="1170">
      <c r="A1170" s="8" t="inlineStr">
        <is>
          <t>1954-01-01</t>
        </is>
      </c>
      <c r="B1170" s="6" t="n">
        <v>1.18</v>
      </c>
      <c r="C1170" s="8">
        <f>B1170/100/12</f>
        <v/>
      </c>
      <c r="D1170" s="8">
        <f>D1169*(1+C1170)</f>
        <v/>
      </c>
    </row>
    <row r="1171">
      <c r="A1171" s="8" t="inlineStr">
        <is>
          <t>1954-02-01</t>
        </is>
      </c>
      <c r="B1171" s="6" t="n">
        <v>0.97</v>
      </c>
      <c r="C1171" s="8">
        <f>B1171/100/12</f>
        <v/>
      </c>
      <c r="D1171" s="8">
        <f>D1170*(1+C1171)</f>
        <v/>
      </c>
    </row>
    <row r="1172">
      <c r="A1172" s="8" t="inlineStr">
        <is>
          <t>1954-03-01</t>
        </is>
      </c>
      <c r="B1172" s="6" t="n">
        <v>1.03</v>
      </c>
      <c r="C1172" s="8">
        <f>B1172/100/12</f>
        <v/>
      </c>
      <c r="D1172" s="8">
        <f>D1171*(1+C1172)</f>
        <v/>
      </c>
    </row>
    <row r="1173">
      <c r="A1173" s="8" t="inlineStr">
        <is>
          <t>1954-04-01</t>
        </is>
      </c>
      <c r="B1173" s="6" t="n">
        <v>0.97</v>
      </c>
      <c r="C1173" s="8">
        <f>B1173/100/12</f>
        <v/>
      </c>
      <c r="D1173" s="8">
        <f>D1172*(1+C1173)</f>
        <v/>
      </c>
    </row>
    <row r="1174">
      <c r="A1174" s="8" t="inlineStr">
        <is>
          <t>1954-05-01</t>
        </is>
      </c>
      <c r="B1174" s="6" t="n">
        <v>0.76</v>
      </c>
      <c r="C1174" s="8">
        <f>B1174/100/12</f>
        <v/>
      </c>
      <c r="D1174" s="8">
        <f>D1173*(1+C1174)</f>
        <v/>
      </c>
    </row>
    <row r="1175">
      <c r="A1175" s="8" t="inlineStr">
        <is>
          <t>1954-06-01</t>
        </is>
      </c>
      <c r="B1175" s="6" t="n">
        <v>0.64</v>
      </c>
      <c r="C1175" s="8">
        <f>B1175/100/12</f>
        <v/>
      </c>
      <c r="D1175" s="8">
        <f>D1174*(1+C1175)</f>
        <v/>
      </c>
    </row>
    <row r="1176">
      <c r="A1176" s="8" t="inlineStr">
        <is>
          <t>1954-07-01</t>
        </is>
      </c>
      <c r="B1176" s="6" t="n">
        <v>0.72</v>
      </c>
      <c r="C1176" s="8">
        <f>B1176/100/12</f>
        <v/>
      </c>
      <c r="D1176" s="8">
        <f>D1175*(1+C1176)</f>
        <v/>
      </c>
    </row>
    <row r="1177">
      <c r="A1177" s="8" t="inlineStr">
        <is>
          <t>1954-08-01</t>
        </is>
      </c>
      <c r="B1177" s="6" t="n">
        <v>0.92</v>
      </c>
      <c r="C1177" s="8">
        <f>B1177/100/12</f>
        <v/>
      </c>
      <c r="D1177" s="8">
        <f>D1176*(1+C1177)</f>
        <v/>
      </c>
    </row>
    <row r="1178">
      <c r="A1178" s="8" t="inlineStr">
        <is>
          <t>1954-09-01</t>
        </is>
      </c>
      <c r="B1178" s="6" t="n">
        <v>1.01</v>
      </c>
      <c r="C1178" s="8">
        <f>B1178/100/12</f>
        <v/>
      </c>
      <c r="D1178" s="8">
        <f>D1177*(1+C1178)</f>
        <v/>
      </c>
    </row>
    <row r="1179">
      <c r="A1179" s="8" t="inlineStr">
        <is>
          <t>1954-10-01</t>
        </is>
      </c>
      <c r="B1179" s="6" t="n">
        <v>0.98</v>
      </c>
      <c r="C1179" s="8">
        <f>B1179/100/12</f>
        <v/>
      </c>
      <c r="D1179" s="8">
        <f>D1178*(1+C1179)</f>
        <v/>
      </c>
    </row>
    <row r="1180">
      <c r="A1180" s="8" t="inlineStr">
        <is>
          <t>1954-11-01</t>
        </is>
      </c>
      <c r="B1180" s="6" t="n">
        <v>0.93</v>
      </c>
      <c r="C1180" s="8">
        <f>B1180/100/12</f>
        <v/>
      </c>
      <c r="D1180" s="8">
        <f>D1179*(1+C1180)</f>
        <v/>
      </c>
    </row>
    <row r="1181">
      <c r="A1181" s="8" t="inlineStr">
        <is>
          <t>1954-12-01</t>
        </is>
      </c>
      <c r="B1181" s="6" t="n">
        <v>1.15</v>
      </c>
      <c r="C1181" s="8">
        <f>B1181/100/12</f>
        <v/>
      </c>
      <c r="D1181" s="8">
        <f>D1180*(1+C1181)</f>
        <v/>
      </c>
    </row>
    <row r="1182">
      <c r="A1182" s="8" t="inlineStr">
        <is>
          <t>1955-01-01</t>
        </is>
      </c>
      <c r="B1182" s="6" t="n">
        <v>1.22</v>
      </c>
      <c r="C1182" s="8">
        <f>B1182/100/12</f>
        <v/>
      </c>
      <c r="D1182" s="8">
        <f>D1181*(1+C1182)</f>
        <v/>
      </c>
    </row>
    <row r="1183">
      <c r="A1183" s="8" t="inlineStr">
        <is>
          <t>1955-02-01</t>
        </is>
      </c>
      <c r="B1183" s="6" t="n">
        <v>1.17</v>
      </c>
      <c r="C1183" s="8">
        <f>B1183/100/12</f>
        <v/>
      </c>
      <c r="D1183" s="8">
        <f>D1182*(1+C1183)</f>
        <v/>
      </c>
    </row>
    <row r="1184">
      <c r="A1184" s="8" t="inlineStr">
        <is>
          <t>1955-03-01</t>
        </is>
      </c>
      <c r="B1184" s="6" t="n">
        <v>1.28</v>
      </c>
      <c r="C1184" s="8">
        <f>B1184/100/12</f>
        <v/>
      </c>
      <c r="D1184" s="8">
        <f>D1183*(1+C1184)</f>
        <v/>
      </c>
    </row>
    <row r="1185">
      <c r="A1185" s="8" t="inlineStr">
        <is>
          <t>1955-04-01</t>
        </is>
      </c>
      <c r="B1185" s="6" t="n">
        <v>1.59</v>
      </c>
      <c r="C1185" s="8">
        <f>B1185/100/12</f>
        <v/>
      </c>
      <c r="D1185" s="8">
        <f>D1184*(1+C1185)</f>
        <v/>
      </c>
    </row>
    <row r="1186">
      <c r="A1186" s="8" t="inlineStr">
        <is>
          <t>1955-05-01</t>
        </is>
      </c>
      <c r="B1186" s="6" t="n">
        <v>1.45</v>
      </c>
      <c r="C1186" s="8">
        <f>B1186/100/12</f>
        <v/>
      </c>
      <c r="D1186" s="8">
        <f>D1185*(1+C1186)</f>
        <v/>
      </c>
    </row>
    <row r="1187">
      <c r="A1187" s="8" t="inlineStr">
        <is>
          <t>1955-06-01</t>
        </is>
      </c>
      <c r="B1187" s="6" t="n">
        <v>1.41</v>
      </c>
      <c r="C1187" s="8">
        <f>B1187/100/12</f>
        <v/>
      </c>
      <c r="D1187" s="8">
        <f>D1186*(1+C1187)</f>
        <v/>
      </c>
    </row>
    <row r="1188">
      <c r="A1188" s="8" t="inlineStr">
        <is>
          <t>1955-07-01</t>
        </is>
      </c>
      <c r="B1188" s="6" t="n">
        <v>1.6</v>
      </c>
      <c r="C1188" s="8">
        <f>B1188/100/12</f>
        <v/>
      </c>
      <c r="D1188" s="8">
        <f>D1187*(1+C1188)</f>
        <v/>
      </c>
    </row>
    <row r="1189">
      <c r="A1189" s="8" t="inlineStr">
        <is>
          <t>1955-08-01</t>
        </is>
      </c>
      <c r="B1189" s="6" t="n">
        <v>1.9</v>
      </c>
      <c r="C1189" s="8">
        <f>B1189/100/12</f>
        <v/>
      </c>
      <c r="D1189" s="8">
        <f>D1188*(1+C1189)</f>
        <v/>
      </c>
    </row>
    <row r="1190">
      <c r="A1190" s="8" t="inlineStr">
        <is>
          <t>1955-09-01</t>
        </is>
      </c>
      <c r="B1190" s="6" t="n">
        <v>2.07</v>
      </c>
      <c r="C1190" s="8">
        <f>B1190/100/12</f>
        <v/>
      </c>
      <c r="D1190" s="8">
        <f>D1189*(1+C1190)</f>
        <v/>
      </c>
    </row>
    <row r="1191">
      <c r="A1191" s="8" t="inlineStr">
        <is>
          <t>1955-10-01</t>
        </is>
      </c>
      <c r="B1191" s="6" t="n">
        <v>2.23</v>
      </c>
      <c r="C1191" s="8">
        <f>B1191/100/12</f>
        <v/>
      </c>
      <c r="D1191" s="8">
        <f>D1190*(1+C1191)</f>
        <v/>
      </c>
    </row>
    <row r="1192">
      <c r="A1192" s="8" t="inlineStr">
        <is>
          <t>1955-11-01</t>
        </is>
      </c>
      <c r="B1192" s="6" t="n">
        <v>2.24</v>
      </c>
      <c r="C1192" s="8">
        <f>B1192/100/12</f>
        <v/>
      </c>
      <c r="D1192" s="8">
        <f>D1191*(1+C1192)</f>
        <v/>
      </c>
    </row>
    <row r="1193">
      <c r="A1193" s="8" t="inlineStr">
        <is>
          <t>1955-12-01</t>
        </is>
      </c>
      <c r="B1193" s="6" t="n">
        <v>2.54</v>
      </c>
      <c r="C1193" s="8">
        <f>B1193/100/12</f>
        <v/>
      </c>
      <c r="D1193" s="8">
        <f>D1192*(1+C1193)</f>
        <v/>
      </c>
    </row>
    <row r="1194">
      <c r="A1194" s="8" t="inlineStr">
        <is>
          <t>1956-01-01</t>
        </is>
      </c>
      <c r="B1194" s="6" t="n">
        <v>2.41</v>
      </c>
      <c r="C1194" s="8">
        <f>B1194/100/12</f>
        <v/>
      </c>
      <c r="D1194" s="8">
        <f>D1193*(1+C1194)</f>
        <v/>
      </c>
    </row>
    <row r="1195">
      <c r="A1195" s="8" t="inlineStr">
        <is>
          <t>1956-02-01</t>
        </is>
      </c>
      <c r="B1195" s="6" t="n">
        <v>2.32</v>
      </c>
      <c r="C1195" s="8">
        <f>B1195/100/12</f>
        <v/>
      </c>
      <c r="D1195" s="8">
        <f>D1194*(1+C1195)</f>
        <v/>
      </c>
    </row>
    <row r="1196">
      <c r="A1196" s="8" t="inlineStr">
        <is>
          <t>1956-03-01</t>
        </is>
      </c>
      <c r="B1196" s="6" t="n">
        <v>2.25</v>
      </c>
      <c r="C1196" s="8">
        <f>B1196/100/12</f>
        <v/>
      </c>
      <c r="D1196" s="8">
        <f>D1195*(1+C1196)</f>
        <v/>
      </c>
    </row>
    <row r="1197">
      <c r="A1197" s="8" t="inlineStr">
        <is>
          <t>1956-04-01</t>
        </is>
      </c>
      <c r="B1197" s="6" t="n">
        <v>2.6</v>
      </c>
      <c r="C1197" s="8">
        <f>B1197/100/12</f>
        <v/>
      </c>
      <c r="D1197" s="8">
        <f>D1196*(1+C1197)</f>
        <v/>
      </c>
    </row>
    <row r="1198">
      <c r="A1198" s="8" t="inlineStr">
        <is>
          <t>1956-05-01</t>
        </is>
      </c>
      <c r="B1198" s="6" t="n">
        <v>2.61</v>
      </c>
      <c r="C1198" s="8">
        <f>B1198/100/12</f>
        <v/>
      </c>
      <c r="D1198" s="8">
        <f>D1197*(1+C1198)</f>
        <v/>
      </c>
    </row>
    <row r="1199">
      <c r="A1199" s="8" t="inlineStr">
        <is>
          <t>1956-06-01</t>
        </is>
      </c>
      <c r="B1199" s="6" t="n">
        <v>2.49</v>
      </c>
      <c r="C1199" s="8">
        <f>B1199/100/12</f>
        <v/>
      </c>
      <c r="D1199" s="8">
        <f>D1198*(1+C1199)</f>
        <v/>
      </c>
    </row>
    <row r="1200">
      <c r="A1200" s="8" t="inlineStr">
        <is>
          <t>1956-07-01</t>
        </is>
      </c>
      <c r="B1200" s="6" t="n">
        <v>2.31</v>
      </c>
      <c r="C1200" s="8">
        <f>B1200/100/12</f>
        <v/>
      </c>
      <c r="D1200" s="8">
        <f>D1199*(1+C1200)</f>
        <v/>
      </c>
    </row>
    <row r="1201">
      <c r="A1201" s="8" t="inlineStr">
        <is>
          <t>1956-08-01</t>
        </is>
      </c>
      <c r="B1201" s="6" t="n">
        <v>2.6</v>
      </c>
      <c r="C1201" s="8">
        <f>B1201/100/12</f>
        <v/>
      </c>
      <c r="D1201" s="8">
        <f>D1200*(1+C1201)</f>
        <v/>
      </c>
    </row>
    <row r="1202">
      <c r="A1202" s="8" t="inlineStr">
        <is>
          <t>1956-09-01</t>
        </is>
      </c>
      <c r="B1202" s="6" t="n">
        <v>2.84</v>
      </c>
      <c r="C1202" s="8">
        <f>B1202/100/12</f>
        <v/>
      </c>
      <c r="D1202" s="8">
        <f>D1201*(1+C1202)</f>
        <v/>
      </c>
    </row>
    <row r="1203">
      <c r="A1203" s="8" t="inlineStr">
        <is>
          <t>1956-10-01</t>
        </is>
      </c>
      <c r="B1203" s="6" t="n">
        <v>2.9</v>
      </c>
      <c r="C1203" s="8">
        <f>B1203/100/12</f>
        <v/>
      </c>
      <c r="D1203" s="8">
        <f>D1202*(1+C1203)</f>
        <v/>
      </c>
    </row>
    <row r="1204">
      <c r="A1204" s="8" t="inlineStr">
        <is>
          <t>1956-11-01</t>
        </is>
      </c>
      <c r="B1204" s="6" t="n">
        <v>2.99</v>
      </c>
      <c r="C1204" s="8">
        <f>B1204/100/12</f>
        <v/>
      </c>
      <c r="D1204" s="8">
        <f>D1203*(1+C1204)</f>
        <v/>
      </c>
    </row>
    <row r="1205">
      <c r="A1205" s="8" t="inlineStr">
        <is>
          <t>1956-12-01</t>
        </is>
      </c>
      <c r="B1205" s="6" t="n">
        <v>3.21</v>
      </c>
      <c r="C1205" s="8">
        <f>B1205/100/12</f>
        <v/>
      </c>
      <c r="D1205" s="8">
        <f>D1204*(1+C1205)</f>
        <v/>
      </c>
    </row>
    <row r="1206">
      <c r="A1206" s="8" t="inlineStr">
        <is>
          <t>1957-01-01</t>
        </is>
      </c>
      <c r="B1206" s="6" t="n">
        <v>3.11</v>
      </c>
      <c r="C1206" s="8">
        <f>B1206/100/12</f>
        <v/>
      </c>
      <c r="D1206" s="8">
        <f>D1205*(1+C1206)</f>
        <v/>
      </c>
    </row>
    <row r="1207">
      <c r="A1207" s="8" t="inlineStr">
        <is>
          <t>1957-02-01</t>
        </is>
      </c>
      <c r="B1207" s="6" t="n">
        <v>3.1</v>
      </c>
      <c r="C1207" s="8">
        <f>B1207/100/12</f>
        <v/>
      </c>
      <c r="D1207" s="8">
        <f>D1206*(1+C1207)</f>
        <v/>
      </c>
    </row>
    <row r="1208">
      <c r="A1208" s="8" t="inlineStr">
        <is>
          <t>1957-03-01</t>
        </is>
      </c>
      <c r="B1208" s="6" t="n">
        <v>3.08</v>
      </c>
      <c r="C1208" s="8">
        <f>B1208/100/12</f>
        <v/>
      </c>
      <c r="D1208" s="8">
        <f>D1207*(1+C1208)</f>
        <v/>
      </c>
    </row>
    <row r="1209">
      <c r="A1209" s="8" t="inlineStr">
        <is>
          <t>1957-04-01</t>
        </is>
      </c>
      <c r="B1209" s="6" t="n">
        <v>3.07</v>
      </c>
      <c r="C1209" s="8">
        <f>B1209/100/12</f>
        <v/>
      </c>
      <c r="D1209" s="8">
        <f>D1208*(1+C1209)</f>
        <v/>
      </c>
    </row>
    <row r="1210">
      <c r="A1210" s="8" t="inlineStr">
        <is>
          <t>1957-05-01</t>
        </is>
      </c>
      <c r="B1210" s="6" t="n">
        <v>3.06</v>
      </c>
      <c r="C1210" s="8">
        <f>B1210/100/12</f>
        <v/>
      </c>
      <c r="D1210" s="8">
        <f>D1209*(1+C1210)</f>
        <v/>
      </c>
    </row>
    <row r="1211">
      <c r="A1211" s="8" t="inlineStr">
        <is>
          <t>1957-06-01</t>
        </is>
      </c>
      <c r="B1211" s="6" t="n">
        <v>3.29</v>
      </c>
      <c r="C1211" s="8">
        <f>B1211/100/12</f>
        <v/>
      </c>
      <c r="D1211" s="8">
        <f>D1210*(1+C1211)</f>
        <v/>
      </c>
    </row>
    <row r="1212">
      <c r="A1212" s="8" t="inlineStr">
        <is>
          <t>1957-07-01</t>
        </is>
      </c>
      <c r="B1212" s="6" t="n">
        <v>3.16</v>
      </c>
      <c r="C1212" s="8">
        <f>B1212/100/12</f>
        <v/>
      </c>
      <c r="D1212" s="8">
        <f>D1211*(1+C1212)</f>
        <v/>
      </c>
    </row>
    <row r="1213">
      <c r="A1213" s="8" t="inlineStr">
        <is>
          <t>1957-08-01</t>
        </is>
      </c>
      <c r="B1213" s="6" t="n">
        <v>3.37</v>
      </c>
      <c r="C1213" s="8">
        <f>B1213/100/12</f>
        <v/>
      </c>
      <c r="D1213" s="8">
        <f>D1212*(1+C1213)</f>
        <v/>
      </c>
    </row>
    <row r="1214">
      <c r="A1214" s="8" t="inlineStr">
        <is>
          <t>1957-09-01</t>
        </is>
      </c>
      <c r="B1214" s="6" t="n">
        <v>3.53</v>
      </c>
      <c r="C1214" s="8">
        <f>B1214/100/12</f>
        <v/>
      </c>
      <c r="D1214" s="8">
        <f>D1213*(1+C1214)</f>
        <v/>
      </c>
    </row>
    <row r="1215">
      <c r="A1215" s="8" t="inlineStr">
        <is>
          <t>1957-10-01</t>
        </is>
      </c>
      <c r="B1215" s="6" t="n">
        <v>3.58</v>
      </c>
      <c r="C1215" s="8">
        <f>B1215/100/12</f>
        <v/>
      </c>
      <c r="D1215" s="8">
        <f>D1214*(1+C1215)</f>
        <v/>
      </c>
    </row>
    <row r="1216">
      <c r="A1216" s="8" t="inlineStr">
        <is>
          <t>1957-11-01</t>
        </is>
      </c>
      <c r="B1216" s="6" t="n">
        <v>3.31</v>
      </c>
      <c r="C1216" s="8">
        <f>B1216/100/12</f>
        <v/>
      </c>
      <c r="D1216" s="8">
        <f>D1215*(1+C1216)</f>
        <v/>
      </c>
    </row>
    <row r="1217">
      <c r="A1217" s="8" t="inlineStr">
        <is>
          <t>1957-12-01</t>
        </is>
      </c>
      <c r="B1217" s="6" t="n">
        <v>3.04</v>
      </c>
      <c r="C1217" s="8">
        <f>B1217/100/12</f>
        <v/>
      </c>
      <c r="D1217" s="8">
        <f>D1216*(1+C1217)</f>
        <v/>
      </c>
    </row>
    <row r="1218">
      <c r="A1218" s="8" t="inlineStr">
        <is>
          <t>1958-01-01</t>
        </is>
      </c>
      <c r="B1218" s="6" t="n">
        <v>2.44</v>
      </c>
      <c r="C1218" s="8">
        <f>B1218/100/12</f>
        <v/>
      </c>
      <c r="D1218" s="8">
        <f>D1217*(1+C1218)</f>
        <v/>
      </c>
    </row>
    <row r="1219">
      <c r="A1219" s="8" t="inlineStr">
        <is>
          <t>1958-02-01</t>
        </is>
      </c>
      <c r="B1219" s="6" t="n">
        <v>1.53</v>
      </c>
      <c r="C1219" s="8">
        <f>B1219/100/12</f>
        <v/>
      </c>
      <c r="D1219" s="8">
        <f>D1218*(1+C1219)</f>
        <v/>
      </c>
    </row>
    <row r="1220">
      <c r="A1220" s="8" t="inlineStr">
        <is>
          <t>1958-03-01</t>
        </is>
      </c>
      <c r="B1220" s="6" t="n">
        <v>1.3</v>
      </c>
      <c r="C1220" s="8">
        <f>B1220/100/12</f>
        <v/>
      </c>
      <c r="D1220" s="8">
        <f>D1219*(1+C1220)</f>
        <v/>
      </c>
    </row>
    <row r="1221">
      <c r="A1221" s="8" t="inlineStr">
        <is>
          <t>1958-04-01</t>
        </is>
      </c>
      <c r="B1221" s="6" t="n">
        <v>1.13</v>
      </c>
      <c r="C1221" s="8">
        <f>B1221/100/12</f>
        <v/>
      </c>
      <c r="D1221" s="8">
        <f>D1220*(1+C1221)</f>
        <v/>
      </c>
    </row>
    <row r="1222">
      <c r="A1222" s="8" t="inlineStr">
        <is>
          <t>1958-05-01</t>
        </is>
      </c>
      <c r="B1222" s="6" t="n">
        <v>0.91</v>
      </c>
      <c r="C1222" s="8">
        <f>B1222/100/12</f>
        <v/>
      </c>
      <c r="D1222" s="8">
        <f>D1221*(1+C1222)</f>
        <v/>
      </c>
    </row>
    <row r="1223">
      <c r="A1223" s="8" t="inlineStr">
        <is>
          <t>1958-06-01</t>
        </is>
      </c>
      <c r="B1223" s="6" t="n">
        <v>0.83</v>
      </c>
      <c r="C1223" s="8">
        <f>B1223/100/12</f>
        <v/>
      </c>
      <c r="D1223" s="8">
        <f>D1222*(1+C1223)</f>
        <v/>
      </c>
    </row>
    <row r="1224">
      <c r="A1224" s="8" t="inlineStr">
        <is>
          <t>1958-07-01</t>
        </is>
      </c>
      <c r="B1224" s="6" t="n">
        <v>0.91</v>
      </c>
      <c r="C1224" s="8">
        <f>B1224/100/12</f>
        <v/>
      </c>
      <c r="D1224" s="8">
        <f>D1223*(1+C1224)</f>
        <v/>
      </c>
    </row>
    <row r="1225">
      <c r="A1225" s="8" t="inlineStr">
        <is>
          <t>1958-08-01</t>
        </is>
      </c>
      <c r="B1225" s="6" t="n">
        <v>1.69</v>
      </c>
      <c r="C1225" s="8">
        <f>B1225/100/12</f>
        <v/>
      </c>
      <c r="D1225" s="8">
        <f>D1224*(1+C1225)</f>
        <v/>
      </c>
    </row>
    <row r="1226">
      <c r="A1226" s="8" t="inlineStr">
        <is>
          <t>1958-09-01</t>
        </is>
      </c>
      <c r="B1226" s="6" t="n">
        <v>2.44</v>
      </c>
      <c r="C1226" s="8">
        <f>B1226/100/12</f>
        <v/>
      </c>
      <c r="D1226" s="8">
        <f>D1225*(1+C1226)</f>
        <v/>
      </c>
    </row>
    <row r="1227">
      <c r="A1227" s="8" t="inlineStr">
        <is>
          <t>1958-10-01</t>
        </is>
      </c>
      <c r="B1227" s="6" t="n">
        <v>2.63</v>
      </c>
      <c r="C1227" s="8">
        <f>B1227/100/12</f>
        <v/>
      </c>
      <c r="D1227" s="8">
        <f>D1226*(1+C1227)</f>
        <v/>
      </c>
    </row>
    <row r="1228">
      <c r="A1228" s="8" t="inlineStr">
        <is>
          <t>1958-11-01</t>
        </is>
      </c>
      <c r="B1228" s="6" t="n">
        <v>2.67</v>
      </c>
      <c r="C1228" s="8">
        <f>B1228/100/12</f>
        <v/>
      </c>
      <c r="D1228" s="8">
        <f>D1227*(1+C1228)</f>
        <v/>
      </c>
    </row>
    <row r="1229">
      <c r="A1229" s="8" t="inlineStr">
        <is>
          <t>1958-12-01</t>
        </is>
      </c>
      <c r="B1229" s="6" t="n">
        <v>2.77</v>
      </c>
      <c r="C1229" s="8">
        <f>B1229/100/12</f>
        <v/>
      </c>
      <c r="D1229" s="8">
        <f>D1228*(1+C1229)</f>
        <v/>
      </c>
    </row>
    <row r="1230">
      <c r="A1230" s="8" t="inlineStr">
        <is>
          <t>1959-01-01</t>
        </is>
      </c>
      <c r="B1230" s="6" t="n">
        <v>2.82</v>
      </c>
      <c r="C1230" s="8">
        <f>B1230/100/12</f>
        <v/>
      </c>
      <c r="D1230" s="8">
        <f>D1229*(1+C1230)</f>
        <v/>
      </c>
    </row>
    <row r="1231">
      <c r="A1231" s="8" t="inlineStr">
        <is>
          <t>1959-02-01</t>
        </is>
      </c>
      <c r="B1231" s="6" t="n">
        <v>2.7</v>
      </c>
      <c r="C1231" s="8">
        <f>B1231/100/12</f>
        <v/>
      </c>
      <c r="D1231" s="8">
        <f>D1230*(1+C1231)</f>
        <v/>
      </c>
    </row>
    <row r="1232">
      <c r="A1232" s="8" t="inlineStr">
        <is>
          <t>1959-03-01</t>
        </is>
      </c>
      <c r="B1232" s="6" t="n">
        <v>2.8</v>
      </c>
      <c r="C1232" s="8">
        <f>B1232/100/12</f>
        <v/>
      </c>
      <c r="D1232" s="8">
        <f>D1231*(1+C1232)</f>
        <v/>
      </c>
    </row>
    <row r="1233">
      <c r="A1233" s="8" t="inlineStr">
        <is>
          <t>1959-04-01</t>
        </is>
      </c>
      <c r="B1233" s="6" t="n">
        <v>2.95</v>
      </c>
      <c r="C1233" s="8">
        <f>B1233/100/12</f>
        <v/>
      </c>
      <c r="D1233" s="8">
        <f>D1232*(1+C1233)</f>
        <v/>
      </c>
    </row>
    <row r="1234">
      <c r="A1234" s="8" t="inlineStr">
        <is>
          <t>1959-05-01</t>
        </is>
      </c>
      <c r="B1234" s="6" t="n">
        <v>2.84</v>
      </c>
      <c r="C1234" s="8">
        <f>B1234/100/12</f>
        <v/>
      </c>
      <c r="D1234" s="8">
        <f>D1233*(1+C1234)</f>
        <v/>
      </c>
    </row>
    <row r="1235">
      <c r="A1235" s="8" t="inlineStr">
        <is>
          <t>1959-06-01</t>
        </is>
      </c>
      <c r="B1235" s="6" t="n">
        <v>3.21</v>
      </c>
      <c r="C1235" s="8">
        <f>B1235/100/12</f>
        <v/>
      </c>
      <c r="D1235" s="8">
        <f>D1234*(1+C1235)</f>
        <v/>
      </c>
    </row>
    <row r="1236">
      <c r="A1236" s="8" t="inlineStr">
        <is>
          <t>1959-07-01</t>
        </is>
      </c>
      <c r="B1236" s="6" t="n">
        <v>3.2</v>
      </c>
      <c r="C1236" s="8">
        <f>B1236/100/12</f>
        <v/>
      </c>
      <c r="D1236" s="8">
        <f>D1235*(1+C1236)</f>
        <v/>
      </c>
    </row>
    <row r="1237">
      <c r="A1237" s="8" t="inlineStr">
        <is>
          <t>1959-08-01</t>
        </is>
      </c>
      <c r="B1237" s="6" t="n">
        <v>3.38</v>
      </c>
      <c r="C1237" s="8">
        <f>B1237/100/12</f>
        <v/>
      </c>
      <c r="D1237" s="8">
        <f>D1236*(1+C1237)</f>
        <v/>
      </c>
    </row>
    <row r="1238">
      <c r="A1238" s="8" t="inlineStr">
        <is>
          <t>1959-09-01</t>
        </is>
      </c>
      <c r="B1238" s="6" t="n">
        <v>4.04</v>
      </c>
      <c r="C1238" s="8">
        <f>B1238/100/12</f>
        <v/>
      </c>
      <c r="D1238" s="8">
        <f>D1237*(1+C1238)</f>
        <v/>
      </c>
    </row>
    <row r="1239">
      <c r="A1239" s="8" t="inlineStr">
        <is>
          <t>1959-10-01</t>
        </is>
      </c>
      <c r="B1239" s="6" t="n">
        <v>4.05</v>
      </c>
      <c r="C1239" s="8">
        <f>B1239/100/12</f>
        <v/>
      </c>
      <c r="D1239" s="8">
        <f>D1238*(1+C1239)</f>
        <v/>
      </c>
    </row>
    <row r="1240">
      <c r="A1240" s="8" t="inlineStr">
        <is>
          <t>1959-11-01</t>
        </is>
      </c>
      <c r="B1240" s="6" t="n">
        <v>4.15</v>
      </c>
      <c r="C1240" s="8">
        <f>B1240/100/12</f>
        <v/>
      </c>
      <c r="D1240" s="8">
        <f>D1239*(1+C1240)</f>
        <v/>
      </c>
    </row>
    <row r="1241">
      <c r="A1241" s="8" t="inlineStr">
        <is>
          <t>1959-12-01</t>
        </is>
      </c>
      <c r="B1241" s="6" t="n">
        <v>4.49</v>
      </c>
      <c r="C1241" s="8">
        <f>B1241/100/12</f>
        <v/>
      </c>
      <c r="D1241" s="8">
        <f>D1240*(1+C1241)</f>
        <v/>
      </c>
    </row>
    <row r="1242">
      <c r="A1242" s="8" t="inlineStr">
        <is>
          <t>1960-01-01</t>
        </is>
      </c>
      <c r="B1242" s="6" t="n">
        <v>4.35</v>
      </c>
      <c r="C1242" s="8">
        <f>B1242/100/12</f>
        <v/>
      </c>
      <c r="D1242" s="8">
        <f>D1241*(1+C1242)</f>
        <v/>
      </c>
    </row>
    <row r="1243">
      <c r="A1243" s="8" t="inlineStr">
        <is>
          <t>1960-02-01</t>
        </is>
      </c>
      <c r="B1243" s="6" t="n">
        <v>3.96</v>
      </c>
      <c r="C1243" s="8">
        <f>B1243/100/12</f>
        <v/>
      </c>
      <c r="D1243" s="8">
        <f>D1242*(1+C1243)</f>
        <v/>
      </c>
    </row>
    <row r="1244">
      <c r="A1244" s="8" t="inlineStr">
        <is>
          <t>1960-03-01</t>
        </is>
      </c>
      <c r="B1244" s="6" t="n">
        <v>3.31</v>
      </c>
      <c r="C1244" s="8">
        <f>B1244/100/12</f>
        <v/>
      </c>
      <c r="D1244" s="8">
        <f>D1243*(1+C1244)</f>
        <v/>
      </c>
    </row>
    <row r="1245">
      <c r="A1245" s="8" t="inlineStr">
        <is>
          <t>1960-04-01</t>
        </is>
      </c>
      <c r="B1245" s="6" t="n">
        <v>3.23</v>
      </c>
      <c r="C1245" s="8">
        <f>B1245/100/12</f>
        <v/>
      </c>
      <c r="D1245" s="8">
        <f>D1244*(1+C1245)</f>
        <v/>
      </c>
    </row>
    <row r="1246">
      <c r="A1246" s="8" t="inlineStr">
        <is>
          <t>1960-05-01</t>
        </is>
      </c>
      <c r="B1246" s="6" t="n">
        <v>3.29</v>
      </c>
      <c r="C1246" s="8">
        <f>B1246/100/12</f>
        <v/>
      </c>
      <c r="D1246" s="8">
        <f>D1245*(1+C1246)</f>
        <v/>
      </c>
    </row>
    <row r="1247">
      <c r="A1247" s="8" t="inlineStr">
        <is>
          <t>1960-06-01</t>
        </is>
      </c>
      <c r="B1247" s="6" t="n">
        <v>2.46</v>
      </c>
      <c r="C1247" s="8">
        <f>B1247/100/12</f>
        <v/>
      </c>
      <c r="D1247" s="8">
        <f>D1246*(1+C1247)</f>
        <v/>
      </c>
    </row>
    <row r="1248">
      <c r="A1248" s="8" t="inlineStr">
        <is>
          <t>1960-07-01</t>
        </is>
      </c>
      <c r="B1248" s="6" t="n">
        <v>2.3</v>
      </c>
      <c r="C1248" s="8">
        <f>B1248/100/12</f>
        <v/>
      </c>
      <c r="D1248" s="8">
        <f>D1247*(1+C1248)</f>
        <v/>
      </c>
    </row>
    <row r="1249">
      <c r="A1249" s="8" t="inlineStr">
        <is>
          <t>1960-08-01</t>
        </is>
      </c>
      <c r="B1249" s="6" t="n">
        <v>2.3</v>
      </c>
      <c r="C1249" s="8">
        <f>B1249/100/12</f>
        <v/>
      </c>
      <c r="D1249" s="8">
        <f>D1248*(1+C1249)</f>
        <v/>
      </c>
    </row>
    <row r="1250">
      <c r="A1250" s="8" t="inlineStr">
        <is>
          <t>1960-09-01</t>
        </is>
      </c>
      <c r="B1250" s="6" t="n">
        <v>2.48</v>
      </c>
      <c r="C1250" s="8">
        <f>B1250/100/12</f>
        <v/>
      </c>
      <c r="D1250" s="8">
        <f>D1249*(1+C1250)</f>
        <v/>
      </c>
    </row>
    <row r="1251">
      <c r="A1251" s="8" t="inlineStr">
        <is>
          <t>1960-10-01</t>
        </is>
      </c>
      <c r="B1251" s="6" t="n">
        <v>2.3</v>
      </c>
      <c r="C1251" s="8">
        <f>B1251/100/12</f>
        <v/>
      </c>
      <c r="D1251" s="8">
        <f>D1250*(1+C1251)</f>
        <v/>
      </c>
    </row>
    <row r="1252">
      <c r="A1252" s="8" t="inlineStr">
        <is>
          <t>1960-11-01</t>
        </is>
      </c>
      <c r="B1252" s="6" t="n">
        <v>2.37</v>
      </c>
      <c r="C1252" s="8">
        <f>B1252/100/12</f>
        <v/>
      </c>
      <c r="D1252" s="8">
        <f>D1251*(1+C1252)</f>
        <v/>
      </c>
    </row>
    <row r="1253">
      <c r="A1253" s="8" t="inlineStr">
        <is>
          <t>1960-12-01</t>
        </is>
      </c>
      <c r="B1253" s="6" t="n">
        <v>2.25</v>
      </c>
      <c r="C1253" s="8">
        <f>B1253/100/12</f>
        <v/>
      </c>
      <c r="D1253" s="8">
        <f>D1252*(1+C1253)</f>
        <v/>
      </c>
    </row>
    <row r="1254">
      <c r="A1254" s="8" t="inlineStr">
        <is>
          <t>1961-01-01</t>
        </is>
      </c>
      <c r="B1254" s="6" t="n">
        <v>2.24</v>
      </c>
      <c r="C1254" s="8">
        <f>B1254/100/12</f>
        <v/>
      </c>
      <c r="D1254" s="8">
        <f>D1253*(1+C1254)</f>
        <v/>
      </c>
    </row>
    <row r="1255">
      <c r="A1255" s="8" t="inlineStr">
        <is>
          <t>1961-02-01</t>
        </is>
      </c>
      <c r="B1255" s="6" t="n">
        <v>2.42</v>
      </c>
      <c r="C1255" s="8">
        <f>B1255/100/12</f>
        <v/>
      </c>
      <c r="D1255" s="8">
        <f>D1254*(1+C1255)</f>
        <v/>
      </c>
    </row>
    <row r="1256">
      <c r="A1256" s="8" t="inlineStr">
        <is>
          <t>1961-03-01</t>
        </is>
      </c>
      <c r="B1256" s="6" t="n">
        <v>2.39</v>
      </c>
      <c r="C1256" s="8">
        <f>B1256/100/12</f>
        <v/>
      </c>
      <c r="D1256" s="8">
        <f>D1255*(1+C1256)</f>
        <v/>
      </c>
    </row>
    <row r="1257">
      <c r="A1257" s="8" t="inlineStr">
        <is>
          <t>1961-04-01</t>
        </is>
      </c>
      <c r="B1257" s="6" t="n">
        <v>2.29</v>
      </c>
      <c r="C1257" s="8">
        <f>B1257/100/12</f>
        <v/>
      </c>
      <c r="D1257" s="8">
        <f>D1256*(1+C1257)</f>
        <v/>
      </c>
    </row>
    <row r="1258">
      <c r="A1258" s="8" t="inlineStr">
        <is>
          <t>1961-05-01</t>
        </is>
      </c>
      <c r="B1258" s="6" t="n">
        <v>2.29</v>
      </c>
      <c r="C1258" s="8">
        <f>B1258/100/12</f>
        <v/>
      </c>
      <c r="D1258" s="8">
        <f>D1257*(1+C1258)</f>
        <v/>
      </c>
    </row>
    <row r="1259">
      <c r="A1259" s="8" t="inlineStr">
        <is>
          <t>1961-06-01</t>
        </is>
      </c>
      <c r="B1259" s="6" t="n">
        <v>2.33</v>
      </c>
      <c r="C1259" s="8">
        <f>B1259/100/12</f>
        <v/>
      </c>
      <c r="D1259" s="8">
        <f>D1258*(1+C1259)</f>
        <v/>
      </c>
    </row>
    <row r="1260">
      <c r="A1260" s="8" t="inlineStr">
        <is>
          <t>1961-07-01</t>
        </is>
      </c>
      <c r="B1260" s="6" t="n">
        <v>2.24</v>
      </c>
      <c r="C1260" s="8">
        <f>B1260/100/12</f>
        <v/>
      </c>
      <c r="D1260" s="8">
        <f>D1259*(1+C1260)</f>
        <v/>
      </c>
    </row>
    <row r="1261">
      <c r="A1261" s="8" t="inlineStr">
        <is>
          <t>1961-08-01</t>
        </is>
      </c>
      <c r="B1261" s="6" t="n">
        <v>2.39</v>
      </c>
      <c r="C1261" s="8">
        <f>B1261/100/12</f>
        <v/>
      </c>
      <c r="D1261" s="8">
        <f>D1260*(1+C1261)</f>
        <v/>
      </c>
    </row>
    <row r="1262">
      <c r="A1262" s="8" t="inlineStr">
        <is>
          <t>1961-09-01</t>
        </is>
      </c>
      <c r="B1262" s="6" t="n">
        <v>2.28</v>
      </c>
      <c r="C1262" s="8">
        <f>B1262/100/12</f>
        <v/>
      </c>
      <c r="D1262" s="8">
        <f>D1261*(1+C1262)</f>
        <v/>
      </c>
    </row>
    <row r="1263">
      <c r="A1263" s="8" t="inlineStr">
        <is>
          <t>1961-10-01</t>
        </is>
      </c>
      <c r="B1263" s="6" t="n">
        <v>2.3</v>
      </c>
      <c r="C1263" s="8">
        <f>B1263/100/12</f>
        <v/>
      </c>
      <c r="D1263" s="8">
        <f>D1262*(1+C1263)</f>
        <v/>
      </c>
    </row>
    <row r="1264">
      <c r="A1264" s="8" t="inlineStr">
        <is>
          <t>1961-11-01</t>
        </is>
      </c>
      <c r="B1264" s="6" t="n">
        <v>2.48</v>
      </c>
      <c r="C1264" s="8">
        <f>B1264/100/12</f>
        <v/>
      </c>
      <c r="D1264" s="8">
        <f>D1263*(1+C1264)</f>
        <v/>
      </c>
    </row>
    <row r="1265">
      <c r="A1265" s="8" t="inlineStr">
        <is>
          <t>1961-12-01</t>
        </is>
      </c>
      <c r="B1265" s="6" t="n">
        <v>2.6</v>
      </c>
      <c r="C1265" s="8">
        <f>B1265/100/12</f>
        <v/>
      </c>
      <c r="D1265" s="8">
        <f>D1264*(1+C1265)</f>
        <v/>
      </c>
    </row>
    <row r="1266">
      <c r="A1266" s="8" t="inlineStr">
        <is>
          <t>1962-01-01</t>
        </is>
      </c>
      <c r="B1266" s="6" t="n">
        <v>2.72</v>
      </c>
      <c r="C1266" s="8">
        <f>B1266/100/12</f>
        <v/>
      </c>
      <c r="D1266" s="8">
        <f>D1265*(1+C1266)</f>
        <v/>
      </c>
    </row>
    <row r="1267">
      <c r="A1267" s="8" t="inlineStr">
        <is>
          <t>1962-02-01</t>
        </is>
      </c>
      <c r="B1267" s="6" t="n">
        <v>2.73</v>
      </c>
      <c r="C1267" s="8">
        <f>B1267/100/12</f>
        <v/>
      </c>
      <c r="D1267" s="8">
        <f>D1266*(1+C1267)</f>
        <v/>
      </c>
    </row>
    <row r="1268">
      <c r="A1268" s="8" t="inlineStr">
        <is>
          <t>1962-03-01</t>
        </is>
      </c>
      <c r="B1268" s="6" t="n">
        <v>2.72</v>
      </c>
      <c r="C1268" s="8">
        <f>B1268/100/12</f>
        <v/>
      </c>
      <c r="D1268" s="8">
        <f>D1267*(1+C1268)</f>
        <v/>
      </c>
    </row>
    <row r="1269">
      <c r="A1269" s="8" t="inlineStr">
        <is>
          <t>1962-04-01</t>
        </is>
      </c>
      <c r="B1269" s="6" t="n">
        <v>2.73</v>
      </c>
      <c r="C1269" s="8">
        <f>B1269/100/12</f>
        <v/>
      </c>
      <c r="D1269" s="8">
        <f>D1268*(1+C1269)</f>
        <v/>
      </c>
    </row>
    <row r="1270">
      <c r="A1270" s="8" t="inlineStr">
        <is>
          <t>1962-05-01</t>
        </is>
      </c>
      <c r="B1270" s="6" t="n">
        <v>2.69</v>
      </c>
      <c r="C1270" s="8">
        <f>B1270/100/12</f>
        <v/>
      </c>
      <c r="D1270" s="8">
        <f>D1269*(1+C1270)</f>
        <v/>
      </c>
    </row>
    <row r="1271">
      <c r="A1271" s="8" t="inlineStr">
        <is>
          <t>1962-06-01</t>
        </is>
      </c>
      <c r="B1271" s="6" t="n">
        <v>2.73</v>
      </c>
      <c r="C1271" s="8">
        <f>B1271/100/12</f>
        <v/>
      </c>
      <c r="D1271" s="8">
        <f>D1270*(1+C1271)</f>
        <v/>
      </c>
    </row>
    <row r="1272">
      <c r="A1272" s="8" t="inlineStr">
        <is>
          <t>1962-07-01</t>
        </is>
      </c>
      <c r="B1272" s="6" t="n">
        <v>2.92</v>
      </c>
      <c r="C1272" s="8">
        <f>B1272/100/12</f>
        <v/>
      </c>
      <c r="D1272" s="8">
        <f>D1271*(1+C1272)</f>
        <v/>
      </c>
    </row>
    <row r="1273">
      <c r="A1273" s="8" t="inlineStr">
        <is>
          <t>1962-08-01</t>
        </is>
      </c>
      <c r="B1273" s="6" t="n">
        <v>2.82</v>
      </c>
      <c r="C1273" s="8">
        <f>B1273/100/12</f>
        <v/>
      </c>
      <c r="D1273" s="8">
        <f>D1272*(1+C1273)</f>
        <v/>
      </c>
    </row>
    <row r="1274">
      <c r="A1274" s="8" t="inlineStr">
        <is>
          <t>1962-09-01</t>
        </is>
      </c>
      <c r="B1274" s="6" t="n">
        <v>2.78</v>
      </c>
      <c r="C1274" s="8">
        <f>B1274/100/12</f>
        <v/>
      </c>
      <c r="D1274" s="8">
        <f>D1273*(1+C1274)</f>
        <v/>
      </c>
    </row>
    <row r="1275">
      <c r="A1275" s="8" t="inlineStr">
        <is>
          <t>1962-10-01</t>
        </is>
      </c>
      <c r="B1275" s="6" t="n">
        <v>2.74</v>
      </c>
      <c r="C1275" s="8">
        <f>B1275/100/12</f>
        <v/>
      </c>
      <c r="D1275" s="8">
        <f>D1274*(1+C1275)</f>
        <v/>
      </c>
    </row>
    <row r="1276">
      <c r="A1276" s="8" t="inlineStr">
        <is>
          <t>1962-11-01</t>
        </is>
      </c>
      <c r="B1276" s="6" t="n">
        <v>2.83</v>
      </c>
      <c r="C1276" s="8">
        <f>B1276/100/12</f>
        <v/>
      </c>
      <c r="D1276" s="8">
        <f>D1275*(1+C1276)</f>
        <v/>
      </c>
    </row>
    <row r="1277">
      <c r="A1277" s="8" t="inlineStr">
        <is>
          <t>1962-12-01</t>
        </is>
      </c>
      <c r="B1277" s="6" t="n">
        <v>2.87</v>
      </c>
      <c r="C1277" s="8">
        <f>B1277/100/12</f>
        <v/>
      </c>
      <c r="D1277" s="8">
        <f>D1276*(1+C1277)</f>
        <v/>
      </c>
    </row>
    <row r="1278">
      <c r="A1278" s="8" t="inlineStr">
        <is>
          <t>1963-01-01</t>
        </is>
      </c>
      <c r="B1278" s="6" t="n">
        <v>2.91</v>
      </c>
      <c r="C1278" s="8">
        <f>B1278/100/12</f>
        <v/>
      </c>
      <c r="D1278" s="8">
        <f>D1277*(1+C1278)</f>
        <v/>
      </c>
    </row>
    <row r="1279">
      <c r="A1279" s="8" t="inlineStr">
        <is>
          <t>1963-02-01</t>
        </is>
      </c>
      <c r="B1279" s="6" t="n">
        <v>2.92</v>
      </c>
      <c r="C1279" s="8">
        <f>B1279/100/12</f>
        <v/>
      </c>
      <c r="D1279" s="8">
        <f>D1278*(1+C1279)</f>
        <v/>
      </c>
    </row>
    <row r="1280">
      <c r="A1280" s="8" t="inlineStr">
        <is>
          <t>1963-03-01</t>
        </is>
      </c>
      <c r="B1280" s="6" t="n">
        <v>2.89</v>
      </c>
      <c r="C1280" s="8">
        <f>B1280/100/12</f>
        <v/>
      </c>
      <c r="D1280" s="8">
        <f>D1279*(1+C1280)</f>
        <v/>
      </c>
    </row>
    <row r="1281">
      <c r="A1281" s="8" t="inlineStr">
        <is>
          <t>1963-04-01</t>
        </is>
      </c>
      <c r="B1281" s="6" t="n">
        <v>2.9</v>
      </c>
      <c r="C1281" s="8">
        <f>B1281/100/12</f>
        <v/>
      </c>
      <c r="D1281" s="8">
        <f>D1280*(1+C1281)</f>
        <v/>
      </c>
    </row>
    <row r="1282">
      <c r="A1282" s="8" t="inlineStr">
        <is>
          <t>1963-05-01</t>
        </is>
      </c>
      <c r="B1282" s="6" t="n">
        <v>2.93</v>
      </c>
      <c r="C1282" s="8">
        <f>B1282/100/12</f>
        <v/>
      </c>
      <c r="D1282" s="8">
        <f>D1281*(1+C1282)</f>
        <v/>
      </c>
    </row>
    <row r="1283">
      <c r="A1283" s="8" t="inlineStr">
        <is>
          <t>1963-06-01</t>
        </is>
      </c>
      <c r="B1283" s="6" t="n">
        <v>2.99</v>
      </c>
      <c r="C1283" s="8">
        <f>B1283/100/12</f>
        <v/>
      </c>
      <c r="D1283" s="8">
        <f>D1282*(1+C1283)</f>
        <v/>
      </c>
    </row>
    <row r="1284">
      <c r="A1284" s="8" t="inlineStr">
        <is>
          <t>1963-07-01</t>
        </is>
      </c>
      <c r="B1284" s="6" t="n">
        <v>3.18</v>
      </c>
      <c r="C1284" s="8">
        <f>B1284/100/12</f>
        <v/>
      </c>
      <c r="D1284" s="8">
        <f>D1283*(1+C1284)</f>
        <v/>
      </c>
    </row>
    <row r="1285">
      <c r="A1285" s="8" t="inlineStr">
        <is>
          <t>1963-08-01</t>
        </is>
      </c>
      <c r="B1285" s="6" t="n">
        <v>3.32</v>
      </c>
      <c r="C1285" s="8">
        <f>B1285/100/12</f>
        <v/>
      </c>
      <c r="D1285" s="8">
        <f>D1284*(1+C1285)</f>
        <v/>
      </c>
    </row>
    <row r="1286">
      <c r="A1286" s="8" t="inlineStr">
        <is>
          <t>1963-09-01</t>
        </is>
      </c>
      <c r="B1286" s="6" t="n">
        <v>3.38</v>
      </c>
      <c r="C1286" s="8">
        <f>B1286/100/12</f>
        <v/>
      </c>
      <c r="D1286" s="8">
        <f>D1285*(1+C1286)</f>
        <v/>
      </c>
    </row>
    <row r="1287">
      <c r="A1287" s="8" t="inlineStr">
        <is>
          <t>1963-10-01</t>
        </is>
      </c>
      <c r="B1287" s="6" t="n">
        <v>3.45</v>
      </c>
      <c r="C1287" s="8">
        <f>B1287/100/12</f>
        <v/>
      </c>
      <c r="D1287" s="8">
        <f>D1286*(1+C1287)</f>
        <v/>
      </c>
    </row>
    <row r="1288">
      <c r="A1288" s="8" t="inlineStr">
        <is>
          <t>1963-11-01</t>
        </is>
      </c>
      <c r="B1288" s="6" t="n">
        <v>3.52</v>
      </c>
      <c r="C1288" s="8">
        <f>B1288/100/12</f>
        <v/>
      </c>
      <c r="D1288" s="8">
        <f>D1287*(1+C1288)</f>
        <v/>
      </c>
    </row>
    <row r="1289">
      <c r="A1289" s="8" t="inlineStr">
        <is>
          <t>1963-12-01</t>
        </is>
      </c>
      <c r="B1289" s="6" t="n">
        <v>3.52</v>
      </c>
      <c r="C1289" s="8">
        <f>B1289/100/12</f>
        <v/>
      </c>
      <c r="D1289" s="8">
        <f>D1288*(1+C1289)</f>
        <v/>
      </c>
    </row>
    <row r="1290">
      <c r="A1290" s="8" t="inlineStr">
        <is>
          <t>1964-01-01</t>
        </is>
      </c>
      <c r="B1290" s="6" t="n">
        <v>3.52</v>
      </c>
      <c r="C1290" s="8">
        <f>B1290/100/12</f>
        <v/>
      </c>
      <c r="D1290" s="8">
        <f>D1289*(1+C1290)</f>
        <v/>
      </c>
    </row>
    <row r="1291">
      <c r="A1291" s="8" t="inlineStr">
        <is>
          <t>1964-02-01</t>
        </is>
      </c>
      <c r="B1291" s="6" t="n">
        <v>3.53</v>
      </c>
      <c r="C1291" s="8">
        <f>B1291/100/12</f>
        <v/>
      </c>
      <c r="D1291" s="8">
        <f>D1290*(1+C1291)</f>
        <v/>
      </c>
    </row>
    <row r="1292">
      <c r="A1292" s="8" t="inlineStr">
        <is>
          <t>1964-03-01</t>
        </is>
      </c>
      <c r="B1292" s="6" t="n">
        <v>3.54</v>
      </c>
      <c r="C1292" s="8">
        <f>B1292/100/12</f>
        <v/>
      </c>
      <c r="D1292" s="8">
        <f>D1291*(1+C1292)</f>
        <v/>
      </c>
    </row>
    <row r="1293">
      <c r="A1293" s="8" t="inlineStr">
        <is>
          <t>1964-04-01</t>
        </is>
      </c>
      <c r="B1293" s="6" t="n">
        <v>3.47</v>
      </c>
      <c r="C1293" s="8">
        <f>B1293/100/12</f>
        <v/>
      </c>
      <c r="D1293" s="8">
        <f>D1292*(1+C1293)</f>
        <v/>
      </c>
    </row>
    <row r="1294">
      <c r="A1294" s="8" t="inlineStr">
        <is>
          <t>1964-05-01</t>
        </is>
      </c>
      <c r="B1294" s="6" t="n">
        <v>3.48</v>
      </c>
      <c r="C1294" s="8">
        <f>B1294/100/12</f>
        <v/>
      </c>
      <c r="D1294" s="8">
        <f>D1293*(1+C1294)</f>
        <v/>
      </c>
    </row>
    <row r="1295">
      <c r="A1295" s="8" t="inlineStr">
        <is>
          <t>1964-06-01</t>
        </is>
      </c>
      <c r="B1295" s="6" t="n">
        <v>3.48</v>
      </c>
      <c r="C1295" s="8">
        <f>B1295/100/12</f>
        <v/>
      </c>
      <c r="D1295" s="8">
        <f>D1294*(1+C1295)</f>
        <v/>
      </c>
    </row>
    <row r="1296">
      <c r="A1296" s="8" t="inlineStr">
        <is>
          <t>1964-07-01</t>
        </is>
      </c>
      <c r="B1296" s="6" t="n">
        <v>3.46</v>
      </c>
      <c r="C1296" s="8">
        <f>B1296/100/12</f>
        <v/>
      </c>
      <c r="D1296" s="8">
        <f>D1295*(1+C1296)</f>
        <v/>
      </c>
    </row>
    <row r="1297">
      <c r="A1297" s="8" t="inlineStr">
        <is>
          <t>1964-08-01</t>
        </is>
      </c>
      <c r="B1297" s="6" t="n">
        <v>3.5</v>
      </c>
      <c r="C1297" s="8">
        <f>B1297/100/12</f>
        <v/>
      </c>
      <c r="D1297" s="8">
        <f>D1296*(1+C1297)</f>
        <v/>
      </c>
    </row>
    <row r="1298">
      <c r="A1298" s="8" t="inlineStr">
        <is>
          <t>1964-09-01</t>
        </is>
      </c>
      <c r="B1298" s="6" t="n">
        <v>3.53</v>
      </c>
      <c r="C1298" s="8">
        <f>B1298/100/12</f>
        <v/>
      </c>
      <c r="D1298" s="8">
        <f>D1297*(1+C1298)</f>
        <v/>
      </c>
    </row>
    <row r="1299">
      <c r="A1299" s="8" t="inlineStr">
        <is>
          <t>1964-10-01</t>
        </is>
      </c>
      <c r="B1299" s="6" t="n">
        <v>3.57</v>
      </c>
      <c r="C1299" s="8">
        <f>B1299/100/12</f>
        <v/>
      </c>
      <c r="D1299" s="8">
        <f>D1298*(1+C1299)</f>
        <v/>
      </c>
    </row>
    <row r="1300">
      <c r="A1300" s="8" t="inlineStr">
        <is>
          <t>1964-11-01</t>
        </is>
      </c>
      <c r="B1300" s="6" t="n">
        <v>3.64</v>
      </c>
      <c r="C1300" s="8">
        <f>B1300/100/12</f>
        <v/>
      </c>
      <c r="D1300" s="8">
        <f>D1299*(1+C1300)</f>
        <v/>
      </c>
    </row>
    <row r="1301">
      <c r="A1301" s="8" t="inlineStr">
        <is>
          <t>1964-12-01</t>
        </is>
      </c>
      <c r="B1301" s="6" t="n">
        <v>3.84</v>
      </c>
      <c r="C1301" s="8">
        <f>B1301/100/12</f>
        <v/>
      </c>
      <c r="D1301" s="8">
        <f>D1300*(1+C1301)</f>
        <v/>
      </c>
    </row>
    <row r="1302">
      <c r="A1302" s="8" t="inlineStr">
        <is>
          <t>1965-01-01</t>
        </is>
      </c>
      <c r="B1302" s="6" t="n">
        <v>3.81</v>
      </c>
      <c r="C1302" s="8">
        <f>B1302/100/12</f>
        <v/>
      </c>
      <c r="D1302" s="8">
        <f>D1301*(1+C1302)</f>
        <v/>
      </c>
    </row>
    <row r="1303">
      <c r="A1303" s="8" t="inlineStr">
        <is>
          <t>1965-02-01</t>
        </is>
      </c>
      <c r="B1303" s="6" t="n">
        <v>3.93</v>
      </c>
      <c r="C1303" s="8">
        <f>B1303/100/12</f>
        <v/>
      </c>
      <c r="D1303" s="8">
        <f>D1302*(1+C1303)</f>
        <v/>
      </c>
    </row>
    <row r="1304">
      <c r="A1304" s="8" t="inlineStr">
        <is>
          <t>1965-03-01</t>
        </is>
      </c>
      <c r="B1304" s="6" t="n">
        <v>3.93</v>
      </c>
      <c r="C1304" s="8">
        <f>B1304/100/12</f>
        <v/>
      </c>
      <c r="D1304" s="8">
        <f>D1303*(1+C1304)</f>
        <v/>
      </c>
    </row>
    <row r="1305">
      <c r="A1305" s="8" t="inlineStr">
        <is>
          <t>1965-04-01</t>
        </is>
      </c>
      <c r="B1305" s="6" t="n">
        <v>3.93</v>
      </c>
      <c r="C1305" s="8">
        <f>B1305/100/12</f>
        <v/>
      </c>
      <c r="D1305" s="8">
        <f>D1304*(1+C1305)</f>
        <v/>
      </c>
    </row>
    <row r="1306">
      <c r="A1306" s="8" t="inlineStr">
        <is>
          <t>1965-05-01</t>
        </is>
      </c>
      <c r="B1306" s="6" t="n">
        <v>3.89</v>
      </c>
      <c r="C1306" s="8">
        <f>B1306/100/12</f>
        <v/>
      </c>
      <c r="D1306" s="8">
        <f>D1305*(1+C1306)</f>
        <v/>
      </c>
    </row>
    <row r="1307">
      <c r="A1307" s="8" t="inlineStr">
        <is>
          <t>1965-06-01</t>
        </is>
      </c>
      <c r="B1307" s="6" t="n">
        <v>3.8</v>
      </c>
      <c r="C1307" s="8">
        <f>B1307/100/12</f>
        <v/>
      </c>
      <c r="D1307" s="8">
        <f>D1306*(1+C1307)</f>
        <v/>
      </c>
    </row>
    <row r="1308">
      <c r="A1308" s="8" t="inlineStr">
        <is>
          <t>1965-07-01</t>
        </is>
      </c>
      <c r="B1308" s="6" t="n">
        <v>3.84</v>
      </c>
      <c r="C1308" s="8">
        <f>B1308/100/12</f>
        <v/>
      </c>
      <c r="D1308" s="8">
        <f>D1307*(1+C1308)</f>
        <v/>
      </c>
    </row>
    <row r="1309">
      <c r="A1309" s="8" t="inlineStr">
        <is>
          <t>1965-08-01</t>
        </is>
      </c>
      <c r="B1309" s="6" t="n">
        <v>3.84</v>
      </c>
      <c r="C1309" s="8">
        <f>B1309/100/12</f>
        <v/>
      </c>
      <c r="D1309" s="8">
        <f>D1308*(1+C1309)</f>
        <v/>
      </c>
    </row>
    <row r="1310">
      <c r="A1310" s="8" t="inlineStr">
        <is>
          <t>1965-09-01</t>
        </is>
      </c>
      <c r="B1310" s="6" t="n">
        <v>3.92</v>
      </c>
      <c r="C1310" s="8">
        <f>B1310/100/12</f>
        <v/>
      </c>
      <c r="D1310" s="8">
        <f>D1309*(1+C1310)</f>
        <v/>
      </c>
    </row>
    <row r="1311">
      <c r="A1311" s="8" t="inlineStr">
        <is>
          <t>1965-10-01</t>
        </is>
      </c>
      <c r="B1311" s="6" t="n">
        <v>4.03</v>
      </c>
      <c r="C1311" s="8">
        <f>B1311/100/12</f>
        <v/>
      </c>
      <c r="D1311" s="8">
        <f>D1310*(1+C1311)</f>
        <v/>
      </c>
    </row>
    <row r="1312">
      <c r="A1312" s="8" t="inlineStr">
        <is>
          <t>1965-11-01</t>
        </is>
      </c>
      <c r="B1312" s="6" t="n">
        <v>4.09</v>
      </c>
      <c r="C1312" s="8">
        <f>B1312/100/12</f>
        <v/>
      </c>
      <c r="D1312" s="8">
        <f>D1311*(1+C1312)</f>
        <v/>
      </c>
    </row>
    <row r="1313">
      <c r="A1313" s="8" t="inlineStr">
        <is>
          <t>1965-12-01</t>
        </is>
      </c>
      <c r="B1313" s="6" t="n">
        <v>4.38</v>
      </c>
      <c r="C1313" s="8">
        <f>B1313/100/12</f>
        <v/>
      </c>
      <c r="D1313" s="8">
        <f>D1312*(1+C1313)</f>
        <v/>
      </c>
    </row>
    <row r="1314">
      <c r="A1314" s="8" t="inlineStr">
        <is>
          <t>1966-01-01</t>
        </is>
      </c>
      <c r="B1314" s="6" t="n">
        <v>4.59</v>
      </c>
      <c r="C1314" s="8">
        <f>B1314/100/12</f>
        <v/>
      </c>
      <c r="D1314" s="8">
        <f>D1313*(1+C1314)</f>
        <v/>
      </c>
    </row>
    <row r="1315">
      <c r="A1315" s="8" t="inlineStr">
        <is>
          <t>1966-02-01</t>
        </is>
      </c>
      <c r="B1315" s="6" t="n">
        <v>4.65</v>
      </c>
      <c r="C1315" s="8">
        <f>B1315/100/12</f>
        <v/>
      </c>
      <c r="D1315" s="8">
        <f>D1314*(1+C1315)</f>
        <v/>
      </c>
    </row>
    <row r="1316">
      <c r="A1316" s="8" t="inlineStr">
        <is>
          <t>1966-03-01</t>
        </is>
      </c>
      <c r="B1316" s="6" t="n">
        <v>4.59</v>
      </c>
      <c r="C1316" s="8">
        <f>B1316/100/12</f>
        <v/>
      </c>
      <c r="D1316" s="8">
        <f>D1315*(1+C1316)</f>
        <v/>
      </c>
    </row>
    <row r="1317">
      <c r="A1317" s="8" t="inlineStr">
        <is>
          <t>1966-04-01</t>
        </is>
      </c>
      <c r="B1317" s="6" t="n">
        <v>4.62</v>
      </c>
      <c r="C1317" s="8">
        <f>B1317/100/12</f>
        <v/>
      </c>
      <c r="D1317" s="8">
        <f>D1316*(1+C1317)</f>
        <v/>
      </c>
    </row>
    <row r="1318">
      <c r="A1318" s="8" t="inlineStr">
        <is>
          <t>1966-05-01</t>
        </is>
      </c>
      <c r="B1318" s="6" t="n">
        <v>4.64</v>
      </c>
      <c r="C1318" s="8">
        <f>B1318/100/12</f>
        <v/>
      </c>
      <c r="D1318" s="8">
        <f>D1317*(1+C1318)</f>
        <v/>
      </c>
    </row>
    <row r="1319">
      <c r="A1319" s="8" t="inlineStr">
        <is>
          <t>1966-06-01</t>
        </is>
      </c>
      <c r="B1319" s="6" t="n">
        <v>4.5</v>
      </c>
      <c r="C1319" s="8">
        <f>B1319/100/12</f>
        <v/>
      </c>
      <c r="D1319" s="8">
        <f>D1318*(1+C1319)</f>
        <v/>
      </c>
    </row>
    <row r="1320">
      <c r="A1320" s="8" t="inlineStr">
        <is>
          <t>1966-07-01</t>
        </is>
      </c>
      <c r="B1320" s="6" t="n">
        <v>4.8</v>
      </c>
      <c r="C1320" s="8">
        <f>B1320/100/12</f>
        <v/>
      </c>
      <c r="D1320" s="8">
        <f>D1319*(1+C1320)</f>
        <v/>
      </c>
    </row>
    <row r="1321">
      <c r="A1321" s="8" t="inlineStr">
        <is>
          <t>1966-08-01</t>
        </is>
      </c>
      <c r="B1321" s="6" t="n">
        <v>4.96</v>
      </c>
      <c r="C1321" s="8">
        <f>B1321/100/12</f>
        <v/>
      </c>
      <c r="D1321" s="8">
        <f>D1320*(1+C1321)</f>
        <v/>
      </c>
    </row>
    <row r="1322">
      <c r="A1322" s="8" t="inlineStr">
        <is>
          <t>1966-09-01</t>
        </is>
      </c>
      <c r="B1322" s="6" t="n">
        <v>5.37</v>
      </c>
      <c r="C1322" s="8">
        <f>B1322/100/12</f>
        <v/>
      </c>
      <c r="D1322" s="8">
        <f>D1321*(1+C1322)</f>
        <v/>
      </c>
    </row>
    <row r="1323">
      <c r="A1323" s="8" t="inlineStr">
        <is>
          <t>1966-10-01</t>
        </is>
      </c>
      <c r="B1323" s="6" t="n">
        <v>5.35</v>
      </c>
      <c r="C1323" s="8">
        <f>B1323/100/12</f>
        <v/>
      </c>
      <c r="D1323" s="8">
        <f>D1322*(1+C1323)</f>
        <v/>
      </c>
    </row>
    <row r="1324">
      <c r="A1324" s="8" t="inlineStr">
        <is>
          <t>1966-11-01</t>
        </is>
      </c>
      <c r="B1324" s="6" t="n">
        <v>5.32</v>
      </c>
      <c r="C1324" s="8">
        <f>B1324/100/12</f>
        <v/>
      </c>
      <c r="D1324" s="8">
        <f>D1323*(1+C1324)</f>
        <v/>
      </c>
    </row>
    <row r="1325">
      <c r="A1325" s="8" t="inlineStr">
        <is>
          <t>1966-12-01</t>
        </is>
      </c>
      <c r="B1325" s="6" t="n">
        <v>4.96</v>
      </c>
      <c r="C1325" s="8">
        <f>B1325/100/12</f>
        <v/>
      </c>
      <c r="D1325" s="8">
        <f>D1324*(1+C1325)</f>
        <v/>
      </c>
    </row>
    <row r="1326">
      <c r="A1326" s="8" t="inlineStr">
        <is>
          <t>1967-01-01</t>
        </is>
      </c>
      <c r="B1326" s="6" t="n">
        <v>4.72</v>
      </c>
      <c r="C1326" s="8">
        <f>B1326/100/12</f>
        <v/>
      </c>
      <c r="D1326" s="8">
        <f>D1325*(1+C1326)</f>
        <v/>
      </c>
    </row>
    <row r="1327">
      <c r="A1327" s="8" t="inlineStr">
        <is>
          <t>1967-02-01</t>
        </is>
      </c>
      <c r="B1327" s="6" t="n">
        <v>4.56</v>
      </c>
      <c r="C1327" s="8">
        <f>B1327/100/12</f>
        <v/>
      </c>
      <c r="D1327" s="8">
        <f>D1326*(1+C1327)</f>
        <v/>
      </c>
    </row>
    <row r="1328">
      <c r="A1328" s="8" t="inlineStr">
        <is>
          <t>1967-03-01</t>
        </is>
      </c>
      <c r="B1328" s="6" t="n">
        <v>4.26</v>
      </c>
      <c r="C1328" s="8">
        <f>B1328/100/12</f>
        <v/>
      </c>
      <c r="D1328" s="8">
        <f>D1327*(1+C1328)</f>
        <v/>
      </c>
    </row>
    <row r="1329">
      <c r="A1329" s="8" t="inlineStr">
        <is>
          <t>1967-04-01</t>
        </is>
      </c>
      <c r="B1329" s="6" t="n">
        <v>3.84</v>
      </c>
      <c r="C1329" s="8">
        <f>B1329/100/12</f>
        <v/>
      </c>
      <c r="D1329" s="8">
        <f>D1328*(1+C1329)</f>
        <v/>
      </c>
    </row>
    <row r="1330">
      <c r="A1330" s="8" t="inlineStr">
        <is>
          <t>1967-05-01</t>
        </is>
      </c>
      <c r="B1330" s="6" t="n">
        <v>3.6</v>
      </c>
      <c r="C1330" s="8">
        <f>B1330/100/12</f>
        <v/>
      </c>
      <c r="D1330" s="8">
        <f>D1329*(1+C1330)</f>
        <v/>
      </c>
    </row>
    <row r="1331">
      <c r="A1331" s="8" t="inlineStr">
        <is>
          <t>1967-06-01</t>
        </is>
      </c>
      <c r="B1331" s="6" t="n">
        <v>3.54</v>
      </c>
      <c r="C1331" s="8">
        <f>B1331/100/12</f>
        <v/>
      </c>
      <c r="D1331" s="8">
        <f>D1330*(1+C1331)</f>
        <v/>
      </c>
    </row>
    <row r="1332">
      <c r="A1332" s="8" t="inlineStr">
        <is>
          <t>1967-07-01</t>
        </is>
      </c>
      <c r="B1332" s="6" t="n">
        <v>4.21</v>
      </c>
      <c r="C1332" s="8">
        <f>B1332/100/12</f>
        <v/>
      </c>
      <c r="D1332" s="8">
        <f>D1331*(1+C1332)</f>
        <v/>
      </c>
    </row>
    <row r="1333">
      <c r="A1333" s="8" t="inlineStr">
        <is>
          <t>1967-08-01</t>
        </is>
      </c>
      <c r="B1333" s="6" t="n">
        <v>4.27</v>
      </c>
      <c r="C1333" s="8">
        <f>B1333/100/12</f>
        <v/>
      </c>
      <c r="D1333" s="8">
        <f>D1332*(1+C1333)</f>
        <v/>
      </c>
    </row>
    <row r="1334">
      <c r="A1334" s="8" t="inlineStr">
        <is>
          <t>1967-09-01</t>
        </is>
      </c>
      <c r="B1334" s="6" t="n">
        <v>4.42</v>
      </c>
      <c r="C1334" s="8">
        <f>B1334/100/12</f>
        <v/>
      </c>
      <c r="D1334" s="8">
        <f>D1333*(1+C1334)</f>
        <v/>
      </c>
    </row>
    <row r="1335">
      <c r="A1335" s="8" t="inlineStr">
        <is>
          <t>1967-10-01</t>
        </is>
      </c>
      <c r="B1335" s="6" t="n">
        <v>4.56</v>
      </c>
      <c r="C1335" s="8">
        <f>B1335/100/12</f>
        <v/>
      </c>
      <c r="D1335" s="8">
        <f>D1334*(1+C1335)</f>
        <v/>
      </c>
    </row>
    <row r="1336">
      <c r="A1336" s="8" t="inlineStr">
        <is>
          <t>1967-11-01</t>
        </is>
      </c>
      <c r="B1336" s="6" t="n">
        <v>4.73</v>
      </c>
      <c r="C1336" s="8">
        <f>B1336/100/12</f>
        <v/>
      </c>
      <c r="D1336" s="8">
        <f>D1335*(1+C1336)</f>
        <v/>
      </c>
    </row>
    <row r="1337">
      <c r="A1337" s="8" t="inlineStr">
        <is>
          <t>1967-12-01</t>
        </is>
      </c>
      <c r="B1337" s="6" t="n">
        <v>4.97</v>
      </c>
      <c r="C1337" s="8">
        <f>B1337/100/12</f>
        <v/>
      </c>
      <c r="D1337" s="8">
        <f>D1336*(1+C1337)</f>
        <v/>
      </c>
    </row>
    <row r="1338">
      <c r="A1338" s="8" t="inlineStr">
        <is>
          <t>1968-01-01</t>
        </is>
      </c>
      <c r="B1338" s="6" t="n">
        <v>5</v>
      </c>
      <c r="C1338" s="8">
        <f>B1338/100/12</f>
        <v/>
      </c>
      <c r="D1338" s="8">
        <f>D1337*(1+C1338)</f>
        <v/>
      </c>
    </row>
    <row r="1339">
      <c r="A1339" s="8" t="inlineStr">
        <is>
          <t>1968-02-01</t>
        </is>
      </c>
      <c r="B1339" s="6" t="n">
        <v>4.98</v>
      </c>
      <c r="C1339" s="8">
        <f>B1339/100/12</f>
        <v/>
      </c>
      <c r="D1339" s="8">
        <f>D1338*(1+C1339)</f>
        <v/>
      </c>
    </row>
    <row r="1340">
      <c r="A1340" s="8" t="inlineStr">
        <is>
          <t>1968-03-01</t>
        </is>
      </c>
      <c r="B1340" s="6" t="n">
        <v>5.17</v>
      </c>
      <c r="C1340" s="8">
        <f>B1340/100/12</f>
        <v/>
      </c>
      <c r="D1340" s="8">
        <f>D1339*(1+C1340)</f>
        <v/>
      </c>
    </row>
    <row r="1341">
      <c r="A1341" s="8" t="inlineStr">
        <is>
          <t>1968-04-01</t>
        </is>
      </c>
      <c r="B1341" s="6" t="n">
        <v>5.38</v>
      </c>
      <c r="C1341" s="8">
        <f>B1341/100/12</f>
        <v/>
      </c>
      <c r="D1341" s="8">
        <f>D1340*(1+C1341)</f>
        <v/>
      </c>
    </row>
    <row r="1342">
      <c r="A1342" s="8" t="inlineStr">
        <is>
          <t>1968-05-01</t>
        </is>
      </c>
      <c r="B1342" s="6" t="n">
        <v>5.66</v>
      </c>
      <c r="C1342" s="8">
        <f>B1342/100/12</f>
        <v/>
      </c>
      <c r="D1342" s="8">
        <f>D1341*(1+C1342)</f>
        <v/>
      </c>
    </row>
    <row r="1343">
      <c r="A1343" s="8" t="inlineStr">
        <is>
          <t>1968-06-01</t>
        </is>
      </c>
      <c r="B1343" s="6" t="n">
        <v>5.52</v>
      </c>
      <c r="C1343" s="8">
        <f>B1343/100/12</f>
        <v/>
      </c>
      <c r="D1343" s="8">
        <f>D1342*(1+C1343)</f>
        <v/>
      </c>
    </row>
    <row r="1344">
      <c r="A1344" s="8" t="inlineStr">
        <is>
          <t>1968-07-01</t>
        </is>
      </c>
      <c r="B1344" s="6" t="n">
        <v>5.31</v>
      </c>
      <c r="C1344" s="8">
        <f>B1344/100/12</f>
        <v/>
      </c>
      <c r="D1344" s="8">
        <f>D1343*(1+C1344)</f>
        <v/>
      </c>
    </row>
    <row r="1345">
      <c r="A1345" s="8" t="inlineStr">
        <is>
          <t>1968-08-01</t>
        </is>
      </c>
      <c r="B1345" s="6" t="n">
        <v>5.09</v>
      </c>
      <c r="C1345" s="8">
        <f>B1345/100/12</f>
        <v/>
      </c>
      <c r="D1345" s="8">
        <f>D1344*(1+C1345)</f>
        <v/>
      </c>
    </row>
    <row r="1346">
      <c r="A1346" s="8" t="inlineStr">
        <is>
          <t>1968-09-01</t>
        </is>
      </c>
      <c r="B1346" s="6" t="n">
        <v>5.19</v>
      </c>
      <c r="C1346" s="8">
        <f>B1346/100/12</f>
        <v/>
      </c>
      <c r="D1346" s="8">
        <f>D1345*(1+C1346)</f>
        <v/>
      </c>
    </row>
    <row r="1347">
      <c r="A1347" s="8" t="inlineStr">
        <is>
          <t>1968-10-01</t>
        </is>
      </c>
      <c r="B1347" s="6" t="n">
        <v>5.35</v>
      </c>
      <c r="C1347" s="8">
        <f>B1347/100/12</f>
        <v/>
      </c>
      <c r="D1347" s="8">
        <f>D1346*(1+C1347)</f>
        <v/>
      </c>
    </row>
    <row r="1348">
      <c r="A1348" s="8" t="inlineStr">
        <is>
          <t>1968-11-01</t>
        </is>
      </c>
      <c r="B1348" s="6" t="n">
        <v>5.45</v>
      </c>
      <c r="C1348" s="8">
        <f>B1348/100/12</f>
        <v/>
      </c>
      <c r="D1348" s="8">
        <f>D1347*(1+C1348)</f>
        <v/>
      </c>
    </row>
    <row r="1349">
      <c r="A1349" s="8" t="inlineStr">
        <is>
          <t>1968-12-01</t>
        </is>
      </c>
      <c r="B1349" s="6" t="n">
        <v>5.96</v>
      </c>
      <c r="C1349" s="8">
        <f>B1349/100/12</f>
        <v/>
      </c>
      <c r="D1349" s="8">
        <f>D1348*(1+C1349)</f>
        <v/>
      </c>
    </row>
    <row r="1350">
      <c r="A1350" s="8" t="inlineStr">
        <is>
          <t>1969-01-01</t>
        </is>
      </c>
      <c r="B1350" s="6" t="n">
        <v>6.14</v>
      </c>
      <c r="C1350" s="8">
        <f>B1350/100/12</f>
        <v/>
      </c>
      <c r="D1350" s="8">
        <f>D1349*(1+C1350)</f>
        <v/>
      </c>
    </row>
    <row r="1351">
      <c r="A1351" s="8" t="inlineStr">
        <is>
          <t>1969-02-01</t>
        </is>
      </c>
      <c r="B1351" s="6" t="n">
        <v>6.12</v>
      </c>
      <c r="C1351" s="8">
        <f>B1351/100/12</f>
        <v/>
      </c>
      <c r="D1351" s="8">
        <f>D1350*(1+C1351)</f>
        <v/>
      </c>
    </row>
    <row r="1352">
      <c r="A1352" s="8" t="inlineStr">
        <is>
          <t>1969-03-01</t>
        </is>
      </c>
      <c r="B1352" s="6" t="n">
        <v>6.02</v>
      </c>
      <c r="C1352" s="8">
        <f>B1352/100/12</f>
        <v/>
      </c>
      <c r="D1352" s="8">
        <f>D1351*(1+C1352)</f>
        <v/>
      </c>
    </row>
    <row r="1353">
      <c r="A1353" s="8" t="inlineStr">
        <is>
          <t>1969-04-01</t>
        </is>
      </c>
      <c r="B1353" s="6" t="n">
        <v>6.11</v>
      </c>
      <c r="C1353" s="8">
        <f>B1353/100/12</f>
        <v/>
      </c>
      <c r="D1353" s="8">
        <f>D1352*(1+C1353)</f>
        <v/>
      </c>
    </row>
    <row r="1354">
      <c r="A1354" s="8" t="inlineStr">
        <is>
          <t>1969-05-01</t>
        </is>
      </c>
      <c r="B1354" s="6" t="n">
        <v>6.04</v>
      </c>
      <c r="C1354" s="8">
        <f>B1354/100/12</f>
        <v/>
      </c>
      <c r="D1354" s="8">
        <f>D1353*(1+C1354)</f>
        <v/>
      </c>
    </row>
    <row r="1355">
      <c r="A1355" s="8" t="inlineStr">
        <is>
          <t>1969-06-01</t>
        </is>
      </c>
      <c r="B1355" s="6" t="n">
        <v>6.44</v>
      </c>
      <c r="C1355" s="8">
        <f>B1355/100/12</f>
        <v/>
      </c>
      <c r="D1355" s="8">
        <f>D1354*(1+C1355)</f>
        <v/>
      </c>
    </row>
    <row r="1356">
      <c r="A1356" s="8" t="inlineStr">
        <is>
          <t>1969-07-01</t>
        </is>
      </c>
      <c r="B1356" s="6" t="n">
        <v>7</v>
      </c>
      <c r="C1356" s="8">
        <f>B1356/100/12</f>
        <v/>
      </c>
      <c r="D1356" s="8">
        <f>D1355*(1+C1356)</f>
        <v/>
      </c>
    </row>
    <row r="1357">
      <c r="A1357" s="8" t="inlineStr">
        <is>
          <t>1969-08-01</t>
        </is>
      </c>
      <c r="B1357" s="6" t="n">
        <v>6.98</v>
      </c>
      <c r="C1357" s="8">
        <f>B1357/100/12</f>
        <v/>
      </c>
      <c r="D1357" s="8">
        <f>D1356*(1+C1357)</f>
        <v/>
      </c>
    </row>
    <row r="1358">
      <c r="A1358" s="8" t="inlineStr">
        <is>
          <t>1969-09-01</t>
        </is>
      </c>
      <c r="B1358" s="6" t="n">
        <v>7.09</v>
      </c>
      <c r="C1358" s="8">
        <f>B1358/100/12</f>
        <v/>
      </c>
      <c r="D1358" s="8">
        <f>D1357*(1+C1358)</f>
        <v/>
      </c>
    </row>
    <row r="1359">
      <c r="A1359" s="8" t="inlineStr">
        <is>
          <t>1969-10-01</t>
        </is>
      </c>
      <c r="B1359" s="6" t="n">
        <v>7</v>
      </c>
      <c r="C1359" s="8">
        <f>B1359/100/12</f>
        <v/>
      </c>
      <c r="D1359" s="8">
        <f>D1358*(1+C1359)</f>
        <v/>
      </c>
    </row>
    <row r="1360">
      <c r="A1360" s="8" t="inlineStr">
        <is>
          <t>1969-11-01</t>
        </is>
      </c>
      <c r="B1360" s="6" t="n">
        <v>7.24</v>
      </c>
      <c r="C1360" s="8">
        <f>B1360/100/12</f>
        <v/>
      </c>
      <c r="D1360" s="8">
        <f>D1359*(1+C1360)</f>
        <v/>
      </c>
    </row>
    <row r="1361">
      <c r="A1361" s="8" t="inlineStr">
        <is>
          <t>1969-12-01</t>
        </is>
      </c>
      <c r="B1361" s="6" t="n">
        <v>7.82</v>
      </c>
      <c r="C1361" s="8">
        <f>B1361/100/12</f>
        <v/>
      </c>
      <c r="D1361" s="8">
        <f>D1360*(1+C1361)</f>
        <v/>
      </c>
    </row>
    <row r="1362">
      <c r="A1362" s="8" t="inlineStr">
        <is>
          <t>1970-01-01</t>
        </is>
      </c>
      <c r="B1362" s="6" t="n">
        <v>7.87</v>
      </c>
      <c r="C1362" s="8">
        <f>B1362/100/12</f>
        <v/>
      </c>
      <c r="D1362" s="8">
        <f>D1361*(1+C1362)</f>
        <v/>
      </c>
    </row>
    <row r="1363">
      <c r="A1363" s="8" t="inlineStr">
        <is>
          <t>1970-02-01</t>
        </is>
      </c>
      <c r="B1363" s="6" t="n">
        <v>7.13</v>
      </c>
      <c r="C1363" s="8">
        <f>B1363/100/12</f>
        <v/>
      </c>
      <c r="D1363" s="8">
        <f>D1362*(1+C1363)</f>
        <v/>
      </c>
    </row>
    <row r="1364">
      <c r="A1364" s="8" t="inlineStr">
        <is>
          <t>1970-03-01</t>
        </is>
      </c>
      <c r="B1364" s="6" t="n">
        <v>6.63</v>
      </c>
      <c r="C1364" s="8">
        <f>B1364/100/12</f>
        <v/>
      </c>
      <c r="D1364" s="8">
        <f>D1363*(1+C1364)</f>
        <v/>
      </c>
    </row>
    <row r="1365">
      <c r="A1365" s="8" t="inlineStr">
        <is>
          <t>1970-04-01</t>
        </is>
      </c>
      <c r="B1365" s="6" t="n">
        <v>6.51</v>
      </c>
      <c r="C1365" s="8">
        <f>B1365/100/12</f>
        <v/>
      </c>
      <c r="D1365" s="8">
        <f>D1364*(1+C1365)</f>
        <v/>
      </c>
    </row>
    <row r="1366">
      <c r="A1366" s="8" t="inlineStr">
        <is>
          <t>1970-05-01</t>
        </is>
      </c>
      <c r="B1366" s="6" t="n">
        <v>6.84</v>
      </c>
      <c r="C1366" s="8">
        <f>B1366/100/12</f>
        <v/>
      </c>
      <c r="D1366" s="8">
        <f>D1365*(1+C1366)</f>
        <v/>
      </c>
    </row>
    <row r="1367">
      <c r="A1367" s="8" t="inlineStr">
        <is>
          <t>1970-06-01</t>
        </is>
      </c>
      <c r="B1367" s="6" t="n">
        <v>6.68</v>
      </c>
      <c r="C1367" s="8">
        <f>B1367/100/12</f>
        <v/>
      </c>
      <c r="D1367" s="8">
        <f>D1366*(1+C1367)</f>
        <v/>
      </c>
    </row>
    <row r="1368">
      <c r="A1368" s="8" t="inlineStr">
        <is>
          <t>1970-07-01</t>
        </is>
      </c>
      <c r="B1368" s="6" t="n">
        <v>6.45</v>
      </c>
      <c r="C1368" s="8">
        <f>B1368/100/12</f>
        <v/>
      </c>
      <c r="D1368" s="8">
        <f>D1367*(1+C1368)</f>
        <v/>
      </c>
    </row>
    <row r="1369">
      <c r="A1369" s="8" t="inlineStr">
        <is>
          <t>1970-08-01</t>
        </is>
      </c>
      <c r="B1369" s="6" t="n">
        <v>6.41</v>
      </c>
      <c r="C1369" s="8">
        <f>B1369/100/12</f>
        <v/>
      </c>
      <c r="D1369" s="8">
        <f>D1368*(1+C1369)</f>
        <v/>
      </c>
    </row>
    <row r="1370">
      <c r="A1370" s="8" t="inlineStr">
        <is>
          <t>1970-09-01</t>
        </is>
      </c>
      <c r="B1370" s="6" t="n">
        <v>6.12</v>
      </c>
      <c r="C1370" s="8">
        <f>B1370/100/12</f>
        <v/>
      </c>
      <c r="D1370" s="8">
        <f>D1369*(1+C1370)</f>
        <v/>
      </c>
    </row>
    <row r="1371">
      <c r="A1371" s="8" t="inlineStr">
        <is>
          <t>1970-10-01</t>
        </is>
      </c>
      <c r="B1371" s="6" t="n">
        <v>5.91</v>
      </c>
      <c r="C1371" s="8">
        <f>B1371/100/12</f>
        <v/>
      </c>
      <c r="D1371" s="8">
        <f>D1370*(1+C1371)</f>
        <v/>
      </c>
    </row>
    <row r="1372">
      <c r="A1372" s="8" t="inlineStr">
        <is>
          <t>1970-11-01</t>
        </is>
      </c>
      <c r="B1372" s="6" t="n">
        <v>5.28</v>
      </c>
      <c r="C1372" s="8">
        <f>B1372/100/12</f>
        <v/>
      </c>
      <c r="D1372" s="8">
        <f>D1371*(1+C1372)</f>
        <v/>
      </c>
    </row>
    <row r="1373">
      <c r="A1373" s="8" t="inlineStr">
        <is>
          <t>1970-12-01</t>
        </is>
      </c>
      <c r="B1373" s="6" t="n">
        <v>4.87</v>
      </c>
      <c r="C1373" s="8">
        <f>B1373/100/12</f>
        <v/>
      </c>
      <c r="D1373" s="8">
        <f>D1372*(1+C1373)</f>
        <v/>
      </c>
    </row>
    <row r="1374">
      <c r="A1374" s="8" t="inlineStr">
        <is>
          <t>1971-01-01</t>
        </is>
      </c>
      <c r="B1374" s="6" t="n">
        <v>4.44</v>
      </c>
      <c r="C1374" s="8">
        <f>B1374/100/12</f>
        <v/>
      </c>
      <c r="D1374" s="8">
        <f>D1373*(1+C1374)</f>
        <v/>
      </c>
    </row>
    <row r="1375">
      <c r="A1375" s="8" t="inlineStr">
        <is>
          <t>1971-02-01</t>
        </is>
      </c>
      <c r="B1375" s="6" t="n">
        <v>3.7</v>
      </c>
      <c r="C1375" s="8">
        <f>B1375/100/12</f>
        <v/>
      </c>
      <c r="D1375" s="8">
        <f>D1374*(1+C1375)</f>
        <v/>
      </c>
    </row>
    <row r="1376">
      <c r="A1376" s="8" t="inlineStr">
        <is>
          <t>1971-03-01</t>
        </is>
      </c>
      <c r="B1376" s="6" t="n">
        <v>3.38</v>
      </c>
      <c r="C1376" s="8">
        <f>B1376/100/12</f>
        <v/>
      </c>
      <c r="D1376" s="8">
        <f>D1375*(1+C1376)</f>
        <v/>
      </c>
    </row>
    <row r="1377">
      <c r="A1377" s="8" t="inlineStr">
        <is>
          <t>1971-04-01</t>
        </is>
      </c>
      <c r="B1377" s="6" t="n">
        <v>3.86</v>
      </c>
      <c r="C1377" s="8">
        <f>B1377/100/12</f>
        <v/>
      </c>
      <c r="D1377" s="8">
        <f>D1376*(1+C1377)</f>
        <v/>
      </c>
    </row>
    <row r="1378">
      <c r="A1378" s="8" t="inlineStr">
        <is>
          <t>1971-05-01</t>
        </is>
      </c>
      <c r="B1378" s="6" t="n">
        <v>4.14</v>
      </c>
      <c r="C1378" s="8">
        <f>B1378/100/12</f>
        <v/>
      </c>
      <c r="D1378" s="8">
        <f>D1377*(1+C1378)</f>
        <v/>
      </c>
    </row>
    <row r="1379">
      <c r="A1379" s="8" t="inlineStr">
        <is>
          <t>1971-06-01</t>
        </is>
      </c>
      <c r="B1379" s="6" t="n">
        <v>4.75</v>
      </c>
      <c r="C1379" s="8">
        <f>B1379/100/12</f>
        <v/>
      </c>
      <c r="D1379" s="8">
        <f>D1378*(1+C1379)</f>
        <v/>
      </c>
    </row>
    <row r="1380">
      <c r="A1380" s="8" t="inlineStr">
        <is>
          <t>1971-07-01</t>
        </is>
      </c>
      <c r="B1380" s="6" t="n">
        <v>5.4</v>
      </c>
      <c r="C1380" s="8">
        <f>B1380/100/12</f>
        <v/>
      </c>
      <c r="D1380" s="8">
        <f>D1379*(1+C1380)</f>
        <v/>
      </c>
    </row>
    <row r="1381">
      <c r="A1381" s="8" t="inlineStr">
        <is>
          <t>1971-08-01</t>
        </is>
      </c>
      <c r="B1381" s="6" t="n">
        <v>4.94</v>
      </c>
      <c r="C1381" s="8">
        <f>B1381/100/12</f>
        <v/>
      </c>
      <c r="D1381" s="8">
        <f>D1380*(1+C1381)</f>
        <v/>
      </c>
    </row>
    <row r="1382">
      <c r="A1382" s="8" t="inlineStr">
        <is>
          <t>1971-09-01</t>
        </is>
      </c>
      <c r="B1382" s="6" t="n">
        <v>4.69</v>
      </c>
      <c r="C1382" s="8">
        <f>B1382/100/12</f>
        <v/>
      </c>
      <c r="D1382" s="8">
        <f>D1381*(1+C1382)</f>
        <v/>
      </c>
    </row>
    <row r="1383">
      <c r="A1383" s="8" t="inlineStr">
        <is>
          <t>1971-10-01</t>
        </is>
      </c>
      <c r="B1383" s="6" t="n">
        <v>4.46</v>
      </c>
      <c r="C1383" s="8">
        <f>B1383/100/12</f>
        <v/>
      </c>
      <c r="D1383" s="8">
        <f>D1382*(1+C1383)</f>
        <v/>
      </c>
    </row>
    <row r="1384">
      <c r="A1384" s="8" t="inlineStr">
        <is>
          <t>1971-11-01</t>
        </is>
      </c>
      <c r="B1384" s="6" t="n">
        <v>4.22</v>
      </c>
      <c r="C1384" s="8">
        <f>B1384/100/12</f>
        <v/>
      </c>
      <c r="D1384" s="8">
        <f>D1383*(1+C1384)</f>
        <v/>
      </c>
    </row>
    <row r="1385">
      <c r="A1385" s="8" t="inlineStr">
        <is>
          <t>1971-12-01</t>
        </is>
      </c>
      <c r="B1385" s="6" t="n">
        <v>4.01</v>
      </c>
      <c r="C1385" s="8">
        <f>B1385/100/12</f>
        <v/>
      </c>
      <c r="D1385" s="8">
        <f>D1384*(1+C1385)</f>
        <v/>
      </c>
    </row>
    <row r="1386">
      <c r="A1386" s="8" t="inlineStr">
        <is>
          <t>1972-01-01</t>
        </is>
      </c>
      <c r="B1386" s="6" t="n">
        <v>3.38</v>
      </c>
      <c r="C1386" s="8">
        <f>B1386/100/12</f>
        <v/>
      </c>
      <c r="D1386" s="8">
        <f>D1385*(1+C1386)</f>
        <v/>
      </c>
    </row>
    <row r="1387">
      <c r="A1387" s="8" t="inlineStr">
        <is>
          <t>1972-02-01</t>
        </is>
      </c>
      <c r="B1387" s="6" t="n">
        <v>3.2</v>
      </c>
      <c r="C1387" s="8">
        <f>B1387/100/12</f>
        <v/>
      </c>
      <c r="D1387" s="8">
        <f>D1386*(1+C1387)</f>
        <v/>
      </c>
    </row>
    <row r="1388">
      <c r="A1388" s="8" t="inlineStr">
        <is>
          <t>1972-03-01</t>
        </is>
      </c>
      <c r="B1388" s="6" t="n">
        <v>3.73</v>
      </c>
      <c r="C1388" s="8">
        <f>B1388/100/12</f>
        <v/>
      </c>
      <c r="D1388" s="8">
        <f>D1387*(1+C1388)</f>
        <v/>
      </c>
    </row>
    <row r="1389">
      <c r="A1389" s="8" t="inlineStr">
        <is>
          <t>1972-04-01</t>
        </is>
      </c>
      <c r="B1389" s="6" t="n">
        <v>3.71</v>
      </c>
      <c r="C1389" s="8">
        <f>B1389/100/12</f>
        <v/>
      </c>
      <c r="D1389" s="8">
        <f>D1388*(1+C1389)</f>
        <v/>
      </c>
    </row>
    <row r="1390">
      <c r="A1390" s="8" t="inlineStr">
        <is>
          <t>1972-05-01</t>
        </is>
      </c>
      <c r="B1390" s="6" t="n">
        <v>3.69</v>
      </c>
      <c r="C1390" s="8">
        <f>B1390/100/12</f>
        <v/>
      </c>
      <c r="D1390" s="8">
        <f>D1389*(1+C1390)</f>
        <v/>
      </c>
    </row>
    <row r="1391">
      <c r="A1391" s="8" t="inlineStr">
        <is>
          <t>1972-06-01</t>
        </is>
      </c>
      <c r="B1391" s="6" t="n">
        <v>3.91</v>
      </c>
      <c r="C1391" s="8">
        <f>B1391/100/12</f>
        <v/>
      </c>
      <c r="D1391" s="8">
        <f>D1390*(1+C1391)</f>
        <v/>
      </c>
    </row>
    <row r="1392">
      <c r="A1392" s="8" t="inlineStr">
        <is>
          <t>1972-07-01</t>
        </is>
      </c>
      <c r="B1392" s="6" t="n">
        <v>3.98</v>
      </c>
      <c r="C1392" s="8">
        <f>B1392/100/12</f>
        <v/>
      </c>
      <c r="D1392" s="8">
        <f>D1391*(1+C1392)</f>
        <v/>
      </c>
    </row>
    <row r="1393">
      <c r="A1393" s="8" t="inlineStr">
        <is>
          <t>1972-08-01</t>
        </is>
      </c>
      <c r="B1393" s="6" t="n">
        <v>4.02</v>
      </c>
      <c r="C1393" s="8">
        <f>B1393/100/12</f>
        <v/>
      </c>
      <c r="D1393" s="8">
        <f>D1392*(1+C1393)</f>
        <v/>
      </c>
    </row>
    <row r="1394">
      <c r="A1394" s="8" t="inlineStr">
        <is>
          <t>1972-09-01</t>
        </is>
      </c>
      <c r="B1394" s="6" t="n">
        <v>4.66</v>
      </c>
      <c r="C1394" s="8">
        <f>B1394/100/12</f>
        <v/>
      </c>
      <c r="D1394" s="8">
        <f>D1393*(1+C1394)</f>
        <v/>
      </c>
    </row>
    <row r="1395">
      <c r="A1395" s="8" t="inlineStr">
        <is>
          <t>1972-10-01</t>
        </is>
      </c>
      <c r="B1395" s="6" t="n">
        <v>4.74</v>
      </c>
      <c r="C1395" s="8">
        <f>B1395/100/12</f>
        <v/>
      </c>
      <c r="D1395" s="8">
        <f>D1394*(1+C1395)</f>
        <v/>
      </c>
    </row>
    <row r="1396">
      <c r="A1396" s="8" t="inlineStr">
        <is>
          <t>1972-11-01</t>
        </is>
      </c>
      <c r="B1396" s="6" t="n">
        <v>4.78</v>
      </c>
      <c r="C1396" s="8">
        <f>B1396/100/12</f>
        <v/>
      </c>
      <c r="D1396" s="8">
        <f>D1395*(1+C1396)</f>
        <v/>
      </c>
    </row>
    <row r="1397">
      <c r="A1397" s="8" t="inlineStr">
        <is>
          <t>1972-12-01</t>
        </is>
      </c>
      <c r="B1397" s="6" t="n">
        <v>5.07</v>
      </c>
      <c r="C1397" s="8">
        <f>B1397/100/12</f>
        <v/>
      </c>
      <c r="D1397" s="8">
        <f>D1396*(1+C1397)</f>
        <v/>
      </c>
    </row>
    <row r="1398">
      <c r="A1398" s="8" t="inlineStr">
        <is>
          <t>1973-01-01</t>
        </is>
      </c>
      <c r="B1398" s="6" t="n">
        <v>5.41</v>
      </c>
      <c r="C1398" s="8">
        <f>B1398/100/12</f>
        <v/>
      </c>
      <c r="D1398" s="8">
        <f>D1397*(1+C1398)</f>
        <v/>
      </c>
    </row>
    <row r="1399">
      <c r="A1399" s="8" t="inlineStr">
        <is>
          <t>1973-02-01</t>
        </is>
      </c>
      <c r="B1399" s="6" t="n">
        <v>5.6</v>
      </c>
      <c r="C1399" s="8">
        <f>B1399/100/12</f>
        <v/>
      </c>
      <c r="D1399" s="8">
        <f>D1398*(1+C1399)</f>
        <v/>
      </c>
    </row>
    <row r="1400">
      <c r="A1400" s="8" t="inlineStr">
        <is>
          <t>1973-03-01</t>
        </is>
      </c>
      <c r="B1400" s="6" t="n">
        <v>6.09</v>
      </c>
      <c r="C1400" s="8">
        <f>B1400/100/12</f>
        <v/>
      </c>
      <c r="D1400" s="8">
        <f>D1399*(1+C1400)</f>
        <v/>
      </c>
    </row>
    <row r="1401">
      <c r="A1401" s="8" t="inlineStr">
        <is>
          <t>1973-04-01</t>
        </is>
      </c>
      <c r="B1401" s="6" t="n">
        <v>6.26</v>
      </c>
      <c r="C1401" s="8">
        <f>B1401/100/12</f>
        <v/>
      </c>
      <c r="D1401" s="8">
        <f>D1400*(1+C1401)</f>
        <v/>
      </c>
    </row>
    <row r="1402">
      <c r="A1402" s="8" t="inlineStr">
        <is>
          <t>1973-05-01</t>
        </is>
      </c>
      <c r="B1402" s="6" t="n">
        <v>6.36</v>
      </c>
      <c r="C1402" s="8">
        <f>B1402/100/12</f>
        <v/>
      </c>
      <c r="D1402" s="8">
        <f>D1401*(1+C1402)</f>
        <v/>
      </c>
    </row>
    <row r="1403">
      <c r="A1403" s="8" t="inlineStr">
        <is>
          <t>1973-06-01</t>
        </is>
      </c>
      <c r="B1403" s="6" t="n">
        <v>7.19</v>
      </c>
      <c r="C1403" s="8">
        <f>B1403/100/12</f>
        <v/>
      </c>
      <c r="D1403" s="8">
        <f>D1402*(1+C1403)</f>
        <v/>
      </c>
    </row>
    <row r="1404">
      <c r="A1404" s="8" t="inlineStr">
        <is>
          <t>1973-07-01</t>
        </is>
      </c>
      <c r="B1404" s="6" t="n">
        <v>8.01</v>
      </c>
      <c r="C1404" s="8">
        <f>B1404/100/12</f>
        <v/>
      </c>
      <c r="D1404" s="8">
        <f>D1403*(1+C1404)</f>
        <v/>
      </c>
    </row>
    <row r="1405">
      <c r="A1405" s="8" t="inlineStr">
        <is>
          <t>1973-08-01</t>
        </is>
      </c>
      <c r="B1405" s="6" t="n">
        <v>8.67</v>
      </c>
      <c r="C1405" s="8">
        <f>B1405/100/12</f>
        <v/>
      </c>
      <c r="D1405" s="8">
        <f>D1404*(1+C1405)</f>
        <v/>
      </c>
    </row>
    <row r="1406">
      <c r="A1406" s="8" t="inlineStr">
        <is>
          <t>1973-09-01</t>
        </is>
      </c>
      <c r="B1406" s="6" t="n">
        <v>8.289999999999999</v>
      </c>
      <c r="C1406" s="8">
        <f>B1406/100/12</f>
        <v/>
      </c>
      <c r="D1406" s="8">
        <f>D1405*(1+C1406)</f>
        <v/>
      </c>
    </row>
    <row r="1407">
      <c r="A1407" s="8" t="inlineStr">
        <is>
          <t>1973-10-01</t>
        </is>
      </c>
      <c r="B1407" s="6" t="n">
        <v>7.22</v>
      </c>
      <c r="C1407" s="8">
        <f>B1407/100/12</f>
        <v/>
      </c>
      <c r="D1407" s="8">
        <f>D1406*(1+C1407)</f>
        <v/>
      </c>
    </row>
    <row r="1408">
      <c r="A1408" s="8" t="inlineStr">
        <is>
          <t>1973-11-01</t>
        </is>
      </c>
      <c r="B1408" s="6" t="n">
        <v>7.83</v>
      </c>
      <c r="C1408" s="8">
        <f>B1408/100/12</f>
        <v/>
      </c>
      <c r="D1408" s="8">
        <f>D1407*(1+C1408)</f>
        <v/>
      </c>
    </row>
    <row r="1409">
      <c r="A1409" s="8" t="inlineStr">
        <is>
          <t>1973-12-01</t>
        </is>
      </c>
      <c r="B1409" s="6" t="n">
        <v>7.45</v>
      </c>
      <c r="C1409" s="8">
        <f>B1409/100/12</f>
        <v/>
      </c>
      <c r="D1409" s="8">
        <f>D1408*(1+C1409)</f>
        <v/>
      </c>
    </row>
    <row r="1410">
      <c r="A1410" s="8" t="inlineStr">
        <is>
          <t>1974-01-01</t>
        </is>
      </c>
      <c r="B1410" s="6" t="n">
        <v>7.77</v>
      </c>
      <c r="C1410" s="8">
        <f>B1410/100/12</f>
        <v/>
      </c>
      <c r="D1410" s="8">
        <f>D1409*(1+C1410)</f>
        <v/>
      </c>
    </row>
    <row r="1411">
      <c r="A1411" s="8" t="inlineStr">
        <is>
          <t>1974-02-01</t>
        </is>
      </c>
      <c r="B1411" s="6" t="n">
        <v>7.12</v>
      </c>
      <c r="C1411" s="8">
        <f>B1411/100/12</f>
        <v/>
      </c>
      <c r="D1411" s="8">
        <f>D1410*(1+C1411)</f>
        <v/>
      </c>
    </row>
    <row r="1412">
      <c r="A1412" s="8" t="inlineStr">
        <is>
          <t>1974-03-01</t>
        </is>
      </c>
      <c r="B1412" s="6" t="n">
        <v>7.96</v>
      </c>
      <c r="C1412" s="8">
        <f>B1412/100/12</f>
        <v/>
      </c>
      <c r="D1412" s="8">
        <f>D1411*(1+C1412)</f>
        <v/>
      </c>
    </row>
    <row r="1413">
      <c r="A1413" s="8" t="inlineStr">
        <is>
          <t>1974-04-01</t>
        </is>
      </c>
      <c r="B1413" s="6" t="n">
        <v>8.33</v>
      </c>
      <c r="C1413" s="8">
        <f>B1413/100/12</f>
        <v/>
      </c>
      <c r="D1413" s="8">
        <f>D1412*(1+C1413)</f>
        <v/>
      </c>
    </row>
    <row r="1414">
      <c r="A1414" s="8" t="inlineStr">
        <is>
          <t>1974-05-01</t>
        </is>
      </c>
      <c r="B1414" s="6" t="n">
        <v>8.23</v>
      </c>
      <c r="C1414" s="8">
        <f>B1414/100/12</f>
        <v/>
      </c>
      <c r="D1414" s="8">
        <f>D1413*(1+C1414)</f>
        <v/>
      </c>
    </row>
    <row r="1415">
      <c r="A1415" s="8" t="inlineStr">
        <is>
          <t>1974-06-01</t>
        </is>
      </c>
      <c r="B1415" s="6" t="n">
        <v>7.9</v>
      </c>
      <c r="C1415" s="8">
        <f>B1415/100/12</f>
        <v/>
      </c>
      <c r="D1415" s="8">
        <f>D1414*(1+C1415)</f>
        <v/>
      </c>
    </row>
    <row r="1416">
      <c r="A1416" s="8" t="inlineStr">
        <is>
          <t>1974-07-01</t>
        </is>
      </c>
      <c r="B1416" s="6" t="n">
        <v>7.55</v>
      </c>
      <c r="C1416" s="8">
        <f>B1416/100/12</f>
        <v/>
      </c>
      <c r="D1416" s="8">
        <f>D1415*(1+C1416)</f>
        <v/>
      </c>
    </row>
    <row r="1417">
      <c r="A1417" s="8" t="inlineStr">
        <is>
          <t>1974-08-01</t>
        </is>
      </c>
      <c r="B1417" s="6" t="n">
        <v>8.960000000000001</v>
      </c>
      <c r="C1417" s="8">
        <f>B1417/100/12</f>
        <v/>
      </c>
      <c r="D1417" s="8">
        <f>D1416*(1+C1417)</f>
        <v/>
      </c>
    </row>
    <row r="1418">
      <c r="A1418" s="8" t="inlineStr">
        <is>
          <t>1974-09-01</t>
        </is>
      </c>
      <c r="B1418" s="6" t="n">
        <v>8.06</v>
      </c>
      <c r="C1418" s="8">
        <f>B1418/100/12</f>
        <v/>
      </c>
      <c r="D1418" s="8">
        <f>D1417*(1+C1418)</f>
        <v/>
      </c>
    </row>
    <row r="1419">
      <c r="A1419" s="8" t="inlineStr">
        <is>
          <t>1974-10-01</t>
        </is>
      </c>
      <c r="B1419" s="6" t="n">
        <v>7.46</v>
      </c>
      <c r="C1419" s="8">
        <f>B1419/100/12</f>
        <v/>
      </c>
      <c r="D1419" s="8">
        <f>D1418*(1+C1419)</f>
        <v/>
      </c>
    </row>
    <row r="1420">
      <c r="A1420" s="8" t="inlineStr">
        <is>
          <t>1974-11-01</t>
        </is>
      </c>
      <c r="B1420" s="6" t="n">
        <v>7.47</v>
      </c>
      <c r="C1420" s="8">
        <f>B1420/100/12</f>
        <v/>
      </c>
      <c r="D1420" s="8">
        <f>D1419*(1+C1420)</f>
        <v/>
      </c>
    </row>
    <row r="1421">
      <c r="A1421" s="8" t="inlineStr">
        <is>
          <t>1974-12-01</t>
        </is>
      </c>
      <c r="B1421" s="6" t="n">
        <v>7.15</v>
      </c>
      <c r="C1421" s="8">
        <f>B1421/100/12</f>
        <v/>
      </c>
      <c r="D1421" s="8">
        <f>D1420*(1+C1421)</f>
        <v/>
      </c>
    </row>
    <row r="1422">
      <c r="A1422" s="8" t="inlineStr">
        <is>
          <t>1975-01-01</t>
        </is>
      </c>
      <c r="B1422" s="6" t="n">
        <v>6.26</v>
      </c>
      <c r="C1422" s="8">
        <f>B1422/100/12</f>
        <v/>
      </c>
      <c r="D1422" s="8">
        <f>D1421*(1+C1422)</f>
        <v/>
      </c>
    </row>
    <row r="1423">
      <c r="A1423" s="8" t="inlineStr">
        <is>
          <t>1975-02-01</t>
        </is>
      </c>
      <c r="B1423" s="6" t="n">
        <v>5.5</v>
      </c>
      <c r="C1423" s="8">
        <f>B1423/100/12</f>
        <v/>
      </c>
      <c r="D1423" s="8">
        <f>D1422*(1+C1423)</f>
        <v/>
      </c>
    </row>
    <row r="1424">
      <c r="A1424" s="8" t="inlineStr">
        <is>
          <t>1975-03-01</t>
        </is>
      </c>
      <c r="B1424" s="6" t="n">
        <v>5.49</v>
      </c>
      <c r="C1424" s="8">
        <f>B1424/100/12</f>
        <v/>
      </c>
      <c r="D1424" s="8">
        <f>D1423*(1+C1424)</f>
        <v/>
      </c>
    </row>
    <row r="1425">
      <c r="A1425" s="8" t="inlineStr">
        <is>
          <t>1975-04-01</t>
        </is>
      </c>
      <c r="B1425" s="6" t="n">
        <v>5.61</v>
      </c>
      <c r="C1425" s="8">
        <f>B1425/100/12</f>
        <v/>
      </c>
      <c r="D1425" s="8">
        <f>D1424*(1+C1425)</f>
        <v/>
      </c>
    </row>
    <row r="1426">
      <c r="A1426" s="8" t="inlineStr">
        <is>
          <t>1975-05-01</t>
        </is>
      </c>
      <c r="B1426" s="6" t="n">
        <v>5.23</v>
      </c>
      <c r="C1426" s="8">
        <f>B1426/100/12</f>
        <v/>
      </c>
      <c r="D1426" s="8">
        <f>D1425*(1+C1426)</f>
        <v/>
      </c>
    </row>
    <row r="1427">
      <c r="A1427" s="8" t="inlineStr">
        <is>
          <t>1975-06-01</t>
        </is>
      </c>
      <c r="B1427" s="6" t="n">
        <v>5.34</v>
      </c>
      <c r="C1427" s="8">
        <f>B1427/100/12</f>
        <v/>
      </c>
      <c r="D1427" s="8">
        <f>D1426*(1+C1427)</f>
        <v/>
      </c>
    </row>
    <row r="1428">
      <c r="A1428" s="8" t="inlineStr">
        <is>
          <t>1975-07-01</t>
        </is>
      </c>
      <c r="B1428" s="6" t="n">
        <v>6.13</v>
      </c>
      <c r="C1428" s="8">
        <f>B1428/100/12</f>
        <v/>
      </c>
      <c r="D1428" s="8">
        <f>D1427*(1+C1428)</f>
        <v/>
      </c>
    </row>
    <row r="1429">
      <c r="A1429" s="8" t="inlineStr">
        <is>
          <t>1975-08-01</t>
        </is>
      </c>
      <c r="B1429" s="6" t="n">
        <v>6.44</v>
      </c>
      <c r="C1429" s="8">
        <f>B1429/100/12</f>
        <v/>
      </c>
      <c r="D1429" s="8">
        <f>D1428*(1+C1429)</f>
        <v/>
      </c>
    </row>
    <row r="1430">
      <c r="A1430" s="8" t="inlineStr">
        <is>
          <t>1975-09-01</t>
        </is>
      </c>
      <c r="B1430" s="6" t="n">
        <v>6.42</v>
      </c>
      <c r="C1430" s="8">
        <f>B1430/100/12</f>
        <v/>
      </c>
      <c r="D1430" s="8">
        <f>D1429*(1+C1430)</f>
        <v/>
      </c>
    </row>
    <row r="1431">
      <c r="A1431" s="8" t="inlineStr">
        <is>
          <t>1975-10-01</t>
        </is>
      </c>
      <c r="B1431" s="6" t="n">
        <v>5.96</v>
      </c>
      <c r="C1431" s="8">
        <f>B1431/100/12</f>
        <v/>
      </c>
      <c r="D1431" s="8">
        <f>D1430*(1+C1431)</f>
        <v/>
      </c>
    </row>
    <row r="1432">
      <c r="A1432" s="8" t="inlineStr">
        <is>
          <t>1975-11-01</t>
        </is>
      </c>
      <c r="B1432" s="6" t="n">
        <v>5.48</v>
      </c>
      <c r="C1432" s="8">
        <f>B1432/100/12</f>
        <v/>
      </c>
      <c r="D1432" s="8">
        <f>D1431*(1+C1432)</f>
        <v/>
      </c>
    </row>
    <row r="1433">
      <c r="A1433" s="8" t="inlineStr">
        <is>
          <t>1975-12-01</t>
        </is>
      </c>
      <c r="B1433" s="6" t="n">
        <v>5.44</v>
      </c>
      <c r="C1433" s="8">
        <f>B1433/100/12</f>
        <v/>
      </c>
      <c r="D1433" s="8">
        <f>D1432*(1+C1433)</f>
        <v/>
      </c>
    </row>
    <row r="1434">
      <c r="A1434" s="8" t="inlineStr">
        <is>
          <t>1976-01-01</t>
        </is>
      </c>
      <c r="B1434" s="6" t="n">
        <v>4.87</v>
      </c>
      <c r="C1434" s="8">
        <f>B1434/100/12</f>
        <v/>
      </c>
      <c r="D1434" s="8">
        <f>D1433*(1+C1434)</f>
        <v/>
      </c>
    </row>
    <row r="1435">
      <c r="A1435" s="8" t="inlineStr">
        <is>
          <t>1976-02-01</t>
        </is>
      </c>
      <c r="B1435" s="6" t="n">
        <v>4.88</v>
      </c>
      <c r="C1435" s="8">
        <f>B1435/100/12</f>
        <v/>
      </c>
      <c r="D1435" s="8">
        <f>D1434*(1+C1435)</f>
        <v/>
      </c>
    </row>
    <row r="1436">
      <c r="A1436" s="8" t="inlineStr">
        <is>
          <t>1976-03-01</t>
        </is>
      </c>
      <c r="B1436" s="6" t="n">
        <v>5</v>
      </c>
      <c r="C1436" s="8">
        <f>B1436/100/12</f>
        <v/>
      </c>
      <c r="D1436" s="8">
        <f>D1435*(1+C1436)</f>
        <v/>
      </c>
    </row>
    <row r="1437">
      <c r="A1437" s="8" t="inlineStr">
        <is>
          <t>1976-04-01</t>
        </is>
      </c>
      <c r="B1437" s="6" t="n">
        <v>4.86</v>
      </c>
      <c r="C1437" s="8">
        <f>B1437/100/12</f>
        <v/>
      </c>
      <c r="D1437" s="8">
        <f>D1436*(1+C1437)</f>
        <v/>
      </c>
    </row>
    <row r="1438">
      <c r="A1438" s="8" t="inlineStr">
        <is>
          <t>1976-05-01</t>
        </is>
      </c>
      <c r="B1438" s="6" t="n">
        <v>5.2</v>
      </c>
      <c r="C1438" s="8">
        <f>B1438/100/12</f>
        <v/>
      </c>
      <c r="D1438" s="8">
        <f>D1437*(1+C1438)</f>
        <v/>
      </c>
    </row>
    <row r="1439">
      <c r="A1439" s="8" t="inlineStr">
        <is>
          <t>1976-06-01</t>
        </is>
      </c>
      <c r="B1439" s="6" t="n">
        <v>5.41</v>
      </c>
      <c r="C1439" s="8">
        <f>B1439/100/12</f>
        <v/>
      </c>
      <c r="D1439" s="8">
        <f>D1438*(1+C1439)</f>
        <v/>
      </c>
    </row>
    <row r="1440">
      <c r="A1440" s="8" t="inlineStr">
        <is>
          <t>1976-07-01</t>
        </is>
      </c>
      <c r="B1440" s="6" t="n">
        <v>5.23</v>
      </c>
      <c r="C1440" s="8">
        <f>B1440/100/12</f>
        <v/>
      </c>
      <c r="D1440" s="8">
        <f>D1439*(1+C1440)</f>
        <v/>
      </c>
    </row>
    <row r="1441">
      <c r="A1441" s="8" t="inlineStr">
        <is>
          <t>1976-08-01</t>
        </is>
      </c>
      <c r="B1441" s="6" t="n">
        <v>5.14</v>
      </c>
      <c r="C1441" s="8">
        <f>B1441/100/12</f>
        <v/>
      </c>
      <c r="D1441" s="8">
        <f>D1440*(1+C1441)</f>
        <v/>
      </c>
    </row>
    <row r="1442">
      <c r="A1442" s="8" t="inlineStr">
        <is>
          <t>1976-09-01</t>
        </is>
      </c>
      <c r="B1442" s="6" t="n">
        <v>5.08</v>
      </c>
      <c r="C1442" s="8">
        <f>B1442/100/12</f>
        <v/>
      </c>
      <c r="D1442" s="8">
        <f>D1441*(1+C1442)</f>
        <v/>
      </c>
    </row>
    <row r="1443">
      <c r="A1443" s="8" t="inlineStr">
        <is>
          <t>1976-10-01</t>
        </is>
      </c>
      <c r="B1443" s="6" t="n">
        <v>4.92</v>
      </c>
      <c r="C1443" s="8">
        <f>B1443/100/12</f>
        <v/>
      </c>
      <c r="D1443" s="8">
        <f>D1442*(1+C1443)</f>
        <v/>
      </c>
    </row>
    <row r="1444">
      <c r="A1444" s="8" t="inlineStr">
        <is>
          <t>1976-11-01</t>
        </is>
      </c>
      <c r="B1444" s="6" t="n">
        <v>4.75</v>
      </c>
      <c r="C1444" s="8">
        <f>B1444/100/12</f>
        <v/>
      </c>
      <c r="D1444" s="8">
        <f>D1443*(1+C1444)</f>
        <v/>
      </c>
    </row>
    <row r="1445">
      <c r="A1445" s="8" t="inlineStr">
        <is>
          <t>1976-12-01</t>
        </is>
      </c>
      <c r="B1445" s="6" t="n">
        <v>4.35</v>
      </c>
      <c r="C1445" s="8">
        <f>B1445/100/12</f>
        <v/>
      </c>
      <c r="D1445" s="8">
        <f>D1444*(1+C1445)</f>
        <v/>
      </c>
    </row>
    <row r="1446">
      <c r="A1446" s="8" t="inlineStr">
        <is>
          <t>1977-01-01</t>
        </is>
      </c>
      <c r="B1446" s="6" t="n">
        <v>4.62</v>
      </c>
      <c r="C1446" s="8">
        <f>B1446/100/12</f>
        <v/>
      </c>
      <c r="D1446" s="8">
        <f>D1445*(1+C1446)</f>
        <v/>
      </c>
    </row>
    <row r="1447">
      <c r="A1447" s="8" t="inlineStr">
        <is>
          <t>1977-02-01</t>
        </is>
      </c>
      <c r="B1447" s="6" t="n">
        <v>4.67</v>
      </c>
      <c r="C1447" s="8">
        <f>B1447/100/12</f>
        <v/>
      </c>
      <c r="D1447" s="8">
        <f>D1446*(1+C1447)</f>
        <v/>
      </c>
    </row>
    <row r="1448">
      <c r="A1448" s="8" t="inlineStr">
        <is>
          <t>1977-03-01</t>
        </is>
      </c>
      <c r="B1448" s="6" t="n">
        <v>4.6</v>
      </c>
      <c r="C1448" s="8">
        <f>B1448/100/12</f>
        <v/>
      </c>
      <c r="D1448" s="8">
        <f>D1447*(1+C1448)</f>
        <v/>
      </c>
    </row>
    <row r="1449">
      <c r="A1449" s="8" t="inlineStr">
        <is>
          <t>1977-04-01</t>
        </is>
      </c>
      <c r="B1449" s="6" t="n">
        <v>4.54</v>
      </c>
      <c r="C1449" s="8">
        <f>B1449/100/12</f>
        <v/>
      </c>
      <c r="D1449" s="8">
        <f>D1448*(1+C1449)</f>
        <v/>
      </c>
    </row>
    <row r="1450">
      <c r="A1450" s="8" t="inlineStr">
        <is>
          <t>1977-05-01</t>
        </is>
      </c>
      <c r="B1450" s="6" t="n">
        <v>4.96</v>
      </c>
      <c r="C1450" s="8">
        <f>B1450/100/12</f>
        <v/>
      </c>
      <c r="D1450" s="8">
        <f>D1449*(1+C1450)</f>
        <v/>
      </c>
    </row>
    <row r="1451">
      <c r="A1451" s="8" t="inlineStr">
        <is>
          <t>1977-06-01</t>
        </is>
      </c>
      <c r="B1451" s="6" t="n">
        <v>5.02</v>
      </c>
      <c r="C1451" s="8">
        <f>B1451/100/12</f>
        <v/>
      </c>
      <c r="D1451" s="8">
        <f>D1450*(1+C1451)</f>
        <v/>
      </c>
    </row>
    <row r="1452">
      <c r="A1452" s="8" t="inlineStr">
        <is>
          <t>1977-07-01</t>
        </is>
      </c>
      <c r="B1452" s="6" t="n">
        <v>5.19</v>
      </c>
      <c r="C1452" s="8">
        <f>B1452/100/12</f>
        <v/>
      </c>
      <c r="D1452" s="8">
        <f>D1451*(1+C1452)</f>
        <v/>
      </c>
    </row>
    <row r="1453">
      <c r="A1453" s="8" t="inlineStr">
        <is>
          <t>1977-08-01</t>
        </is>
      </c>
      <c r="B1453" s="6" t="n">
        <v>5.49</v>
      </c>
      <c r="C1453" s="8">
        <f>B1453/100/12</f>
        <v/>
      </c>
      <c r="D1453" s="8">
        <f>D1452*(1+C1453)</f>
        <v/>
      </c>
    </row>
    <row r="1454">
      <c r="A1454" s="8" t="inlineStr">
        <is>
          <t>1977-09-01</t>
        </is>
      </c>
      <c r="B1454" s="6" t="n">
        <v>5.81</v>
      </c>
      <c r="C1454" s="8">
        <f>B1454/100/12</f>
        <v/>
      </c>
      <c r="D1454" s="8">
        <f>D1453*(1+C1454)</f>
        <v/>
      </c>
    </row>
    <row r="1455">
      <c r="A1455" s="8" t="inlineStr">
        <is>
          <t>1977-10-01</t>
        </is>
      </c>
      <c r="B1455" s="6" t="n">
        <v>6.16</v>
      </c>
      <c r="C1455" s="8">
        <f>B1455/100/12</f>
        <v/>
      </c>
      <c r="D1455" s="8">
        <f>D1454*(1+C1455)</f>
        <v/>
      </c>
    </row>
    <row r="1456">
      <c r="A1456" s="8" t="inlineStr">
        <is>
          <t>1977-11-01</t>
        </is>
      </c>
      <c r="B1456" s="6" t="n">
        <v>6.1</v>
      </c>
      <c r="C1456" s="8">
        <f>B1456/100/12</f>
        <v/>
      </c>
      <c r="D1456" s="8">
        <f>D1455*(1+C1456)</f>
        <v/>
      </c>
    </row>
    <row r="1457">
      <c r="A1457" s="8" t="inlineStr">
        <is>
          <t>1977-12-01</t>
        </is>
      </c>
      <c r="B1457" s="6" t="n">
        <v>6.07</v>
      </c>
      <c r="C1457" s="8">
        <f>B1457/100/12</f>
        <v/>
      </c>
      <c r="D1457" s="8">
        <f>D1456*(1+C1457)</f>
        <v/>
      </c>
    </row>
    <row r="1458">
      <c r="A1458" s="8" t="inlineStr">
        <is>
          <t>1978-01-01</t>
        </is>
      </c>
      <c r="B1458" s="6" t="n">
        <v>6.44</v>
      </c>
      <c r="C1458" s="8">
        <f>B1458/100/12</f>
        <v/>
      </c>
      <c r="D1458" s="8">
        <f>D1457*(1+C1458)</f>
        <v/>
      </c>
    </row>
    <row r="1459">
      <c r="A1459" s="8" t="inlineStr">
        <is>
          <t>1978-02-01</t>
        </is>
      </c>
      <c r="B1459" s="6" t="n">
        <v>6.45</v>
      </c>
      <c r="C1459" s="8">
        <f>B1459/100/12</f>
        <v/>
      </c>
      <c r="D1459" s="8">
        <f>D1458*(1+C1459)</f>
        <v/>
      </c>
    </row>
    <row r="1460">
      <c r="A1460" s="8" t="inlineStr">
        <is>
          <t>1978-03-01</t>
        </is>
      </c>
      <c r="B1460" s="6" t="n">
        <v>6.29</v>
      </c>
      <c r="C1460" s="8">
        <f>B1460/100/12</f>
        <v/>
      </c>
      <c r="D1460" s="8">
        <f>D1459*(1+C1460)</f>
        <v/>
      </c>
    </row>
    <row r="1461">
      <c r="A1461" s="8" t="inlineStr">
        <is>
          <t>1978-04-01</t>
        </is>
      </c>
      <c r="B1461" s="6" t="n">
        <v>6.29</v>
      </c>
      <c r="C1461" s="8">
        <f>B1461/100/12</f>
        <v/>
      </c>
      <c r="D1461" s="8">
        <f>D1460*(1+C1461)</f>
        <v/>
      </c>
    </row>
    <row r="1462">
      <c r="A1462" s="8" t="inlineStr">
        <is>
          <t>1978-05-01</t>
        </is>
      </c>
      <c r="B1462" s="6" t="n">
        <v>6.41</v>
      </c>
      <c r="C1462" s="8">
        <f>B1462/100/12</f>
        <v/>
      </c>
      <c r="D1462" s="8">
        <f>D1461*(1+C1462)</f>
        <v/>
      </c>
    </row>
    <row r="1463">
      <c r="A1463" s="8" t="inlineStr">
        <is>
          <t>1978-06-01</t>
        </is>
      </c>
      <c r="B1463" s="6" t="n">
        <v>6.73</v>
      </c>
      <c r="C1463" s="8">
        <f>B1463/100/12</f>
        <v/>
      </c>
      <c r="D1463" s="8">
        <f>D1462*(1+C1463)</f>
        <v/>
      </c>
    </row>
    <row r="1464">
      <c r="A1464" s="8" t="inlineStr">
        <is>
          <t>1978-07-01</t>
        </is>
      </c>
      <c r="B1464" s="6" t="n">
        <v>7.01</v>
      </c>
      <c r="C1464" s="8">
        <f>B1464/100/12</f>
        <v/>
      </c>
      <c r="D1464" s="8">
        <f>D1463*(1+C1464)</f>
        <v/>
      </c>
    </row>
    <row r="1465">
      <c r="A1465" s="8" t="inlineStr">
        <is>
          <t>1978-08-01</t>
        </is>
      </c>
      <c r="B1465" s="6" t="n">
        <v>7.08</v>
      </c>
      <c r="C1465" s="8">
        <f>B1465/100/12</f>
        <v/>
      </c>
      <c r="D1465" s="8">
        <f>D1464*(1+C1465)</f>
        <v/>
      </c>
    </row>
    <row r="1466">
      <c r="A1466" s="8" t="inlineStr">
        <is>
          <t>1978-09-01</t>
        </is>
      </c>
      <c r="B1466" s="6" t="n">
        <v>7.85</v>
      </c>
      <c r="C1466" s="8">
        <f>B1466/100/12</f>
        <v/>
      </c>
      <c r="D1466" s="8">
        <f>D1465*(1+C1466)</f>
        <v/>
      </c>
    </row>
    <row r="1467">
      <c r="A1467" s="8" t="inlineStr">
        <is>
          <t>1978-10-01</t>
        </is>
      </c>
      <c r="B1467" s="6" t="n">
        <v>7.99</v>
      </c>
      <c r="C1467" s="8">
        <f>B1467/100/12</f>
        <v/>
      </c>
      <c r="D1467" s="8">
        <f>D1466*(1+C1467)</f>
        <v/>
      </c>
    </row>
    <row r="1468">
      <c r="A1468" s="8" t="inlineStr">
        <is>
          <t>1978-11-01</t>
        </is>
      </c>
      <c r="B1468" s="6" t="n">
        <v>8.640000000000001</v>
      </c>
      <c r="C1468" s="8">
        <f>B1468/100/12</f>
        <v/>
      </c>
      <c r="D1468" s="8">
        <f>D1467*(1+C1468)</f>
        <v/>
      </c>
    </row>
    <row r="1469">
      <c r="A1469" s="8" t="inlineStr">
        <is>
          <t>1978-12-01</t>
        </is>
      </c>
      <c r="B1469" s="6" t="n">
        <v>9.08</v>
      </c>
      <c r="C1469" s="8">
        <f>B1469/100/12</f>
        <v/>
      </c>
      <c r="D1469" s="8">
        <f>D1468*(1+C1469)</f>
        <v/>
      </c>
    </row>
    <row r="1470">
      <c r="A1470" s="8" t="inlineStr">
        <is>
          <t>1979-01-01</t>
        </is>
      </c>
      <c r="B1470" s="6" t="n">
        <v>9.35</v>
      </c>
      <c r="C1470" s="8">
        <f>B1470/100/12</f>
        <v/>
      </c>
      <c r="D1470" s="8">
        <f>D1469*(1+C1470)</f>
        <v/>
      </c>
    </row>
    <row r="1471">
      <c r="A1471" s="8" t="inlineStr">
        <is>
          <t>1979-02-01</t>
        </is>
      </c>
      <c r="B1471" s="6" t="n">
        <v>9.32</v>
      </c>
      <c r="C1471" s="8">
        <f>B1471/100/12</f>
        <v/>
      </c>
      <c r="D1471" s="8">
        <f>D1470*(1+C1471)</f>
        <v/>
      </c>
    </row>
    <row r="1472">
      <c r="A1472" s="8" t="inlineStr">
        <is>
          <t>1979-03-01</t>
        </is>
      </c>
      <c r="B1472" s="6" t="n">
        <v>9.48</v>
      </c>
      <c r="C1472" s="8">
        <f>B1472/100/12</f>
        <v/>
      </c>
      <c r="D1472" s="8">
        <f>D1471*(1+C1472)</f>
        <v/>
      </c>
    </row>
    <row r="1473">
      <c r="A1473" s="8" t="inlineStr">
        <is>
          <t>1979-04-01</t>
        </is>
      </c>
      <c r="B1473" s="6" t="n">
        <v>9.460000000000001</v>
      </c>
      <c r="C1473" s="8">
        <f>B1473/100/12</f>
        <v/>
      </c>
      <c r="D1473" s="8">
        <f>D1472*(1+C1473)</f>
        <v/>
      </c>
    </row>
    <row r="1474">
      <c r="A1474" s="8" t="inlineStr">
        <is>
          <t>1979-05-01</t>
        </is>
      </c>
      <c r="B1474" s="6" t="n">
        <v>9.609999999999999</v>
      </c>
      <c r="C1474" s="8">
        <f>B1474/100/12</f>
        <v/>
      </c>
      <c r="D1474" s="8">
        <f>D1473*(1+C1474)</f>
        <v/>
      </c>
    </row>
    <row r="1475">
      <c r="A1475" s="8" t="inlineStr">
        <is>
          <t>1979-06-01</t>
        </is>
      </c>
      <c r="B1475" s="6" t="n">
        <v>9.06</v>
      </c>
      <c r="C1475" s="8">
        <f>B1475/100/12</f>
        <v/>
      </c>
      <c r="D1475" s="8">
        <f>D1474*(1+C1475)</f>
        <v/>
      </c>
    </row>
    <row r="1476">
      <c r="A1476" s="8" t="inlineStr">
        <is>
          <t>1979-07-01</t>
        </is>
      </c>
      <c r="B1476" s="6" t="n">
        <v>9.24</v>
      </c>
      <c r="C1476" s="8">
        <f>B1476/100/12</f>
        <v/>
      </c>
      <c r="D1476" s="8">
        <f>D1475*(1+C1476)</f>
        <v/>
      </c>
    </row>
    <row r="1477">
      <c r="A1477" s="8" t="inlineStr">
        <is>
          <t>1979-08-01</t>
        </is>
      </c>
      <c r="B1477" s="6" t="n">
        <v>9.52</v>
      </c>
      <c r="C1477" s="8">
        <f>B1477/100/12</f>
        <v/>
      </c>
      <c r="D1477" s="8">
        <f>D1476*(1+C1477)</f>
        <v/>
      </c>
    </row>
    <row r="1478">
      <c r="A1478" s="8" t="inlineStr">
        <is>
          <t>1979-09-01</t>
        </is>
      </c>
      <c r="B1478" s="6" t="n">
        <v>10.26</v>
      </c>
      <c r="C1478" s="8">
        <f>B1478/100/12</f>
        <v/>
      </c>
      <c r="D1478" s="8">
        <f>D1477*(1+C1478)</f>
        <v/>
      </c>
    </row>
    <row r="1479">
      <c r="A1479" s="8" t="inlineStr">
        <is>
          <t>1979-10-01</t>
        </is>
      </c>
      <c r="B1479" s="6" t="n">
        <v>11.7</v>
      </c>
      <c r="C1479" s="8">
        <f>B1479/100/12</f>
        <v/>
      </c>
      <c r="D1479" s="8">
        <f>D1478*(1+C1479)</f>
        <v/>
      </c>
    </row>
    <row r="1480">
      <c r="A1480" s="8" t="inlineStr">
        <is>
          <t>1979-11-01</t>
        </is>
      </c>
      <c r="B1480" s="6" t="n">
        <v>11.79</v>
      </c>
      <c r="C1480" s="8">
        <f>B1480/100/12</f>
        <v/>
      </c>
      <c r="D1480" s="8">
        <f>D1479*(1+C1480)</f>
        <v/>
      </c>
    </row>
    <row r="1481">
      <c r="A1481" s="8" t="inlineStr">
        <is>
          <t>1979-12-01</t>
        </is>
      </c>
      <c r="B1481" s="6" t="n">
        <v>12.04</v>
      </c>
      <c r="C1481" s="8">
        <f>B1481/100/12</f>
        <v/>
      </c>
      <c r="D1481" s="8">
        <f>D1480*(1+C1481)</f>
        <v/>
      </c>
    </row>
    <row r="1482">
      <c r="A1482" s="8" t="inlineStr">
        <is>
          <t>1980-01-01</t>
        </is>
      </c>
      <c r="B1482" s="6" t="n">
        <v>12</v>
      </c>
      <c r="C1482" s="8">
        <f>B1482/100/12</f>
        <v/>
      </c>
      <c r="D1482" s="8">
        <f>D1481*(1+C1482)</f>
        <v/>
      </c>
    </row>
    <row r="1483">
      <c r="A1483" s="8" t="inlineStr">
        <is>
          <t>1980-02-01</t>
        </is>
      </c>
      <c r="B1483" s="6" t="n">
        <v>12.86</v>
      </c>
      <c r="C1483" s="8">
        <f>B1483/100/12</f>
        <v/>
      </c>
      <c r="D1483" s="8">
        <f>D1482*(1+C1483)</f>
        <v/>
      </c>
    </row>
    <row r="1484">
      <c r="A1484" s="8" t="inlineStr">
        <is>
          <t>1980-03-01</t>
        </is>
      </c>
      <c r="B1484" s="6" t="n">
        <v>15.2</v>
      </c>
      <c r="C1484" s="8">
        <f>B1484/100/12</f>
        <v/>
      </c>
      <c r="D1484" s="8">
        <f>D1483*(1+C1484)</f>
        <v/>
      </c>
    </row>
    <row r="1485">
      <c r="A1485" s="8" t="inlineStr">
        <is>
          <t>1980-04-01</t>
        </is>
      </c>
      <c r="B1485" s="6" t="n">
        <v>13.2</v>
      </c>
      <c r="C1485" s="8">
        <f>B1485/100/12</f>
        <v/>
      </c>
      <c r="D1485" s="8">
        <f>D1484*(1+C1485)</f>
        <v/>
      </c>
    </row>
    <row r="1486">
      <c r="A1486" s="8" t="inlineStr">
        <is>
          <t>1980-05-01</t>
        </is>
      </c>
      <c r="B1486" s="6" t="n">
        <v>8.58</v>
      </c>
      <c r="C1486" s="8">
        <f>B1486/100/12</f>
        <v/>
      </c>
      <c r="D1486" s="8">
        <f>D1485*(1+C1486)</f>
        <v/>
      </c>
    </row>
    <row r="1487">
      <c r="A1487" s="8" t="inlineStr">
        <is>
          <t>1980-06-01</t>
        </is>
      </c>
      <c r="B1487" s="6" t="n">
        <v>7.07</v>
      </c>
      <c r="C1487" s="8">
        <f>B1487/100/12</f>
        <v/>
      </c>
      <c r="D1487" s="8">
        <f>D1486*(1+C1487)</f>
        <v/>
      </c>
    </row>
    <row r="1488">
      <c r="A1488" s="8" t="inlineStr">
        <is>
          <t>1980-07-01</t>
        </is>
      </c>
      <c r="B1488" s="6" t="n">
        <v>8.06</v>
      </c>
      <c r="C1488" s="8">
        <f>B1488/100/12</f>
        <v/>
      </c>
      <c r="D1488" s="8">
        <f>D1487*(1+C1488)</f>
        <v/>
      </c>
    </row>
    <row r="1489">
      <c r="A1489" s="8" t="inlineStr">
        <is>
          <t>1980-08-01</t>
        </is>
      </c>
      <c r="B1489" s="6" t="n">
        <v>9.130000000000001</v>
      </c>
      <c r="C1489" s="8">
        <f>B1489/100/12</f>
        <v/>
      </c>
      <c r="D1489" s="8">
        <f>D1488*(1+C1489)</f>
        <v/>
      </c>
    </row>
    <row r="1490">
      <c r="A1490" s="8" t="inlineStr">
        <is>
          <t>1980-09-01</t>
        </is>
      </c>
      <c r="B1490" s="6" t="n">
        <v>10.27</v>
      </c>
      <c r="C1490" s="8">
        <f>B1490/100/12</f>
        <v/>
      </c>
      <c r="D1490" s="8">
        <f>D1489*(1+C1490)</f>
        <v/>
      </c>
    </row>
    <row r="1491">
      <c r="A1491" s="8" t="inlineStr">
        <is>
          <t>1980-10-01</t>
        </is>
      </c>
      <c r="B1491" s="6" t="n">
        <v>11.62</v>
      </c>
      <c r="C1491" s="8">
        <f>B1491/100/12</f>
        <v/>
      </c>
      <c r="D1491" s="8">
        <f>D1490*(1+C1491)</f>
        <v/>
      </c>
    </row>
    <row r="1492">
      <c r="A1492" s="8" t="inlineStr">
        <is>
          <t>1980-11-01</t>
        </is>
      </c>
      <c r="B1492" s="6" t="n">
        <v>13.73</v>
      </c>
      <c r="C1492" s="8">
        <f>B1492/100/12</f>
        <v/>
      </c>
      <c r="D1492" s="8">
        <f>D1491*(1+C1492)</f>
        <v/>
      </c>
    </row>
    <row r="1493">
      <c r="A1493" s="8" t="inlineStr">
        <is>
          <t>1980-12-01</t>
        </is>
      </c>
      <c r="B1493" s="6" t="n">
        <v>15.49</v>
      </c>
      <c r="C1493" s="8">
        <f>B1493/100/12</f>
        <v/>
      </c>
      <c r="D1493" s="8">
        <f>D1492*(1+C1493)</f>
        <v/>
      </c>
    </row>
    <row r="1494">
      <c r="A1494" s="8" t="inlineStr">
        <is>
          <t>1981-01-01</t>
        </is>
      </c>
      <c r="B1494" s="6" t="n">
        <v>15.02</v>
      </c>
      <c r="C1494" s="8">
        <f>B1494/100/12</f>
        <v/>
      </c>
      <c r="D1494" s="8">
        <f>D1493*(1+C1494)</f>
        <v/>
      </c>
    </row>
    <row r="1495">
      <c r="A1495" s="8" t="inlineStr">
        <is>
          <t>1981-02-01</t>
        </is>
      </c>
      <c r="B1495" s="6" t="n">
        <v>14.79</v>
      </c>
      <c r="C1495" s="8">
        <f>B1495/100/12</f>
        <v/>
      </c>
      <c r="D1495" s="8">
        <f>D1494*(1+C1495)</f>
        <v/>
      </c>
    </row>
    <row r="1496">
      <c r="A1496" s="8" t="inlineStr">
        <is>
          <t>1981-03-01</t>
        </is>
      </c>
      <c r="B1496" s="6" t="n">
        <v>13.36</v>
      </c>
      <c r="C1496" s="8">
        <f>B1496/100/12</f>
        <v/>
      </c>
      <c r="D1496" s="8">
        <f>D1495*(1+C1496)</f>
        <v/>
      </c>
    </row>
    <row r="1497">
      <c r="A1497" s="8" t="inlineStr">
        <is>
          <t>1981-04-01</t>
        </is>
      </c>
      <c r="B1497" s="6" t="n">
        <v>13.69</v>
      </c>
      <c r="C1497" s="8">
        <f>B1497/100/12</f>
        <v/>
      </c>
      <c r="D1497" s="8">
        <f>D1496*(1+C1497)</f>
        <v/>
      </c>
    </row>
    <row r="1498">
      <c r="A1498" s="8" t="inlineStr">
        <is>
          <t>1981-05-01</t>
        </is>
      </c>
      <c r="B1498" s="6" t="n">
        <v>16.3</v>
      </c>
      <c r="C1498" s="8">
        <f>B1498/100/12</f>
        <v/>
      </c>
      <c r="D1498" s="8">
        <f>D1497*(1+C1498)</f>
        <v/>
      </c>
    </row>
    <row r="1499">
      <c r="A1499" s="8" t="inlineStr">
        <is>
          <t>1981-06-01</t>
        </is>
      </c>
      <c r="B1499" s="6" t="n">
        <v>14.73</v>
      </c>
      <c r="C1499" s="8">
        <f>B1499/100/12</f>
        <v/>
      </c>
      <c r="D1499" s="8">
        <f>D1498*(1+C1499)</f>
        <v/>
      </c>
    </row>
    <row r="1500">
      <c r="A1500" s="8" t="inlineStr">
        <is>
          <t>1981-07-01</t>
        </is>
      </c>
      <c r="B1500" s="6" t="n">
        <v>14.95</v>
      </c>
      <c r="C1500" s="8">
        <f>B1500/100/12</f>
        <v/>
      </c>
      <c r="D1500" s="8">
        <f>D1499*(1+C1500)</f>
        <v/>
      </c>
    </row>
    <row r="1501">
      <c r="A1501" s="8" t="inlineStr">
        <is>
          <t>1981-08-01</t>
        </is>
      </c>
      <c r="B1501" s="6" t="n">
        <v>15.51</v>
      </c>
      <c r="C1501" s="8">
        <f>B1501/100/12</f>
        <v/>
      </c>
      <c r="D1501" s="8">
        <f>D1500*(1+C1501)</f>
        <v/>
      </c>
    </row>
    <row r="1502">
      <c r="A1502" s="8" t="inlineStr">
        <is>
          <t>1981-09-01</t>
        </is>
      </c>
      <c r="B1502" s="6" t="n">
        <v>14.7</v>
      </c>
      <c r="C1502" s="8">
        <f>B1502/100/12</f>
        <v/>
      </c>
      <c r="D1502" s="8">
        <f>D1501*(1+C1502)</f>
        <v/>
      </c>
    </row>
    <row r="1503">
      <c r="A1503" s="8" t="inlineStr">
        <is>
          <t>1981-10-01</t>
        </is>
      </c>
      <c r="B1503" s="6" t="n">
        <v>13.54</v>
      </c>
      <c r="C1503" s="8">
        <f>B1503/100/12</f>
        <v/>
      </c>
      <c r="D1503" s="8">
        <f>D1502*(1+C1503)</f>
        <v/>
      </c>
    </row>
    <row r="1504">
      <c r="A1504" s="8" t="inlineStr">
        <is>
          <t>1981-11-01</t>
        </is>
      </c>
      <c r="B1504" s="6" t="n">
        <v>10.86</v>
      </c>
      <c r="C1504" s="8">
        <f>B1504/100/12</f>
        <v/>
      </c>
      <c r="D1504" s="8">
        <f>D1503*(1+C1504)</f>
        <v/>
      </c>
    </row>
    <row r="1505">
      <c r="A1505" s="8" t="inlineStr">
        <is>
          <t>1981-12-01</t>
        </is>
      </c>
      <c r="B1505" s="6" t="n">
        <v>10.85</v>
      </c>
      <c r="C1505" s="8">
        <f>B1505/100/12</f>
        <v/>
      </c>
      <c r="D1505" s="8">
        <f>D1504*(1+C1505)</f>
        <v/>
      </c>
    </row>
    <row r="1506">
      <c r="A1506" s="8" t="inlineStr">
        <is>
          <t>1982-01-01</t>
        </is>
      </c>
      <c r="B1506" s="6" t="n">
        <v>12.28</v>
      </c>
      <c r="C1506" s="8">
        <f>B1506/100/12</f>
        <v/>
      </c>
      <c r="D1506" s="8">
        <f>D1505*(1+C1506)</f>
        <v/>
      </c>
    </row>
    <row r="1507">
      <c r="A1507" s="8" t="inlineStr">
        <is>
          <t>1982-02-01</t>
        </is>
      </c>
      <c r="B1507" s="6" t="n">
        <v>13.48</v>
      </c>
      <c r="C1507" s="8">
        <f>B1507/100/12</f>
        <v/>
      </c>
      <c r="D1507" s="8">
        <f>D1506*(1+C1507)</f>
        <v/>
      </c>
    </row>
    <row r="1508">
      <c r="A1508" s="8" t="inlineStr">
        <is>
          <t>1982-03-01</t>
        </is>
      </c>
      <c r="B1508" s="6" t="n">
        <v>12.68</v>
      </c>
      <c r="C1508" s="8">
        <f>B1508/100/12</f>
        <v/>
      </c>
      <c r="D1508" s="8">
        <f>D1507*(1+C1508)</f>
        <v/>
      </c>
    </row>
    <row r="1509">
      <c r="A1509" s="8" t="inlineStr">
        <is>
          <t>1982-04-01</t>
        </is>
      </c>
      <c r="B1509" s="6" t="n">
        <v>12.7</v>
      </c>
      <c r="C1509" s="8">
        <f>B1509/100/12</f>
        <v/>
      </c>
      <c r="D1509" s="8">
        <f>D1508*(1+C1509)</f>
        <v/>
      </c>
    </row>
    <row r="1510">
      <c r="A1510" s="8" t="inlineStr">
        <is>
          <t>1982-05-01</t>
        </is>
      </c>
      <c r="B1510" s="6" t="n">
        <v>12.09</v>
      </c>
      <c r="C1510" s="8">
        <f>B1510/100/12</f>
        <v/>
      </c>
      <c r="D1510" s="8">
        <f>D1509*(1+C1510)</f>
        <v/>
      </c>
    </row>
    <row r="1511">
      <c r="A1511" s="8" t="inlineStr">
        <is>
          <t>1982-06-01</t>
        </is>
      </c>
      <c r="B1511" s="6" t="n">
        <v>12.47</v>
      </c>
      <c r="C1511" s="8">
        <f>B1511/100/12</f>
        <v/>
      </c>
      <c r="D1511" s="8">
        <f>D1510*(1+C1511)</f>
        <v/>
      </c>
    </row>
    <row r="1512">
      <c r="A1512" s="8" t="inlineStr">
        <is>
          <t>1982-07-01</t>
        </is>
      </c>
      <c r="B1512" s="6" t="n">
        <v>11.35</v>
      </c>
      <c r="C1512" s="8">
        <f>B1512/100/12</f>
        <v/>
      </c>
      <c r="D1512" s="8">
        <f>D1511*(1+C1512)</f>
        <v/>
      </c>
    </row>
    <row r="1513">
      <c r="A1513" s="8" t="inlineStr">
        <is>
          <t>1982-08-01</t>
        </is>
      </c>
      <c r="B1513" s="6" t="n">
        <v>8.68</v>
      </c>
      <c r="C1513" s="8">
        <f>B1513/100/12</f>
        <v/>
      </c>
      <c r="D1513" s="8">
        <f>D1512*(1+C1513)</f>
        <v/>
      </c>
    </row>
    <row r="1514">
      <c r="A1514" s="8" t="inlineStr">
        <is>
          <t>1982-09-01</t>
        </is>
      </c>
      <c r="B1514" s="6" t="n">
        <v>7.92</v>
      </c>
      <c r="C1514" s="8">
        <f>B1514/100/12</f>
        <v/>
      </c>
      <c r="D1514" s="8">
        <f>D1513*(1+C1514)</f>
        <v/>
      </c>
    </row>
    <row r="1515">
      <c r="A1515" s="8" t="inlineStr">
        <is>
          <t>1982-10-01</t>
        </is>
      </c>
      <c r="B1515" s="6" t="n">
        <v>7.71</v>
      </c>
      <c r="C1515" s="8">
        <f>B1515/100/12</f>
        <v/>
      </c>
      <c r="D1515" s="8">
        <f>D1514*(1+C1515)</f>
        <v/>
      </c>
    </row>
    <row r="1516">
      <c r="A1516" s="8" t="inlineStr">
        <is>
          <t>1982-11-01</t>
        </is>
      </c>
      <c r="B1516" s="6" t="n">
        <v>8.07</v>
      </c>
      <c r="C1516" s="8">
        <f>B1516/100/12</f>
        <v/>
      </c>
      <c r="D1516" s="8">
        <f>D1515*(1+C1516)</f>
        <v/>
      </c>
    </row>
    <row r="1517">
      <c r="A1517" s="8" t="inlineStr">
        <is>
          <t>1982-12-01</t>
        </is>
      </c>
      <c r="B1517" s="6" t="n">
        <v>7.94</v>
      </c>
      <c r="C1517" s="8">
        <f>B1517/100/12</f>
        <v/>
      </c>
      <c r="D1517" s="8">
        <f>D1516*(1+C1517)</f>
        <v/>
      </c>
    </row>
    <row r="1518">
      <c r="A1518" s="8" t="inlineStr">
        <is>
          <t>1983-01-01</t>
        </is>
      </c>
      <c r="B1518" s="6" t="n">
        <v>7.86</v>
      </c>
      <c r="C1518" s="8">
        <f>B1518/100/12</f>
        <v/>
      </c>
      <c r="D1518" s="8">
        <f>D1517*(1+C1518)</f>
        <v/>
      </c>
    </row>
    <row r="1519">
      <c r="A1519" s="8" t="inlineStr">
        <is>
          <t>1983-02-01</t>
        </is>
      </c>
      <c r="B1519" s="6" t="n">
        <v>8.109999999999999</v>
      </c>
      <c r="C1519" s="8">
        <f>B1519/100/12</f>
        <v/>
      </c>
      <c r="D1519" s="8">
        <f>D1518*(1+C1519)</f>
        <v/>
      </c>
    </row>
    <row r="1520">
      <c r="A1520" s="8" t="inlineStr">
        <is>
          <t>1983-03-01</t>
        </is>
      </c>
      <c r="B1520" s="6" t="n">
        <v>8.35</v>
      </c>
      <c r="C1520" s="8">
        <f>B1520/100/12</f>
        <v/>
      </c>
      <c r="D1520" s="8">
        <f>D1519*(1+C1520)</f>
        <v/>
      </c>
    </row>
    <row r="1521">
      <c r="A1521" s="8" t="inlineStr">
        <is>
          <t>1983-04-01</t>
        </is>
      </c>
      <c r="B1521" s="6" t="n">
        <v>8.210000000000001</v>
      </c>
      <c r="C1521" s="8">
        <f>B1521/100/12</f>
        <v/>
      </c>
      <c r="D1521" s="8">
        <f>D1520*(1+C1521)</f>
        <v/>
      </c>
    </row>
    <row r="1522">
      <c r="A1522" s="8" t="inlineStr">
        <is>
          <t>1983-05-01</t>
        </is>
      </c>
      <c r="B1522" s="6" t="n">
        <v>8.19</v>
      </c>
      <c r="C1522" s="8">
        <f>B1522/100/12</f>
        <v/>
      </c>
      <c r="D1522" s="8">
        <f>D1521*(1+C1522)</f>
        <v/>
      </c>
    </row>
    <row r="1523">
      <c r="A1523" s="8" t="inlineStr">
        <is>
          <t>1983-06-01</t>
        </is>
      </c>
      <c r="B1523" s="6" t="n">
        <v>8.789999999999999</v>
      </c>
      <c r="C1523" s="8">
        <f>B1523/100/12</f>
        <v/>
      </c>
      <c r="D1523" s="8">
        <f>D1522*(1+C1523)</f>
        <v/>
      </c>
    </row>
    <row r="1524">
      <c r="A1524" s="8" t="inlineStr">
        <is>
          <t>1983-07-01</t>
        </is>
      </c>
      <c r="B1524" s="6" t="n">
        <v>9.08</v>
      </c>
      <c r="C1524" s="8">
        <f>B1524/100/12</f>
        <v/>
      </c>
      <c r="D1524" s="8">
        <f>D1523*(1+C1524)</f>
        <v/>
      </c>
    </row>
    <row r="1525">
      <c r="A1525" s="8" t="inlineStr">
        <is>
          <t>1983-08-01</t>
        </is>
      </c>
      <c r="B1525" s="6" t="n">
        <v>9.34</v>
      </c>
      <c r="C1525" s="8">
        <f>B1525/100/12</f>
        <v/>
      </c>
      <c r="D1525" s="8">
        <f>D1524*(1+C1525)</f>
        <v/>
      </c>
    </row>
    <row r="1526">
      <c r="A1526" s="8" t="inlineStr">
        <is>
          <t>1983-09-01</t>
        </is>
      </c>
      <c r="B1526" s="6" t="n">
        <v>9</v>
      </c>
      <c r="C1526" s="8">
        <f>B1526/100/12</f>
        <v/>
      </c>
      <c r="D1526" s="8">
        <f>D1525*(1+C1526)</f>
        <v/>
      </c>
    </row>
    <row r="1527">
      <c r="A1527" s="8" t="inlineStr">
        <is>
          <t>1983-10-01</t>
        </is>
      </c>
      <c r="B1527" s="6" t="n">
        <v>8.640000000000001</v>
      </c>
      <c r="C1527" s="8">
        <f>B1527/100/12</f>
        <v/>
      </c>
      <c r="D1527" s="8">
        <f>D1526*(1+C1527)</f>
        <v/>
      </c>
    </row>
    <row r="1528">
      <c r="A1528" s="8" t="inlineStr">
        <is>
          <t>1983-11-01</t>
        </is>
      </c>
      <c r="B1528" s="6" t="n">
        <v>8.76</v>
      </c>
      <c r="C1528" s="8">
        <f>B1528/100/12</f>
        <v/>
      </c>
      <c r="D1528" s="8">
        <f>D1527*(1+C1528)</f>
        <v/>
      </c>
    </row>
    <row r="1529">
      <c r="A1529" s="8" t="inlineStr">
        <is>
          <t>1983-12-01</t>
        </is>
      </c>
      <c r="B1529" s="6" t="n">
        <v>9</v>
      </c>
      <c r="C1529" s="8">
        <f>B1529/100/12</f>
        <v/>
      </c>
      <c r="D1529" s="8">
        <f>D1528*(1+C1529)</f>
        <v/>
      </c>
    </row>
    <row r="1530">
      <c r="A1530" s="8" t="inlineStr">
        <is>
          <t>1984-01-01</t>
        </is>
      </c>
      <c r="B1530" s="6" t="n">
        <v>8.9</v>
      </c>
      <c r="C1530" s="8">
        <f>B1530/100/12</f>
        <v/>
      </c>
      <c r="D1530" s="8">
        <f>D1529*(1+C1530)</f>
        <v/>
      </c>
    </row>
    <row r="1531">
      <c r="A1531" s="8" t="inlineStr">
        <is>
          <t>1984-02-01</t>
        </is>
      </c>
      <c r="B1531" s="6" t="n">
        <v>9.09</v>
      </c>
      <c r="C1531" s="8">
        <f>B1531/100/12</f>
        <v/>
      </c>
      <c r="D1531" s="8">
        <f>D1530*(1+C1531)</f>
        <v/>
      </c>
    </row>
    <row r="1532">
      <c r="A1532" s="8" t="inlineStr">
        <is>
          <t>1984-03-01</t>
        </is>
      </c>
      <c r="B1532" s="6" t="n">
        <v>9.52</v>
      </c>
      <c r="C1532" s="8">
        <f>B1532/100/12</f>
        <v/>
      </c>
      <c r="D1532" s="8">
        <f>D1531*(1+C1532)</f>
        <v/>
      </c>
    </row>
    <row r="1533">
      <c r="A1533" s="8" t="inlineStr">
        <is>
          <t>1984-04-01</t>
        </is>
      </c>
      <c r="B1533" s="6" t="n">
        <v>9.69</v>
      </c>
      <c r="C1533" s="8">
        <f>B1533/100/12</f>
        <v/>
      </c>
      <c r="D1533" s="8">
        <f>D1532*(1+C1533)</f>
        <v/>
      </c>
    </row>
    <row r="1534">
      <c r="A1534" s="8" t="inlineStr">
        <is>
          <t>1984-05-01</t>
        </is>
      </c>
      <c r="B1534" s="6" t="n">
        <v>9.83</v>
      </c>
      <c r="C1534" s="8">
        <f>B1534/100/12</f>
        <v/>
      </c>
      <c r="D1534" s="8">
        <f>D1533*(1+C1534)</f>
        <v/>
      </c>
    </row>
    <row r="1535">
      <c r="A1535" s="8" t="inlineStr">
        <is>
          <t>1984-06-01</t>
        </is>
      </c>
      <c r="B1535" s="6" t="n">
        <v>9.869999999999999</v>
      </c>
      <c r="C1535" s="8">
        <f>B1535/100/12</f>
        <v/>
      </c>
      <c r="D1535" s="8">
        <f>D1534*(1+C1535)</f>
        <v/>
      </c>
    </row>
    <row r="1536">
      <c r="A1536" s="8" t="inlineStr">
        <is>
          <t>1984-07-01</t>
        </is>
      </c>
      <c r="B1536" s="6" t="n">
        <v>10.12</v>
      </c>
      <c r="C1536" s="8">
        <f>B1536/100/12</f>
        <v/>
      </c>
      <c r="D1536" s="8">
        <f>D1535*(1+C1536)</f>
        <v/>
      </c>
    </row>
    <row r="1537">
      <c r="A1537" s="8" t="inlineStr">
        <is>
          <t>1984-08-01</t>
        </is>
      </c>
      <c r="B1537" s="6" t="n">
        <v>10.47</v>
      </c>
      <c r="C1537" s="8">
        <f>B1537/100/12</f>
        <v/>
      </c>
      <c r="D1537" s="8">
        <f>D1536*(1+C1537)</f>
        <v/>
      </c>
    </row>
    <row r="1538">
      <c r="A1538" s="8" t="inlineStr">
        <is>
          <t>1984-09-01</t>
        </is>
      </c>
      <c r="B1538" s="6" t="n">
        <v>10.37</v>
      </c>
      <c r="C1538" s="8">
        <f>B1538/100/12</f>
        <v/>
      </c>
      <c r="D1538" s="8">
        <f>D1537*(1+C1538)</f>
        <v/>
      </c>
    </row>
    <row r="1539">
      <c r="A1539" s="8" t="inlineStr">
        <is>
          <t>1984-10-01</t>
        </is>
      </c>
      <c r="B1539" s="6" t="n">
        <v>9.74</v>
      </c>
      <c r="C1539" s="8">
        <f>B1539/100/12</f>
        <v/>
      </c>
      <c r="D1539" s="8">
        <f>D1538*(1+C1539)</f>
        <v/>
      </c>
    </row>
    <row r="1540">
      <c r="A1540" s="8" t="inlineStr">
        <is>
          <t>1984-11-01</t>
        </is>
      </c>
      <c r="B1540" s="6" t="n">
        <v>8.609999999999999</v>
      </c>
      <c r="C1540" s="8">
        <f>B1540/100/12</f>
        <v/>
      </c>
      <c r="D1540" s="8">
        <f>D1539*(1+C1540)</f>
        <v/>
      </c>
    </row>
    <row r="1541">
      <c r="A1541" s="8" t="inlineStr">
        <is>
          <t>1984-12-01</t>
        </is>
      </c>
      <c r="B1541" s="6" t="n">
        <v>8.06</v>
      </c>
      <c r="C1541" s="8">
        <f>B1541/100/12</f>
        <v/>
      </c>
      <c r="D1541" s="8">
        <f>D1540*(1+C1541)</f>
        <v/>
      </c>
    </row>
    <row r="1542">
      <c r="A1542" s="8" t="inlineStr">
        <is>
          <t>1985-01-01</t>
        </is>
      </c>
      <c r="B1542" s="6" t="n">
        <v>7.76</v>
      </c>
      <c r="C1542" s="8">
        <f>B1542/100/12</f>
        <v/>
      </c>
      <c r="D1542" s="8">
        <f>D1541*(1+C1542)</f>
        <v/>
      </c>
    </row>
    <row r="1543">
      <c r="A1543" s="8" t="inlineStr">
        <is>
          <t>1985-02-01</t>
        </is>
      </c>
      <c r="B1543" s="6" t="n">
        <v>8.27</v>
      </c>
      <c r="C1543" s="8">
        <f>B1543/100/12</f>
        <v/>
      </c>
      <c r="D1543" s="8">
        <f>D1542*(1+C1543)</f>
        <v/>
      </c>
    </row>
    <row r="1544">
      <c r="A1544" s="8" t="inlineStr">
        <is>
          <t>1985-03-01</t>
        </is>
      </c>
      <c r="B1544" s="6" t="n">
        <v>8.52</v>
      </c>
      <c r="C1544" s="8">
        <f>B1544/100/12</f>
        <v/>
      </c>
      <c r="D1544" s="8">
        <f>D1543*(1+C1544)</f>
        <v/>
      </c>
    </row>
    <row r="1545">
      <c r="A1545" s="8" t="inlineStr">
        <is>
          <t>1985-04-01</t>
        </is>
      </c>
      <c r="B1545" s="6" t="n">
        <v>7.95</v>
      </c>
      <c r="C1545" s="8">
        <f>B1545/100/12</f>
        <v/>
      </c>
      <c r="D1545" s="8">
        <f>D1544*(1+C1545)</f>
        <v/>
      </c>
    </row>
    <row r="1546">
      <c r="A1546" s="8" t="inlineStr">
        <is>
          <t>1985-05-01</t>
        </is>
      </c>
      <c r="B1546" s="6" t="n">
        <v>7.48</v>
      </c>
      <c r="C1546" s="8">
        <f>B1546/100/12</f>
        <v/>
      </c>
      <c r="D1546" s="8">
        <f>D1545*(1+C1546)</f>
        <v/>
      </c>
    </row>
    <row r="1547">
      <c r="A1547" s="8" t="inlineStr">
        <is>
          <t>1985-06-01</t>
        </is>
      </c>
      <c r="B1547" s="6" t="n">
        <v>6.95</v>
      </c>
      <c r="C1547" s="8">
        <f>B1547/100/12</f>
        <v/>
      </c>
      <c r="D1547" s="8">
        <f>D1546*(1+C1547)</f>
        <v/>
      </c>
    </row>
    <row r="1548">
      <c r="A1548" s="8" t="inlineStr">
        <is>
          <t>1985-07-01</t>
        </is>
      </c>
      <c r="B1548" s="6" t="n">
        <v>7.08</v>
      </c>
      <c r="C1548" s="8">
        <f>B1548/100/12</f>
        <v/>
      </c>
      <c r="D1548" s="8">
        <f>D1547*(1+C1548)</f>
        <v/>
      </c>
    </row>
    <row r="1549">
      <c r="A1549" s="8" t="inlineStr">
        <is>
          <t>1985-08-01</t>
        </is>
      </c>
      <c r="B1549" s="6" t="n">
        <v>7.14</v>
      </c>
      <c r="C1549" s="8">
        <f>B1549/100/12</f>
        <v/>
      </c>
      <c r="D1549" s="8">
        <f>D1548*(1+C1549)</f>
        <v/>
      </c>
    </row>
    <row r="1550">
      <c r="A1550" s="8" t="inlineStr">
        <is>
          <t>1985-09-01</t>
        </is>
      </c>
      <c r="B1550" s="6" t="n">
        <v>7.1</v>
      </c>
      <c r="C1550" s="8">
        <f>B1550/100/12</f>
        <v/>
      </c>
      <c r="D1550" s="8">
        <f>D1549*(1+C1550)</f>
        <v/>
      </c>
    </row>
    <row r="1551">
      <c r="A1551" s="8" t="inlineStr">
        <is>
          <t>1985-10-01</t>
        </is>
      </c>
      <c r="B1551" s="6" t="n">
        <v>7.16</v>
      </c>
      <c r="C1551" s="8">
        <f>B1551/100/12</f>
        <v/>
      </c>
      <c r="D1551" s="8">
        <f>D1550*(1+C1551)</f>
        <v/>
      </c>
    </row>
    <row r="1552">
      <c r="A1552" s="8" t="inlineStr">
        <is>
          <t>1985-11-01</t>
        </is>
      </c>
      <c r="B1552" s="6" t="n">
        <v>7.24</v>
      </c>
      <c r="C1552" s="8">
        <f>B1552/100/12</f>
        <v/>
      </c>
      <c r="D1552" s="8">
        <f>D1551*(1+C1552)</f>
        <v/>
      </c>
    </row>
    <row r="1553">
      <c r="A1553" s="8" t="inlineStr">
        <is>
          <t>1985-12-01</t>
        </is>
      </c>
      <c r="B1553" s="6" t="n">
        <v>7.1</v>
      </c>
      <c r="C1553" s="8">
        <f>B1553/100/12</f>
        <v/>
      </c>
      <c r="D1553" s="8">
        <f>D1552*(1+C1553)</f>
        <v/>
      </c>
    </row>
    <row r="1554">
      <c r="A1554" s="8" t="inlineStr">
        <is>
          <t>1986-01-01</t>
        </is>
      </c>
      <c r="B1554" s="6" t="n">
        <v>7.07</v>
      </c>
      <c r="C1554" s="8">
        <f>B1554/100/12</f>
        <v/>
      </c>
      <c r="D1554" s="8">
        <f>D1553*(1+C1554)</f>
        <v/>
      </c>
    </row>
    <row r="1555">
      <c r="A1555" s="8" t="inlineStr">
        <is>
          <t>1986-02-01</t>
        </is>
      </c>
      <c r="B1555" s="6" t="n">
        <v>7.06</v>
      </c>
      <c r="C1555" s="8">
        <f>B1555/100/12</f>
        <v/>
      </c>
      <c r="D1555" s="8">
        <f>D1554*(1+C1555)</f>
        <v/>
      </c>
    </row>
    <row r="1556">
      <c r="A1556" s="8" t="inlineStr">
        <is>
          <t>1986-03-01</t>
        </is>
      </c>
      <c r="B1556" s="6" t="n">
        <v>6.56</v>
      </c>
      <c r="C1556" s="8">
        <f>B1556/100/12</f>
        <v/>
      </c>
      <c r="D1556" s="8">
        <f>D1555*(1+C1556)</f>
        <v/>
      </c>
    </row>
    <row r="1557">
      <c r="A1557" s="8" t="inlineStr">
        <is>
          <t>1986-04-01</t>
        </is>
      </c>
      <c r="B1557" s="6" t="n">
        <v>6.06</v>
      </c>
      <c r="C1557" s="8">
        <f>B1557/100/12</f>
        <v/>
      </c>
      <c r="D1557" s="8">
        <f>D1556*(1+C1557)</f>
        <v/>
      </c>
    </row>
    <row r="1558">
      <c r="A1558" s="8" t="inlineStr">
        <is>
          <t>1986-05-01</t>
        </is>
      </c>
      <c r="B1558" s="6" t="n">
        <v>6.15</v>
      </c>
      <c r="C1558" s="8">
        <f>B1558/100/12</f>
        <v/>
      </c>
      <c r="D1558" s="8">
        <f>D1557*(1+C1558)</f>
        <v/>
      </c>
    </row>
    <row r="1559">
      <c r="A1559" s="8" t="inlineStr">
        <is>
          <t>1986-06-01</t>
        </is>
      </c>
      <c r="B1559" s="6" t="n">
        <v>6.21</v>
      </c>
      <c r="C1559" s="8">
        <f>B1559/100/12</f>
        <v/>
      </c>
      <c r="D1559" s="8">
        <f>D1558*(1+C1559)</f>
        <v/>
      </c>
    </row>
    <row r="1560">
      <c r="A1560" s="8" t="inlineStr">
        <is>
          <t>1986-07-01</t>
        </is>
      </c>
      <c r="B1560" s="6" t="n">
        <v>5.83</v>
      </c>
      <c r="C1560" s="8">
        <f>B1560/100/12</f>
        <v/>
      </c>
      <c r="D1560" s="8">
        <f>D1559*(1+C1560)</f>
        <v/>
      </c>
    </row>
    <row r="1561">
      <c r="A1561" s="8" t="inlineStr">
        <is>
          <t>1986-08-01</t>
        </is>
      </c>
      <c r="B1561" s="6" t="n">
        <v>5.53</v>
      </c>
      <c r="C1561" s="8">
        <f>B1561/100/12</f>
        <v/>
      </c>
      <c r="D1561" s="8">
        <f>D1560*(1+C1561)</f>
        <v/>
      </c>
    </row>
    <row r="1562">
      <c r="A1562" s="8" t="inlineStr">
        <is>
          <t>1986-09-01</t>
        </is>
      </c>
      <c r="B1562" s="6" t="n">
        <v>5.21</v>
      </c>
      <c r="C1562" s="8">
        <f>B1562/100/12</f>
        <v/>
      </c>
      <c r="D1562" s="8">
        <f>D1561*(1+C1562)</f>
        <v/>
      </c>
    </row>
    <row r="1563">
      <c r="A1563" s="8" t="inlineStr">
        <is>
          <t>1986-10-01</t>
        </is>
      </c>
      <c r="B1563" s="6" t="n">
        <v>5.18</v>
      </c>
      <c r="C1563" s="8">
        <f>B1563/100/12</f>
        <v/>
      </c>
      <c r="D1563" s="8">
        <f>D1562*(1+C1563)</f>
        <v/>
      </c>
    </row>
    <row r="1564">
      <c r="A1564" s="8" t="inlineStr">
        <is>
          <t>1986-11-01</t>
        </is>
      </c>
      <c r="B1564" s="6" t="n">
        <v>5.35</v>
      </c>
      <c r="C1564" s="8">
        <f>B1564/100/12</f>
        <v/>
      </c>
      <c r="D1564" s="8">
        <f>D1563*(1+C1564)</f>
        <v/>
      </c>
    </row>
    <row r="1565">
      <c r="A1565" s="8" t="inlineStr">
        <is>
          <t>1986-12-01</t>
        </is>
      </c>
      <c r="B1565" s="6" t="n">
        <v>5.53</v>
      </c>
      <c r="C1565" s="8">
        <f>B1565/100/12</f>
        <v/>
      </c>
      <c r="D1565" s="8">
        <f>D1564*(1+C1565)</f>
        <v/>
      </c>
    </row>
    <row r="1566">
      <c r="A1566" s="8" t="inlineStr">
        <is>
          <t>1987-01-01</t>
        </is>
      </c>
      <c r="B1566" s="6" t="n">
        <v>5.43</v>
      </c>
      <c r="C1566" s="8">
        <f>B1566/100/12</f>
        <v/>
      </c>
      <c r="D1566" s="8">
        <f>D1565*(1+C1566)</f>
        <v/>
      </c>
    </row>
    <row r="1567">
      <c r="A1567" s="8" t="inlineStr">
        <is>
          <t>1987-02-01</t>
        </is>
      </c>
      <c r="B1567" s="6" t="n">
        <v>5.59</v>
      </c>
      <c r="C1567" s="8">
        <f>B1567/100/12</f>
        <v/>
      </c>
      <c r="D1567" s="8">
        <f>D1566*(1+C1567)</f>
        <v/>
      </c>
    </row>
    <row r="1568">
      <c r="A1568" s="8" t="inlineStr">
        <is>
          <t>1987-03-01</t>
        </is>
      </c>
      <c r="B1568" s="6" t="n">
        <v>5.59</v>
      </c>
      <c r="C1568" s="8">
        <f>B1568/100/12</f>
        <v/>
      </c>
      <c r="D1568" s="8">
        <f>D1567*(1+C1568)</f>
        <v/>
      </c>
    </row>
    <row r="1569">
      <c r="A1569" s="8" t="inlineStr">
        <is>
          <t>1987-04-01</t>
        </is>
      </c>
      <c r="B1569" s="6" t="n">
        <v>5.64</v>
      </c>
      <c r="C1569" s="8">
        <f>B1569/100/12</f>
        <v/>
      </c>
      <c r="D1569" s="8">
        <f>D1568*(1+C1569)</f>
        <v/>
      </c>
    </row>
    <row r="1570">
      <c r="A1570" s="8" t="inlineStr">
        <is>
          <t>1987-05-01</t>
        </is>
      </c>
      <c r="B1570" s="6" t="n">
        <v>5.66</v>
      </c>
      <c r="C1570" s="8">
        <f>B1570/100/12</f>
        <v/>
      </c>
      <c r="D1570" s="8">
        <f>D1569*(1+C1570)</f>
        <v/>
      </c>
    </row>
    <row r="1571">
      <c r="A1571" s="8" t="inlineStr">
        <is>
          <t>1987-06-01</t>
        </is>
      </c>
      <c r="B1571" s="6" t="n">
        <v>5.67</v>
      </c>
      <c r="C1571" s="8">
        <f>B1571/100/12</f>
        <v/>
      </c>
      <c r="D1571" s="8">
        <f>D1570*(1+C1571)</f>
        <v/>
      </c>
    </row>
    <row r="1572">
      <c r="A1572" s="8" t="inlineStr">
        <is>
          <t>1987-07-01</t>
        </is>
      </c>
      <c r="B1572" s="6" t="n">
        <v>5.69</v>
      </c>
      <c r="C1572" s="8">
        <f>B1572/100/12</f>
        <v/>
      </c>
      <c r="D1572" s="8">
        <f>D1571*(1+C1572)</f>
        <v/>
      </c>
    </row>
    <row r="1573">
      <c r="A1573" s="8" t="inlineStr">
        <is>
          <t>1987-08-01</t>
        </is>
      </c>
      <c r="B1573" s="6" t="n">
        <v>6.04</v>
      </c>
      <c r="C1573" s="8">
        <f>B1573/100/12</f>
        <v/>
      </c>
      <c r="D1573" s="8">
        <f>D1572*(1+C1573)</f>
        <v/>
      </c>
    </row>
    <row r="1574">
      <c r="A1574" s="8" t="inlineStr">
        <is>
          <t>1987-09-01</t>
        </is>
      </c>
      <c r="B1574" s="6" t="n">
        <v>6.4</v>
      </c>
      <c r="C1574" s="8">
        <f>B1574/100/12</f>
        <v/>
      </c>
      <c r="D1574" s="8">
        <f>D1573*(1+C1574)</f>
        <v/>
      </c>
    </row>
    <row r="1575">
      <c r="A1575" s="8" t="inlineStr">
        <is>
          <t>1987-10-01</t>
        </is>
      </c>
      <c r="B1575" s="6" t="n">
        <v>6.13</v>
      </c>
      <c r="C1575" s="8">
        <f>B1575/100/12</f>
        <v/>
      </c>
      <c r="D1575" s="8">
        <f>D1574*(1+C1575)</f>
        <v/>
      </c>
    </row>
    <row r="1576">
      <c r="A1576" s="8" t="inlineStr">
        <is>
          <t>1987-11-01</t>
        </is>
      </c>
      <c r="B1576" s="6" t="n">
        <v>5.69</v>
      </c>
      <c r="C1576" s="8">
        <f>B1576/100/12</f>
        <v/>
      </c>
      <c r="D1576" s="8">
        <f>D1575*(1+C1576)</f>
        <v/>
      </c>
    </row>
    <row r="1577">
      <c r="A1577" s="8" t="inlineStr">
        <is>
          <t>1987-12-01</t>
        </is>
      </c>
      <c r="B1577" s="6" t="n">
        <v>5.77</v>
      </c>
      <c r="C1577" s="8">
        <f>B1577/100/12</f>
        <v/>
      </c>
      <c r="D1577" s="8">
        <f>D1576*(1+C1577)</f>
        <v/>
      </c>
    </row>
    <row r="1578">
      <c r="A1578" s="8" t="inlineStr">
        <is>
          <t>1988-01-01</t>
        </is>
      </c>
      <c r="B1578" s="6" t="n">
        <v>5.81</v>
      </c>
      <c r="C1578" s="8">
        <f>B1578/100/12</f>
        <v/>
      </c>
      <c r="D1578" s="8">
        <f>D1577*(1+C1578)</f>
        <v/>
      </c>
    </row>
    <row r="1579">
      <c r="A1579" s="8" t="inlineStr">
        <is>
          <t>1988-02-01</t>
        </is>
      </c>
      <c r="B1579" s="6" t="n">
        <v>5.66</v>
      </c>
      <c r="C1579" s="8">
        <f>B1579/100/12</f>
        <v/>
      </c>
      <c r="D1579" s="8">
        <f>D1578*(1+C1579)</f>
        <v/>
      </c>
    </row>
    <row r="1580">
      <c r="A1580" s="8" t="inlineStr">
        <is>
          <t>1988-03-01</t>
        </is>
      </c>
      <c r="B1580" s="6" t="n">
        <v>5.7</v>
      </c>
      <c r="C1580" s="8">
        <f>B1580/100/12</f>
        <v/>
      </c>
      <c r="D1580" s="8">
        <f>D1579*(1+C1580)</f>
        <v/>
      </c>
    </row>
    <row r="1581">
      <c r="A1581" s="8" t="inlineStr">
        <is>
          <t>1988-04-01</t>
        </is>
      </c>
      <c r="B1581" s="6" t="n">
        <v>5.91</v>
      </c>
      <c r="C1581" s="8">
        <f>B1581/100/12</f>
        <v/>
      </c>
      <c r="D1581" s="8">
        <f>D1580*(1+C1581)</f>
        <v/>
      </c>
    </row>
    <row r="1582">
      <c r="A1582" s="8" t="inlineStr">
        <is>
          <t>1988-05-01</t>
        </is>
      </c>
      <c r="B1582" s="6" t="n">
        <v>6.26</v>
      </c>
      <c r="C1582" s="8">
        <f>B1582/100/12</f>
        <v/>
      </c>
      <c r="D1582" s="8">
        <f>D1581*(1+C1582)</f>
        <v/>
      </c>
    </row>
    <row r="1583">
      <c r="A1583" s="8" t="inlineStr">
        <is>
          <t>1988-06-01</t>
        </is>
      </c>
      <c r="B1583" s="6" t="n">
        <v>6.46</v>
      </c>
      <c r="C1583" s="8">
        <f>B1583/100/12</f>
        <v/>
      </c>
      <c r="D1583" s="8">
        <f>D1582*(1+C1583)</f>
        <v/>
      </c>
    </row>
    <row r="1584">
      <c r="A1584" s="8" t="inlineStr">
        <is>
          <t>1988-07-01</t>
        </is>
      </c>
      <c r="B1584" s="6" t="n">
        <v>6.73</v>
      </c>
      <c r="C1584" s="8">
        <f>B1584/100/12</f>
        <v/>
      </c>
      <c r="D1584" s="8">
        <f>D1583*(1+C1584)</f>
        <v/>
      </c>
    </row>
    <row r="1585">
      <c r="A1585" s="8" t="inlineStr">
        <is>
          <t>1988-08-01</t>
        </is>
      </c>
      <c r="B1585" s="6" t="n">
        <v>7.06</v>
      </c>
      <c r="C1585" s="8">
        <f>B1585/100/12</f>
        <v/>
      </c>
      <c r="D1585" s="8">
        <f>D1584*(1+C1585)</f>
        <v/>
      </c>
    </row>
    <row r="1586">
      <c r="A1586" s="8" t="inlineStr">
        <is>
          <t>1988-09-01</t>
        </is>
      </c>
      <c r="B1586" s="6" t="n">
        <v>7.24</v>
      </c>
      <c r="C1586" s="8">
        <f>B1586/100/12</f>
        <v/>
      </c>
      <c r="D1586" s="8">
        <f>D1585*(1+C1586)</f>
        <v/>
      </c>
    </row>
    <row r="1587">
      <c r="A1587" s="8" t="inlineStr">
        <is>
          <t>1988-10-01</t>
        </is>
      </c>
      <c r="B1587" s="6" t="n">
        <v>7.35</v>
      </c>
      <c r="C1587" s="8">
        <f>B1587/100/12</f>
        <v/>
      </c>
      <c r="D1587" s="8">
        <f>D1586*(1+C1587)</f>
        <v/>
      </c>
    </row>
    <row r="1588">
      <c r="A1588" s="8" t="inlineStr">
        <is>
          <t>1988-11-01</t>
        </is>
      </c>
      <c r="B1588" s="6" t="n">
        <v>7.76</v>
      </c>
      <c r="C1588" s="8">
        <f>B1588/100/12</f>
        <v/>
      </c>
      <c r="D1588" s="8">
        <f>D1587*(1+C1588)</f>
        <v/>
      </c>
    </row>
    <row r="1589">
      <c r="A1589" s="8" t="inlineStr">
        <is>
          <t>1988-12-01</t>
        </is>
      </c>
      <c r="B1589" s="6" t="n">
        <v>8.07</v>
      </c>
      <c r="C1589" s="8">
        <f>B1589/100/12</f>
        <v/>
      </c>
      <c r="D1589" s="8">
        <f>D1588*(1+C1589)</f>
        <v/>
      </c>
    </row>
    <row r="1590">
      <c r="A1590" s="8" t="inlineStr">
        <is>
          <t>1989-01-01</t>
        </is>
      </c>
      <c r="B1590" s="6" t="n">
        <v>8.27</v>
      </c>
      <c r="C1590" s="8">
        <f>B1590/100/12</f>
        <v/>
      </c>
      <c r="D1590" s="8">
        <f>D1589*(1+C1590)</f>
        <v/>
      </c>
    </row>
    <row r="1591">
      <c r="A1591" s="8" t="inlineStr">
        <is>
          <t>1989-02-01</t>
        </is>
      </c>
      <c r="B1591" s="6" t="n">
        <v>8.529999999999999</v>
      </c>
      <c r="C1591" s="8">
        <f>B1591/100/12</f>
        <v/>
      </c>
      <c r="D1591" s="8">
        <f>D1590*(1+C1591)</f>
        <v/>
      </c>
    </row>
    <row r="1592">
      <c r="A1592" s="8" t="inlineStr">
        <is>
          <t>1989-03-01</t>
        </is>
      </c>
      <c r="B1592" s="6" t="n">
        <v>8.82</v>
      </c>
      <c r="C1592" s="8">
        <f>B1592/100/12</f>
        <v/>
      </c>
      <c r="D1592" s="8">
        <f>D1591*(1+C1592)</f>
        <v/>
      </c>
    </row>
    <row r="1593">
      <c r="A1593" s="8" t="inlineStr">
        <is>
          <t>1989-04-01</t>
        </is>
      </c>
      <c r="B1593" s="6" t="n">
        <v>8.65</v>
      </c>
      <c r="C1593" s="8">
        <f>B1593/100/12</f>
        <v/>
      </c>
      <c r="D1593" s="8">
        <f>D1592*(1+C1593)</f>
        <v/>
      </c>
    </row>
    <row r="1594">
      <c r="A1594" s="8" t="inlineStr">
        <is>
          <t>1989-05-01</t>
        </is>
      </c>
      <c r="B1594" s="6" t="n">
        <v>8.43</v>
      </c>
      <c r="C1594" s="8">
        <f>B1594/100/12</f>
        <v/>
      </c>
      <c r="D1594" s="8">
        <f>D1593*(1+C1594)</f>
        <v/>
      </c>
    </row>
    <row r="1595">
      <c r="A1595" s="8" t="inlineStr">
        <is>
          <t>1989-06-01</t>
        </is>
      </c>
      <c r="B1595" s="6" t="n">
        <v>8.15</v>
      </c>
      <c r="C1595" s="8">
        <f>B1595/100/12</f>
        <v/>
      </c>
      <c r="D1595" s="8">
        <f>D1594*(1+C1595)</f>
        <v/>
      </c>
    </row>
    <row r="1596">
      <c r="A1596" s="8" t="inlineStr">
        <is>
          <t>1989-07-01</t>
        </is>
      </c>
      <c r="B1596" s="6" t="n">
        <v>7.88</v>
      </c>
      <c r="C1596" s="8">
        <f>B1596/100/12</f>
        <v/>
      </c>
      <c r="D1596" s="8">
        <f>D1595*(1+C1596)</f>
        <v/>
      </c>
    </row>
    <row r="1597">
      <c r="A1597" s="8" t="inlineStr">
        <is>
          <t>1989-08-01</t>
        </is>
      </c>
      <c r="B1597" s="6" t="n">
        <v>7.9</v>
      </c>
      <c r="C1597" s="8">
        <f>B1597/100/12</f>
        <v/>
      </c>
      <c r="D1597" s="8">
        <f>D1596*(1+C1597)</f>
        <v/>
      </c>
    </row>
    <row r="1598">
      <c r="A1598" s="8" t="inlineStr">
        <is>
          <t>1989-09-01</t>
        </is>
      </c>
      <c r="B1598" s="6" t="n">
        <v>7.75</v>
      </c>
      <c r="C1598" s="8">
        <f>B1598/100/12</f>
        <v/>
      </c>
      <c r="D1598" s="8">
        <f>D1597*(1+C1598)</f>
        <v/>
      </c>
    </row>
    <row r="1599">
      <c r="A1599" s="8" t="inlineStr">
        <is>
          <t>1989-10-01</t>
        </is>
      </c>
      <c r="B1599" s="6" t="n">
        <v>7.64</v>
      </c>
      <c r="C1599" s="8">
        <f>B1599/100/12</f>
        <v/>
      </c>
      <c r="D1599" s="8">
        <f>D1598*(1+C1599)</f>
        <v/>
      </c>
    </row>
    <row r="1600">
      <c r="A1600" s="8" t="inlineStr">
        <is>
          <t>1989-11-01</t>
        </is>
      </c>
      <c r="B1600" s="6" t="n">
        <v>7.69</v>
      </c>
      <c r="C1600" s="8">
        <f>B1600/100/12</f>
        <v/>
      </c>
      <c r="D1600" s="8">
        <f>D1599*(1+C1600)</f>
        <v/>
      </c>
    </row>
    <row r="1601">
      <c r="A1601" s="8" t="inlineStr">
        <is>
          <t>1989-12-01</t>
        </is>
      </c>
      <c r="B1601" s="6" t="n">
        <v>7.63</v>
      </c>
      <c r="C1601" s="8">
        <f>B1601/100/12</f>
        <v/>
      </c>
      <c r="D1601" s="8">
        <f>D1600*(1+C1601)</f>
        <v/>
      </c>
    </row>
    <row r="1602">
      <c r="A1602" s="8" t="inlineStr">
        <is>
          <t>1990-01-01</t>
        </is>
      </c>
      <c r="B1602" s="6" t="n">
        <v>7.64</v>
      </c>
      <c r="C1602" s="8">
        <f>B1602/100/12</f>
        <v/>
      </c>
      <c r="D1602" s="8">
        <f>D1601*(1+C1602)</f>
        <v/>
      </c>
    </row>
    <row r="1603">
      <c r="A1603" s="8" t="inlineStr">
        <is>
          <t>1990-02-01</t>
        </is>
      </c>
      <c r="B1603" s="6" t="n">
        <v>7.74</v>
      </c>
      <c r="C1603" s="8">
        <f>B1603/100/12</f>
        <v/>
      </c>
      <c r="D1603" s="8">
        <f>D1602*(1+C1603)</f>
        <v/>
      </c>
    </row>
    <row r="1604">
      <c r="A1604" s="8" t="inlineStr">
        <is>
          <t>1990-03-01</t>
        </is>
      </c>
      <c r="B1604" s="6" t="n">
        <v>7.9</v>
      </c>
      <c r="C1604" s="8">
        <f>B1604/100/12</f>
        <v/>
      </c>
      <c r="D1604" s="8">
        <f>D1603*(1+C1604)</f>
        <v/>
      </c>
    </row>
    <row r="1605">
      <c r="A1605" s="8" t="inlineStr">
        <is>
          <t>1990-04-01</t>
        </is>
      </c>
      <c r="B1605" s="6" t="n">
        <v>7.77</v>
      </c>
      <c r="C1605" s="8">
        <f>B1605/100/12</f>
        <v/>
      </c>
      <c r="D1605" s="8">
        <f>D1604*(1+C1605)</f>
        <v/>
      </c>
    </row>
    <row r="1606">
      <c r="A1606" s="8" t="inlineStr">
        <is>
          <t>1990-05-01</t>
        </is>
      </c>
      <c r="B1606" s="6" t="n">
        <v>7.74</v>
      </c>
      <c r="C1606" s="8">
        <f>B1606/100/12</f>
        <v/>
      </c>
      <c r="D1606" s="8">
        <f>D1605*(1+C1606)</f>
        <v/>
      </c>
    </row>
    <row r="1607">
      <c r="A1607" s="8" t="inlineStr">
        <is>
          <t>1990-06-01</t>
        </is>
      </c>
      <c r="B1607" s="6" t="n">
        <v>7.73</v>
      </c>
      <c r="C1607" s="8">
        <f>B1607/100/12</f>
        <v/>
      </c>
      <c r="D1607" s="8">
        <f>D1606*(1+C1607)</f>
        <v/>
      </c>
    </row>
    <row r="1608">
      <c r="A1608" s="8" t="inlineStr">
        <is>
          <t>1990-07-01</t>
        </is>
      </c>
      <c r="B1608" s="6" t="n">
        <v>7.62</v>
      </c>
      <c r="C1608" s="8">
        <f>B1608/100/12</f>
        <v/>
      </c>
      <c r="D1608" s="8">
        <f>D1607*(1+C1608)</f>
        <v/>
      </c>
    </row>
    <row r="1609">
      <c r="A1609" s="8" t="inlineStr">
        <is>
          <t>1990-08-01</t>
        </is>
      </c>
      <c r="B1609" s="6" t="n">
        <v>7.45</v>
      </c>
      <c r="C1609" s="8">
        <f>B1609/100/12</f>
        <v/>
      </c>
      <c r="D1609" s="8">
        <f>D1608*(1+C1609)</f>
        <v/>
      </c>
    </row>
    <row r="1610">
      <c r="A1610" s="8" t="inlineStr">
        <is>
          <t>1990-09-01</t>
        </is>
      </c>
      <c r="B1610" s="6" t="n">
        <v>7.36</v>
      </c>
      <c r="C1610" s="8">
        <f>B1610/100/12</f>
        <v/>
      </c>
      <c r="D1610" s="8">
        <f>D1609*(1+C1610)</f>
        <v/>
      </c>
    </row>
    <row r="1611">
      <c r="A1611" s="8" t="inlineStr">
        <is>
          <t>1990-10-01</t>
        </is>
      </c>
      <c r="B1611" s="6" t="n">
        <v>7.17</v>
      </c>
      <c r="C1611" s="8">
        <f>B1611/100/12</f>
        <v/>
      </c>
      <c r="D1611" s="8">
        <f>D1610*(1+C1611)</f>
        <v/>
      </c>
    </row>
    <row r="1612">
      <c r="A1612" s="8" t="inlineStr">
        <is>
          <t>1990-11-01</t>
        </is>
      </c>
      <c r="B1612" s="6" t="n">
        <v>7.06</v>
      </c>
      <c r="C1612" s="8">
        <f>B1612/100/12</f>
        <v/>
      </c>
      <c r="D1612" s="8">
        <f>D1611*(1+C1612)</f>
        <v/>
      </c>
    </row>
    <row r="1613">
      <c r="A1613" s="8" t="inlineStr">
        <is>
          <t>1990-12-01</t>
        </is>
      </c>
      <c r="B1613" s="6" t="n">
        <v>6.74</v>
      </c>
      <c r="C1613" s="8">
        <f>B1613/100/12</f>
        <v/>
      </c>
      <c r="D1613" s="8">
        <f>D1612*(1+C1613)</f>
        <v/>
      </c>
    </row>
    <row r="1614">
      <c r="A1614" s="8" t="inlineStr">
        <is>
          <t>1991-01-01</t>
        </is>
      </c>
      <c r="B1614" s="6" t="n">
        <v>6.22</v>
      </c>
      <c r="C1614" s="8">
        <f>B1614/100/12</f>
        <v/>
      </c>
      <c r="D1614" s="8">
        <f>D1613*(1+C1614)</f>
        <v/>
      </c>
    </row>
    <row r="1615">
      <c r="A1615" s="8" t="inlineStr">
        <is>
          <t>1991-02-01</t>
        </is>
      </c>
      <c r="B1615" s="6" t="n">
        <v>5.94</v>
      </c>
      <c r="C1615" s="8">
        <f>B1615/100/12</f>
        <v/>
      </c>
      <c r="D1615" s="8">
        <f>D1614*(1+C1615)</f>
        <v/>
      </c>
    </row>
    <row r="1616">
      <c r="A1616" s="8" t="inlineStr">
        <is>
          <t>1991-03-01</t>
        </is>
      </c>
      <c r="B1616" s="6" t="n">
        <v>5.91</v>
      </c>
      <c r="C1616" s="8">
        <f>B1616/100/12</f>
        <v/>
      </c>
      <c r="D1616" s="8">
        <f>D1615*(1+C1616)</f>
        <v/>
      </c>
    </row>
    <row r="1617">
      <c r="A1617" s="8" t="inlineStr">
        <is>
          <t>1991-04-01</t>
        </is>
      </c>
      <c r="B1617" s="6" t="n">
        <v>5.65</v>
      </c>
      <c r="C1617" s="8">
        <f>B1617/100/12</f>
        <v/>
      </c>
      <c r="D1617" s="8">
        <f>D1616*(1+C1617)</f>
        <v/>
      </c>
    </row>
    <row r="1618">
      <c r="A1618" s="8" t="inlineStr">
        <is>
          <t>1991-05-01</t>
        </is>
      </c>
      <c r="B1618" s="6" t="n">
        <v>5.46</v>
      </c>
      <c r="C1618" s="8">
        <f>B1618/100/12</f>
        <v/>
      </c>
      <c r="D1618" s="8">
        <f>D1617*(1+C1618)</f>
        <v/>
      </c>
    </row>
    <row r="1619">
      <c r="A1619" s="8" t="inlineStr">
        <is>
          <t>1991-06-01</t>
        </is>
      </c>
      <c r="B1619" s="6" t="n">
        <v>5.57</v>
      </c>
      <c r="C1619" s="8">
        <f>B1619/100/12</f>
        <v/>
      </c>
      <c r="D1619" s="8">
        <f>D1618*(1+C1619)</f>
        <v/>
      </c>
    </row>
    <row r="1620">
      <c r="A1620" s="8" t="inlineStr">
        <is>
          <t>1991-07-01</t>
        </is>
      </c>
      <c r="B1620" s="6" t="n">
        <v>5.58</v>
      </c>
      <c r="C1620" s="8">
        <f>B1620/100/12</f>
        <v/>
      </c>
      <c r="D1620" s="8">
        <f>D1619*(1+C1620)</f>
        <v/>
      </c>
    </row>
    <row r="1621">
      <c r="A1621" s="8" t="inlineStr">
        <is>
          <t>1991-08-01</t>
        </is>
      </c>
      <c r="B1621" s="6" t="n">
        <v>5.33</v>
      </c>
      <c r="C1621" s="8">
        <f>B1621/100/12</f>
        <v/>
      </c>
      <c r="D1621" s="8">
        <f>D1620*(1+C1621)</f>
        <v/>
      </c>
    </row>
    <row r="1622">
      <c r="A1622" s="8" t="inlineStr">
        <is>
          <t>1991-09-01</t>
        </is>
      </c>
      <c r="B1622" s="6" t="n">
        <v>5.22</v>
      </c>
      <c r="C1622" s="8">
        <f>B1622/100/12</f>
        <v/>
      </c>
      <c r="D1622" s="8">
        <f>D1621*(1+C1622)</f>
        <v/>
      </c>
    </row>
    <row r="1623">
      <c r="A1623" s="8" t="inlineStr">
        <is>
          <t>1991-10-01</t>
        </is>
      </c>
      <c r="B1623" s="6" t="n">
        <v>4.99</v>
      </c>
      <c r="C1623" s="8">
        <f>B1623/100/12</f>
        <v/>
      </c>
      <c r="D1623" s="8">
        <f>D1622*(1+C1623)</f>
        <v/>
      </c>
    </row>
    <row r="1624">
      <c r="A1624" s="8" t="inlineStr">
        <is>
          <t>1991-11-01</t>
        </is>
      </c>
      <c r="B1624" s="6" t="n">
        <v>4.56</v>
      </c>
      <c r="C1624" s="8">
        <f>B1624/100/12</f>
        <v/>
      </c>
      <c r="D1624" s="8">
        <f>D1623*(1+C1624)</f>
        <v/>
      </c>
    </row>
    <row r="1625">
      <c r="A1625" s="8" t="inlineStr">
        <is>
          <t>1991-12-01</t>
        </is>
      </c>
      <c r="B1625" s="6" t="n">
        <v>4.07</v>
      </c>
      <c r="C1625" s="8">
        <f>B1625/100/12</f>
        <v/>
      </c>
      <c r="D1625" s="8">
        <f>D1624*(1+C1625)</f>
        <v/>
      </c>
    </row>
    <row r="1626">
      <c r="A1626" s="8" t="inlineStr">
        <is>
          <t>1992-01-01</t>
        </is>
      </c>
      <c r="B1626" s="6" t="n">
        <v>3.8</v>
      </c>
      <c r="C1626" s="8">
        <f>B1626/100/12</f>
        <v/>
      </c>
      <c r="D1626" s="8">
        <f>D1625*(1+C1626)</f>
        <v/>
      </c>
    </row>
    <row r="1627">
      <c r="A1627" s="8" t="inlineStr">
        <is>
          <t>1992-02-01</t>
        </is>
      </c>
      <c r="B1627" s="6" t="n">
        <v>3.84</v>
      </c>
      <c r="C1627" s="8">
        <f>B1627/100/12</f>
        <v/>
      </c>
      <c r="D1627" s="8">
        <f>D1626*(1+C1627)</f>
        <v/>
      </c>
    </row>
    <row r="1628">
      <c r="A1628" s="8" t="inlineStr">
        <is>
          <t>1992-03-01</t>
        </is>
      </c>
      <c r="B1628" s="6" t="n">
        <v>4.04</v>
      </c>
      <c r="C1628" s="8">
        <f>B1628/100/12</f>
        <v/>
      </c>
      <c r="D1628" s="8">
        <f>D1627*(1+C1628)</f>
        <v/>
      </c>
    </row>
    <row r="1629">
      <c r="A1629" s="8" t="inlineStr">
        <is>
          <t>1992-04-01</t>
        </is>
      </c>
      <c r="B1629" s="6" t="n">
        <v>3.75</v>
      </c>
      <c r="C1629" s="8">
        <f>B1629/100/12</f>
        <v/>
      </c>
      <c r="D1629" s="8">
        <f>D1628*(1+C1629)</f>
        <v/>
      </c>
    </row>
    <row r="1630">
      <c r="A1630" s="8" t="inlineStr">
        <is>
          <t>1992-05-01</t>
        </is>
      </c>
      <c r="B1630" s="6" t="n">
        <v>3.63</v>
      </c>
      <c r="C1630" s="8">
        <f>B1630/100/12</f>
        <v/>
      </c>
      <c r="D1630" s="8">
        <f>D1629*(1+C1630)</f>
        <v/>
      </c>
    </row>
    <row r="1631">
      <c r="A1631" s="8" t="inlineStr">
        <is>
          <t>1992-06-01</t>
        </is>
      </c>
      <c r="B1631" s="6" t="n">
        <v>3.66</v>
      </c>
      <c r="C1631" s="8">
        <f>B1631/100/12</f>
        <v/>
      </c>
      <c r="D1631" s="8">
        <f>D1630*(1+C1631)</f>
        <v/>
      </c>
    </row>
    <row r="1632">
      <c r="A1632" s="8" t="inlineStr">
        <is>
          <t>1992-07-01</t>
        </is>
      </c>
      <c r="B1632" s="6" t="n">
        <v>3.21</v>
      </c>
      <c r="C1632" s="8">
        <f>B1632/100/12</f>
        <v/>
      </c>
      <c r="D1632" s="8">
        <f>D1631*(1+C1632)</f>
        <v/>
      </c>
    </row>
    <row r="1633">
      <c r="A1633" s="8" t="inlineStr">
        <is>
          <t>1992-08-01</t>
        </is>
      </c>
      <c r="B1633" s="6" t="n">
        <v>3.13</v>
      </c>
      <c r="C1633" s="8">
        <f>B1633/100/12</f>
        <v/>
      </c>
      <c r="D1633" s="8">
        <f>D1632*(1+C1633)</f>
        <v/>
      </c>
    </row>
    <row r="1634">
      <c r="A1634" s="8" t="inlineStr">
        <is>
          <t>1992-09-01</t>
        </is>
      </c>
      <c r="B1634" s="6" t="n">
        <v>2.91</v>
      </c>
      <c r="C1634" s="8">
        <f>B1634/100/12</f>
        <v/>
      </c>
      <c r="D1634" s="8">
        <f>D1633*(1+C1634)</f>
        <v/>
      </c>
    </row>
    <row r="1635">
      <c r="A1635" s="8" t="inlineStr">
        <is>
          <t>1992-10-01</t>
        </is>
      </c>
      <c r="B1635" s="6" t="n">
        <v>2.86</v>
      </c>
      <c r="C1635" s="8">
        <f>B1635/100/12</f>
        <v/>
      </c>
      <c r="D1635" s="8">
        <f>D1634*(1+C1635)</f>
        <v/>
      </c>
    </row>
    <row r="1636">
      <c r="A1636" s="8" t="inlineStr">
        <is>
          <t>1992-11-01</t>
        </is>
      </c>
      <c r="B1636" s="6" t="n">
        <v>3.13</v>
      </c>
      <c r="C1636" s="8">
        <f>B1636/100/12</f>
        <v/>
      </c>
      <c r="D1636" s="8">
        <f>D1635*(1+C1636)</f>
        <v/>
      </c>
    </row>
    <row r="1637">
      <c r="A1637" s="8" t="inlineStr">
        <is>
          <t>1992-12-01</t>
        </is>
      </c>
      <c r="B1637" s="6" t="n">
        <v>3.22</v>
      </c>
      <c r="C1637" s="8">
        <f>B1637/100/12</f>
        <v/>
      </c>
      <c r="D1637" s="8">
        <f>D1636*(1+C1637)</f>
        <v/>
      </c>
    </row>
    <row r="1638">
      <c r="A1638" s="8" t="inlineStr">
        <is>
          <t>1993-01-01</t>
        </is>
      </c>
      <c r="B1638" s="6" t="n">
        <v>3</v>
      </c>
      <c r="C1638" s="8">
        <f>B1638/100/12</f>
        <v/>
      </c>
      <c r="D1638" s="8">
        <f>D1637*(1+C1638)</f>
        <v/>
      </c>
    </row>
    <row r="1639">
      <c r="A1639" s="8" t="inlineStr">
        <is>
          <t>1993-02-01</t>
        </is>
      </c>
      <c r="B1639" s="6" t="n">
        <v>2.93</v>
      </c>
      <c r="C1639" s="8">
        <f>B1639/100/12</f>
        <v/>
      </c>
      <c r="D1639" s="8">
        <f>D1638*(1+C1639)</f>
        <v/>
      </c>
    </row>
    <row r="1640">
      <c r="A1640" s="8" t="inlineStr">
        <is>
          <t>1993-03-01</t>
        </is>
      </c>
      <c r="B1640" s="6" t="n">
        <v>2.95</v>
      </c>
      <c r="C1640" s="8">
        <f>B1640/100/12</f>
        <v/>
      </c>
      <c r="D1640" s="8">
        <f>D1639*(1+C1640)</f>
        <v/>
      </c>
    </row>
    <row r="1641">
      <c r="A1641" s="8" t="inlineStr">
        <is>
          <t>1993-04-01</t>
        </is>
      </c>
      <c r="B1641" s="6" t="n">
        <v>2.87</v>
      </c>
      <c r="C1641" s="8">
        <f>B1641/100/12</f>
        <v/>
      </c>
      <c r="D1641" s="8">
        <f>D1640*(1+C1641)</f>
        <v/>
      </c>
    </row>
    <row r="1642">
      <c r="A1642" s="8" t="inlineStr">
        <is>
          <t>1993-05-01</t>
        </is>
      </c>
      <c r="B1642" s="6" t="n">
        <v>2.96</v>
      </c>
      <c r="C1642" s="8">
        <f>B1642/100/12</f>
        <v/>
      </c>
      <c r="D1642" s="8">
        <f>D1641*(1+C1642)</f>
        <v/>
      </c>
    </row>
    <row r="1643">
      <c r="A1643" s="8" t="inlineStr">
        <is>
          <t>1993-06-01</t>
        </is>
      </c>
      <c r="B1643" s="6" t="n">
        <v>3.07</v>
      </c>
      <c r="C1643" s="8">
        <f>B1643/100/12</f>
        <v/>
      </c>
      <c r="D1643" s="8">
        <f>D1642*(1+C1643)</f>
        <v/>
      </c>
    </row>
    <row r="1644">
      <c r="A1644" s="8" t="inlineStr">
        <is>
          <t>1993-07-01</t>
        </is>
      </c>
      <c r="B1644" s="6" t="n">
        <v>3.04</v>
      </c>
      <c r="C1644" s="8">
        <f>B1644/100/12</f>
        <v/>
      </c>
      <c r="D1644" s="8">
        <f>D1643*(1+C1644)</f>
        <v/>
      </c>
    </row>
    <row r="1645">
      <c r="A1645" s="8" t="inlineStr">
        <is>
          <t>1993-08-01</t>
        </is>
      </c>
      <c r="B1645" s="6" t="n">
        <v>3.02</v>
      </c>
      <c r="C1645" s="8">
        <f>B1645/100/12</f>
        <v/>
      </c>
      <c r="D1645" s="8">
        <f>D1644*(1+C1645)</f>
        <v/>
      </c>
    </row>
    <row r="1646">
      <c r="A1646" s="8" t="inlineStr">
        <is>
          <t>1993-09-01</t>
        </is>
      </c>
      <c r="B1646" s="6" t="n">
        <v>2.95</v>
      </c>
      <c r="C1646" s="8">
        <f>B1646/100/12</f>
        <v/>
      </c>
      <c r="D1646" s="8">
        <f>D1645*(1+C1646)</f>
        <v/>
      </c>
    </row>
    <row r="1647">
      <c r="A1647" s="8" t="inlineStr">
        <is>
          <t>1993-10-01</t>
        </is>
      </c>
      <c r="B1647" s="6" t="n">
        <v>3.02</v>
      </c>
      <c r="C1647" s="8">
        <f>B1647/100/12</f>
        <v/>
      </c>
      <c r="D1647" s="8">
        <f>D1646*(1+C1647)</f>
        <v/>
      </c>
    </row>
    <row r="1648">
      <c r="A1648" s="8" t="inlineStr">
        <is>
          <t>1993-11-01</t>
        </is>
      </c>
      <c r="B1648" s="6" t="n">
        <v>3.1</v>
      </c>
      <c r="C1648" s="8">
        <f>B1648/100/12</f>
        <v/>
      </c>
      <c r="D1648" s="8">
        <f>D1647*(1+C1648)</f>
        <v/>
      </c>
    </row>
    <row r="1649">
      <c r="A1649" s="8" t="inlineStr">
        <is>
          <t>1993-12-01</t>
        </is>
      </c>
      <c r="B1649" s="6" t="n">
        <v>3.06</v>
      </c>
      <c r="C1649" s="8">
        <f>B1649/100/12</f>
        <v/>
      </c>
      <c r="D1649" s="8">
        <f>D1648*(1+C1649)</f>
        <v/>
      </c>
    </row>
    <row r="1650">
      <c r="A1650" s="8" t="inlineStr">
        <is>
          <t>1994-01-01</t>
        </is>
      </c>
      <c r="B1650" s="6" t="n">
        <v>2.98</v>
      </c>
      <c r="C1650" s="8">
        <f>B1650/100/12</f>
        <v/>
      </c>
      <c r="D1650" s="8">
        <f>D1649*(1+C1650)</f>
        <v/>
      </c>
    </row>
    <row r="1651">
      <c r="A1651" s="8" t="inlineStr">
        <is>
          <t>1994-02-01</t>
        </is>
      </c>
      <c r="B1651" s="6" t="n">
        <v>3.25</v>
      </c>
      <c r="C1651" s="8">
        <f>B1651/100/12</f>
        <v/>
      </c>
      <c r="D1651" s="8">
        <f>D1650*(1+C1651)</f>
        <v/>
      </c>
    </row>
    <row r="1652">
      <c r="A1652" s="8" t="inlineStr">
        <is>
          <t>1994-03-01</t>
        </is>
      </c>
      <c r="B1652" s="6" t="n">
        <v>3.5</v>
      </c>
      <c r="C1652" s="8">
        <f>B1652/100/12</f>
        <v/>
      </c>
      <c r="D1652" s="8">
        <f>D1651*(1+C1652)</f>
        <v/>
      </c>
    </row>
    <row r="1653">
      <c r="A1653" s="8" t="inlineStr">
        <is>
          <t>1994-04-01</t>
        </is>
      </c>
      <c r="B1653" s="6" t="n">
        <v>3.68</v>
      </c>
      <c r="C1653" s="8">
        <f>B1653/100/12</f>
        <v/>
      </c>
      <c r="D1653" s="8">
        <f>D1652*(1+C1653)</f>
        <v/>
      </c>
    </row>
    <row r="1654">
      <c r="A1654" s="8" t="inlineStr">
        <is>
          <t>1994-05-01</t>
        </is>
      </c>
      <c r="B1654" s="6" t="n">
        <v>4.14</v>
      </c>
      <c r="C1654" s="8">
        <f>B1654/100/12</f>
        <v/>
      </c>
      <c r="D1654" s="8">
        <f>D1653*(1+C1654)</f>
        <v/>
      </c>
    </row>
    <row r="1655">
      <c r="A1655" s="8" t="inlineStr">
        <is>
          <t>1994-06-01</t>
        </is>
      </c>
      <c r="B1655" s="6" t="n">
        <v>4.14</v>
      </c>
      <c r="C1655" s="8">
        <f>B1655/100/12</f>
        <v/>
      </c>
      <c r="D1655" s="8">
        <f>D1654*(1+C1655)</f>
        <v/>
      </c>
    </row>
    <row r="1656">
      <c r="A1656" s="8" t="inlineStr">
        <is>
          <t>1994-07-01</t>
        </is>
      </c>
      <c r="B1656" s="6" t="n">
        <v>4.33</v>
      </c>
      <c r="C1656" s="8">
        <f>B1656/100/12</f>
        <v/>
      </c>
      <c r="D1656" s="8">
        <f>D1655*(1+C1656)</f>
        <v/>
      </c>
    </row>
    <row r="1657">
      <c r="A1657" s="8" t="inlineStr">
        <is>
          <t>1994-08-01</t>
        </is>
      </c>
      <c r="B1657" s="6" t="n">
        <v>4.48</v>
      </c>
      <c r="C1657" s="8">
        <f>B1657/100/12</f>
        <v/>
      </c>
      <c r="D1657" s="8">
        <f>D1656*(1+C1657)</f>
        <v/>
      </c>
    </row>
    <row r="1658">
      <c r="A1658" s="8" t="inlineStr">
        <is>
          <t>1994-09-01</t>
        </is>
      </c>
      <c r="B1658" s="6" t="n">
        <v>4.62</v>
      </c>
      <c r="C1658" s="8">
        <f>B1658/100/12</f>
        <v/>
      </c>
      <c r="D1658" s="8">
        <f>D1657*(1+C1658)</f>
        <v/>
      </c>
    </row>
    <row r="1659">
      <c r="A1659" s="8" t="inlineStr">
        <is>
          <t>1994-10-01</t>
        </is>
      </c>
      <c r="B1659" s="6" t="n">
        <v>4.95</v>
      </c>
      <c r="C1659" s="8">
        <f>B1659/100/12</f>
        <v/>
      </c>
      <c r="D1659" s="8">
        <f>D1658*(1+C1659)</f>
        <v/>
      </c>
    </row>
    <row r="1660">
      <c r="A1660" s="8" t="inlineStr">
        <is>
          <t>1994-11-01</t>
        </is>
      </c>
      <c r="B1660" s="6" t="n">
        <v>5.29</v>
      </c>
      <c r="C1660" s="8">
        <f>B1660/100/12</f>
        <v/>
      </c>
      <c r="D1660" s="8">
        <f>D1659*(1+C1660)</f>
        <v/>
      </c>
    </row>
    <row r="1661">
      <c r="A1661" s="8" t="inlineStr">
        <is>
          <t>1994-12-01</t>
        </is>
      </c>
      <c r="B1661" s="6" t="n">
        <v>5.6</v>
      </c>
      <c r="C1661" s="8">
        <f>B1661/100/12</f>
        <v/>
      </c>
      <c r="D1661" s="8">
        <f>D1660*(1+C1661)</f>
        <v/>
      </c>
    </row>
    <row r="1662">
      <c r="A1662" s="8" t="inlineStr">
        <is>
          <t>1995-01-01</t>
        </is>
      </c>
      <c r="B1662" s="6" t="n">
        <v>5.71</v>
      </c>
      <c r="C1662" s="8">
        <f>B1662/100/12</f>
        <v/>
      </c>
      <c r="D1662" s="8">
        <f>D1661*(1+C1662)</f>
        <v/>
      </c>
    </row>
    <row r="1663">
      <c r="A1663" s="8" t="inlineStr">
        <is>
          <t>1995-02-01</t>
        </is>
      </c>
      <c r="B1663" s="6" t="n">
        <v>5.77</v>
      </c>
      <c r="C1663" s="8">
        <f>B1663/100/12</f>
        <v/>
      </c>
      <c r="D1663" s="8">
        <f>D1662*(1+C1663)</f>
        <v/>
      </c>
    </row>
    <row r="1664">
      <c r="A1664" s="8" t="inlineStr">
        <is>
          <t>1995-03-01</t>
        </is>
      </c>
      <c r="B1664" s="6" t="n">
        <v>5.73</v>
      </c>
      <c r="C1664" s="8">
        <f>B1664/100/12</f>
        <v/>
      </c>
      <c r="D1664" s="8">
        <f>D1663*(1+C1664)</f>
        <v/>
      </c>
    </row>
    <row r="1665">
      <c r="A1665" s="8" t="inlineStr">
        <is>
          <t>1995-04-01</t>
        </is>
      </c>
      <c r="B1665" s="6" t="n">
        <v>5.65</v>
      </c>
      <c r="C1665" s="8">
        <f>B1665/100/12</f>
        <v/>
      </c>
      <c r="D1665" s="8">
        <f>D1664*(1+C1665)</f>
        <v/>
      </c>
    </row>
    <row r="1666">
      <c r="A1666" s="8" t="inlineStr">
        <is>
          <t>1995-05-01</t>
        </is>
      </c>
      <c r="B1666" s="6" t="n">
        <v>5.67</v>
      </c>
      <c r="C1666" s="8">
        <f>B1666/100/12</f>
        <v/>
      </c>
      <c r="D1666" s="8">
        <f>D1665*(1+C1666)</f>
        <v/>
      </c>
    </row>
    <row r="1667">
      <c r="A1667" s="8" t="inlineStr">
        <is>
          <t>1995-06-01</t>
        </is>
      </c>
      <c r="B1667" s="6" t="n">
        <v>5.47</v>
      </c>
      <c r="C1667" s="8">
        <f>B1667/100/12</f>
        <v/>
      </c>
      <c r="D1667" s="8">
        <f>D1666*(1+C1667)</f>
        <v/>
      </c>
    </row>
    <row r="1668">
      <c r="A1668" s="8" t="inlineStr">
        <is>
          <t>1995-07-01</t>
        </is>
      </c>
      <c r="B1668" s="6" t="n">
        <v>5.42</v>
      </c>
      <c r="C1668" s="8">
        <f>B1668/100/12</f>
        <v/>
      </c>
      <c r="D1668" s="8">
        <f>D1667*(1+C1668)</f>
        <v/>
      </c>
    </row>
    <row r="1669">
      <c r="A1669" s="8" t="inlineStr">
        <is>
          <t>1995-08-01</t>
        </is>
      </c>
      <c r="B1669" s="6" t="n">
        <v>5.4</v>
      </c>
      <c r="C1669" s="8">
        <f>B1669/100/12</f>
        <v/>
      </c>
      <c r="D1669" s="8">
        <f>D1668*(1+C1669)</f>
        <v/>
      </c>
    </row>
    <row r="1670">
      <c r="A1670" s="8" t="inlineStr">
        <is>
          <t>1995-09-01</t>
        </is>
      </c>
      <c r="B1670" s="6" t="n">
        <v>5.28</v>
      </c>
      <c r="C1670" s="8">
        <f>B1670/100/12</f>
        <v/>
      </c>
      <c r="D1670" s="8">
        <f>D1669*(1+C1670)</f>
        <v/>
      </c>
    </row>
    <row r="1671">
      <c r="A1671" s="8" t="inlineStr">
        <is>
          <t>1995-10-01</t>
        </is>
      </c>
      <c r="B1671" s="6" t="n">
        <v>5.28</v>
      </c>
      <c r="C1671" s="8">
        <f>B1671/100/12</f>
        <v/>
      </c>
      <c r="D1671" s="8">
        <f>D1670*(1+C1671)</f>
        <v/>
      </c>
    </row>
    <row r="1672">
      <c r="A1672" s="8" t="inlineStr">
        <is>
          <t>1995-11-01</t>
        </is>
      </c>
      <c r="B1672" s="6" t="n">
        <v>5.36</v>
      </c>
      <c r="C1672" s="8">
        <f>B1672/100/12</f>
        <v/>
      </c>
      <c r="D1672" s="8">
        <f>D1671*(1+C1672)</f>
        <v/>
      </c>
    </row>
    <row r="1673">
      <c r="A1673" s="8" t="inlineStr">
        <is>
          <t>1995-12-01</t>
        </is>
      </c>
      <c r="B1673" s="6" t="n">
        <v>5.14</v>
      </c>
      <c r="C1673" s="8">
        <f>B1673/100/12</f>
        <v/>
      </c>
      <c r="D1673" s="8">
        <f>D1672*(1+C1673)</f>
        <v/>
      </c>
    </row>
    <row r="1674">
      <c r="A1674" s="8" t="inlineStr">
        <is>
          <t>1996-01-01</t>
        </is>
      </c>
      <c r="B1674" s="6" t="n">
        <v>5</v>
      </c>
      <c r="C1674" s="8">
        <f>B1674/100/12</f>
        <v/>
      </c>
      <c r="D1674" s="8">
        <f>D1673*(1+C1674)</f>
        <v/>
      </c>
    </row>
    <row r="1675">
      <c r="A1675" s="8" t="inlineStr">
        <is>
          <t>1996-02-01</t>
        </is>
      </c>
      <c r="B1675" s="6" t="n">
        <v>4.83</v>
      </c>
      <c r="C1675" s="8">
        <f>B1675/100/12</f>
        <v/>
      </c>
      <c r="D1675" s="8">
        <f>D1674*(1+C1675)</f>
        <v/>
      </c>
    </row>
    <row r="1676">
      <c r="A1676" s="8" t="inlineStr">
        <is>
          <t>1996-03-01</t>
        </is>
      </c>
      <c r="B1676" s="6" t="n">
        <v>4.96</v>
      </c>
      <c r="C1676" s="8">
        <f>B1676/100/12</f>
        <v/>
      </c>
      <c r="D1676" s="8">
        <f>D1675*(1+C1676)</f>
        <v/>
      </c>
    </row>
    <row r="1677">
      <c r="A1677" s="8" t="inlineStr">
        <is>
          <t>1996-04-01</t>
        </is>
      </c>
      <c r="B1677" s="6" t="n">
        <v>4.95</v>
      </c>
      <c r="C1677" s="8">
        <f>B1677/100/12</f>
        <v/>
      </c>
      <c r="D1677" s="8">
        <f>D1676*(1+C1677)</f>
        <v/>
      </c>
    </row>
    <row r="1678">
      <c r="A1678" s="8" t="inlineStr">
        <is>
          <t>1996-05-01</t>
        </is>
      </c>
      <c r="B1678" s="6" t="n">
        <v>5.02</v>
      </c>
      <c r="C1678" s="8">
        <f>B1678/100/12</f>
        <v/>
      </c>
      <c r="D1678" s="8">
        <f>D1677*(1+C1678)</f>
        <v/>
      </c>
    </row>
    <row r="1679">
      <c r="A1679" s="8" t="inlineStr">
        <is>
          <t>1996-06-01</t>
        </is>
      </c>
      <c r="B1679" s="6" t="n">
        <v>5.09</v>
      </c>
      <c r="C1679" s="8">
        <f>B1679/100/12</f>
        <v/>
      </c>
      <c r="D1679" s="8">
        <f>D1678*(1+C1679)</f>
        <v/>
      </c>
    </row>
    <row r="1680">
      <c r="A1680" s="8" t="inlineStr">
        <is>
          <t>1996-07-01</t>
        </is>
      </c>
      <c r="B1680" s="6" t="n">
        <v>5.15</v>
      </c>
      <c r="C1680" s="8">
        <f>B1680/100/12</f>
        <v/>
      </c>
      <c r="D1680" s="8">
        <f>D1679*(1+C1680)</f>
        <v/>
      </c>
    </row>
    <row r="1681">
      <c r="A1681" s="8" t="inlineStr">
        <is>
          <t>1996-08-01</t>
        </is>
      </c>
      <c r="B1681" s="6" t="n">
        <v>5.05</v>
      </c>
      <c r="C1681" s="8">
        <f>B1681/100/12</f>
        <v/>
      </c>
      <c r="D1681" s="8">
        <f>D1680*(1+C1681)</f>
        <v/>
      </c>
    </row>
    <row r="1682">
      <c r="A1682" s="8" t="inlineStr">
        <is>
          <t>1996-09-01</t>
        </is>
      </c>
      <c r="B1682" s="6" t="n">
        <v>5.09</v>
      </c>
      <c r="C1682" s="8">
        <f>B1682/100/12</f>
        <v/>
      </c>
      <c r="D1682" s="8">
        <f>D1681*(1+C1682)</f>
        <v/>
      </c>
    </row>
    <row r="1683">
      <c r="A1683" s="8" t="inlineStr">
        <is>
          <t>1996-10-01</t>
        </is>
      </c>
      <c r="B1683" s="6" t="n">
        <v>4.99</v>
      </c>
      <c r="C1683" s="8">
        <f>B1683/100/12</f>
        <v/>
      </c>
      <c r="D1683" s="8">
        <f>D1682*(1+C1683)</f>
        <v/>
      </c>
    </row>
    <row r="1684">
      <c r="A1684" s="8" t="inlineStr">
        <is>
          <t>1996-11-01</t>
        </is>
      </c>
      <c r="B1684" s="6" t="n">
        <v>5.03</v>
      </c>
      <c r="C1684" s="8">
        <f>B1684/100/12</f>
        <v/>
      </c>
      <c r="D1684" s="8">
        <f>D1683*(1+C1684)</f>
        <v/>
      </c>
    </row>
    <row r="1685">
      <c r="A1685" s="8" t="inlineStr">
        <is>
          <t>1996-12-01</t>
        </is>
      </c>
      <c r="B1685" s="6" t="n">
        <v>4.91</v>
      </c>
      <c r="C1685" s="8">
        <f>B1685/100/12</f>
        <v/>
      </c>
      <c r="D1685" s="8">
        <f>D1684*(1+C1685)</f>
        <v/>
      </c>
    </row>
    <row r="1686">
      <c r="A1686" s="8" t="inlineStr">
        <is>
          <t>1997-01-01</t>
        </is>
      </c>
      <c r="B1686" s="6" t="n">
        <v>5.03</v>
      </c>
      <c r="C1686" s="8">
        <f>B1686/100/12</f>
        <v/>
      </c>
      <c r="D1686" s="8">
        <f>D1685*(1+C1686)</f>
        <v/>
      </c>
    </row>
    <row r="1687">
      <c r="A1687" s="8" t="inlineStr">
        <is>
          <t>1997-02-01</t>
        </is>
      </c>
      <c r="B1687" s="6" t="n">
        <v>5.01</v>
      </c>
      <c r="C1687" s="8">
        <f>B1687/100/12</f>
        <v/>
      </c>
      <c r="D1687" s="8">
        <f>D1686*(1+C1687)</f>
        <v/>
      </c>
    </row>
    <row r="1688">
      <c r="A1688" s="8" t="inlineStr">
        <is>
          <t>1997-03-01</t>
        </is>
      </c>
      <c r="B1688" s="6" t="n">
        <v>5.14</v>
      </c>
      <c r="C1688" s="8">
        <f>B1688/100/12</f>
        <v/>
      </c>
      <c r="D1688" s="8">
        <f>D1687*(1+C1688)</f>
        <v/>
      </c>
    </row>
    <row r="1689">
      <c r="A1689" s="8" t="inlineStr">
        <is>
          <t>1997-04-01</t>
        </is>
      </c>
      <c r="B1689" s="6" t="n">
        <v>5.16</v>
      </c>
      <c r="C1689" s="8">
        <f>B1689/100/12</f>
        <v/>
      </c>
      <c r="D1689" s="8">
        <f>D1688*(1+C1689)</f>
        <v/>
      </c>
    </row>
    <row r="1690">
      <c r="A1690" s="8" t="inlineStr">
        <is>
          <t>1997-05-01</t>
        </is>
      </c>
      <c r="B1690" s="6" t="n">
        <v>5.05</v>
      </c>
      <c r="C1690" s="8">
        <f>B1690/100/12</f>
        <v/>
      </c>
      <c r="D1690" s="8">
        <f>D1689*(1+C1690)</f>
        <v/>
      </c>
    </row>
    <row r="1691">
      <c r="A1691" s="8" t="inlineStr">
        <is>
          <t>1997-06-01</t>
        </is>
      </c>
      <c r="B1691" s="6" t="n">
        <v>4.93</v>
      </c>
      <c r="C1691" s="8">
        <f>B1691/100/12</f>
        <v/>
      </c>
      <c r="D1691" s="8">
        <f>D1690*(1+C1691)</f>
        <v/>
      </c>
    </row>
    <row r="1692">
      <c r="A1692" s="8" t="inlineStr">
        <is>
          <t>1997-07-01</t>
        </is>
      </c>
      <c r="B1692" s="6" t="n">
        <v>5.05</v>
      </c>
      <c r="C1692" s="8">
        <f>B1692/100/12</f>
        <v/>
      </c>
      <c r="D1692" s="8">
        <f>D1691*(1+C1692)</f>
        <v/>
      </c>
    </row>
    <row r="1693">
      <c r="A1693" s="8" t="inlineStr">
        <is>
          <t>1997-08-01</t>
        </is>
      </c>
      <c r="B1693" s="6" t="n">
        <v>5.14</v>
      </c>
      <c r="C1693" s="8">
        <f>B1693/100/12</f>
        <v/>
      </c>
      <c r="D1693" s="8">
        <f>D1692*(1+C1693)</f>
        <v/>
      </c>
    </row>
    <row r="1694">
      <c r="A1694" s="8" t="inlineStr">
        <is>
          <t>1997-09-01</t>
        </is>
      </c>
      <c r="B1694" s="6" t="n">
        <v>4.95</v>
      </c>
      <c r="C1694" s="8">
        <f>B1694/100/12</f>
        <v/>
      </c>
      <c r="D1694" s="8">
        <f>D1693*(1+C1694)</f>
        <v/>
      </c>
    </row>
    <row r="1695">
      <c r="A1695" s="8" t="inlineStr">
        <is>
          <t>1997-10-01</t>
        </is>
      </c>
      <c r="B1695" s="6" t="n">
        <v>4.97</v>
      </c>
      <c r="C1695" s="8">
        <f>B1695/100/12</f>
        <v/>
      </c>
      <c r="D1695" s="8">
        <f>D1694*(1+C1695)</f>
        <v/>
      </c>
    </row>
    <row r="1696">
      <c r="A1696" s="8" t="inlineStr">
        <is>
          <t>1997-11-01</t>
        </is>
      </c>
      <c r="B1696" s="6" t="n">
        <v>5.14</v>
      </c>
      <c r="C1696" s="8">
        <f>B1696/100/12</f>
        <v/>
      </c>
      <c r="D1696" s="8">
        <f>D1695*(1+C1696)</f>
        <v/>
      </c>
    </row>
    <row r="1697">
      <c r="A1697" s="8" t="inlineStr">
        <is>
          <t>1997-12-01</t>
        </is>
      </c>
      <c r="B1697" s="6" t="n">
        <v>5.16</v>
      </c>
      <c r="C1697" s="8">
        <f>B1697/100/12</f>
        <v/>
      </c>
      <c r="D1697" s="8">
        <f>D1696*(1+C1697)</f>
        <v/>
      </c>
    </row>
    <row r="1698">
      <c r="A1698" s="8" t="inlineStr">
        <is>
          <t>1998-01-01</t>
        </is>
      </c>
      <c r="B1698" s="6" t="n">
        <v>5.04</v>
      </c>
      <c r="C1698" s="8">
        <f>B1698/100/12</f>
        <v/>
      </c>
      <c r="D1698" s="8">
        <f>D1697*(1+C1698)</f>
        <v/>
      </c>
    </row>
    <row r="1699">
      <c r="A1699" s="8" t="inlineStr">
        <is>
          <t>1998-02-01</t>
        </is>
      </c>
      <c r="B1699" s="6" t="n">
        <v>5.09</v>
      </c>
      <c r="C1699" s="8">
        <f>B1699/100/12</f>
        <v/>
      </c>
      <c r="D1699" s="8">
        <f>D1698*(1+C1699)</f>
        <v/>
      </c>
    </row>
    <row r="1700">
      <c r="A1700" s="8" t="inlineStr">
        <is>
          <t>1998-03-01</t>
        </is>
      </c>
      <c r="B1700" s="6" t="n">
        <v>5.03</v>
      </c>
      <c r="C1700" s="8">
        <f>B1700/100/12</f>
        <v/>
      </c>
      <c r="D1700" s="8">
        <f>D1699*(1+C1700)</f>
        <v/>
      </c>
    </row>
    <row r="1701">
      <c r="A1701" s="8" t="inlineStr">
        <is>
          <t>1998-04-01</t>
        </is>
      </c>
      <c r="B1701" s="6" t="n">
        <v>4.95</v>
      </c>
      <c r="C1701" s="8">
        <f>B1701/100/12</f>
        <v/>
      </c>
      <c r="D1701" s="8">
        <f>D1700*(1+C1701)</f>
        <v/>
      </c>
    </row>
    <row r="1702">
      <c r="A1702" s="8" t="inlineStr">
        <is>
          <t>1998-05-01</t>
        </is>
      </c>
      <c r="B1702" s="6" t="n">
        <v>5</v>
      </c>
      <c r="C1702" s="8">
        <f>B1702/100/12</f>
        <v/>
      </c>
      <c r="D1702" s="8">
        <f>D1701*(1+C1702)</f>
        <v/>
      </c>
    </row>
    <row r="1703">
      <c r="A1703" s="8" t="inlineStr">
        <is>
          <t>1998-06-01</t>
        </is>
      </c>
      <c r="B1703" s="6" t="n">
        <v>4.98</v>
      </c>
      <c r="C1703" s="8">
        <f>B1703/100/12</f>
        <v/>
      </c>
      <c r="D1703" s="8">
        <f>D1702*(1+C1703)</f>
        <v/>
      </c>
    </row>
    <row r="1704">
      <c r="A1704" s="8" t="inlineStr">
        <is>
          <t>1998-07-01</t>
        </is>
      </c>
      <c r="B1704" s="6" t="n">
        <v>4.96</v>
      </c>
      <c r="C1704" s="8">
        <f>B1704/100/12</f>
        <v/>
      </c>
      <c r="D1704" s="8">
        <f>D1703*(1+C1704)</f>
        <v/>
      </c>
    </row>
    <row r="1705">
      <c r="A1705" s="8" t="inlineStr">
        <is>
          <t>1998-08-01</t>
        </is>
      </c>
      <c r="B1705" s="6" t="n">
        <v>4.9</v>
      </c>
      <c r="C1705" s="8">
        <f>B1705/100/12</f>
        <v/>
      </c>
      <c r="D1705" s="8">
        <f>D1704*(1+C1705)</f>
        <v/>
      </c>
    </row>
    <row r="1706">
      <c r="A1706" s="8" t="inlineStr">
        <is>
          <t>1998-09-01</t>
        </is>
      </c>
      <c r="B1706" s="6" t="n">
        <v>4.61</v>
      </c>
      <c r="C1706" s="8">
        <f>B1706/100/12</f>
        <v/>
      </c>
      <c r="D1706" s="8">
        <f>D1705*(1+C1706)</f>
        <v/>
      </c>
    </row>
    <row r="1707">
      <c r="A1707" s="8" t="inlineStr">
        <is>
          <t>1998-10-01</t>
        </is>
      </c>
      <c r="B1707" s="6" t="n">
        <v>3.96</v>
      </c>
      <c r="C1707" s="8">
        <f>B1707/100/12</f>
        <v/>
      </c>
      <c r="D1707" s="8">
        <f>D1706*(1+C1707)</f>
        <v/>
      </c>
    </row>
    <row r="1708">
      <c r="A1708" s="8" t="inlineStr">
        <is>
          <t>1998-11-01</t>
        </is>
      </c>
      <c r="B1708" s="6" t="n">
        <v>4.41</v>
      </c>
      <c r="C1708" s="8">
        <f>B1708/100/12</f>
        <v/>
      </c>
      <c r="D1708" s="8">
        <f>D1707*(1+C1708)</f>
        <v/>
      </c>
    </row>
    <row r="1709">
      <c r="A1709" s="8" t="inlineStr">
        <is>
          <t>1998-12-01</t>
        </is>
      </c>
      <c r="B1709" s="6" t="n">
        <v>4.39</v>
      </c>
      <c r="C1709" s="8">
        <f>B1709/100/12</f>
        <v/>
      </c>
      <c r="D1709" s="8">
        <f>D1708*(1+C1709)</f>
        <v/>
      </c>
    </row>
    <row r="1710">
      <c r="A1710" s="8" t="inlineStr">
        <is>
          <t>1999-01-01</t>
        </is>
      </c>
      <c r="B1710" s="6" t="n">
        <v>4.34</v>
      </c>
      <c r="C1710" s="8">
        <f>B1710/100/12</f>
        <v/>
      </c>
      <c r="D1710" s="8">
        <f>D1709*(1+C1710)</f>
        <v/>
      </c>
    </row>
    <row r="1711">
      <c r="A1711" s="8" t="inlineStr">
        <is>
          <t>1999-02-01</t>
        </is>
      </c>
      <c r="B1711" s="6" t="n">
        <v>4.44</v>
      </c>
      <c r="C1711" s="8">
        <f>B1711/100/12</f>
        <v/>
      </c>
      <c r="D1711" s="8">
        <f>D1710*(1+C1711)</f>
        <v/>
      </c>
    </row>
    <row r="1712">
      <c r="A1712" s="8" t="inlineStr">
        <is>
          <t>1999-03-01</t>
        </is>
      </c>
      <c r="B1712" s="6" t="n">
        <v>4.44</v>
      </c>
      <c r="C1712" s="8">
        <f>B1712/100/12</f>
        <v/>
      </c>
      <c r="D1712" s="8">
        <f>D1711*(1+C1712)</f>
        <v/>
      </c>
    </row>
    <row r="1713">
      <c r="A1713" s="8" t="inlineStr">
        <is>
          <t>1999-04-01</t>
        </is>
      </c>
      <c r="B1713" s="6" t="n">
        <v>4.29</v>
      </c>
      <c r="C1713" s="8">
        <f>B1713/100/12</f>
        <v/>
      </c>
      <c r="D1713" s="8">
        <f>D1712*(1+C1713)</f>
        <v/>
      </c>
    </row>
    <row r="1714">
      <c r="A1714" s="8" t="inlineStr">
        <is>
          <t>1999-05-01</t>
        </is>
      </c>
      <c r="B1714" s="6" t="n">
        <v>4.5</v>
      </c>
      <c r="C1714" s="8">
        <f>B1714/100/12</f>
        <v/>
      </c>
      <c r="D1714" s="8">
        <f>D1713*(1+C1714)</f>
        <v/>
      </c>
    </row>
    <row r="1715">
      <c r="A1715" s="8" t="inlineStr">
        <is>
          <t>1999-06-01</t>
        </is>
      </c>
      <c r="B1715" s="6" t="n">
        <v>4.57</v>
      </c>
      <c r="C1715" s="8">
        <f>B1715/100/12</f>
        <v/>
      </c>
      <c r="D1715" s="8">
        <f>D1714*(1+C1715)</f>
        <v/>
      </c>
    </row>
    <row r="1716">
      <c r="A1716" s="8" t="inlineStr">
        <is>
          <t>1999-07-01</t>
        </is>
      </c>
      <c r="B1716" s="6" t="n">
        <v>4.55</v>
      </c>
      <c r="C1716" s="8">
        <f>B1716/100/12</f>
        <v/>
      </c>
      <c r="D1716" s="8">
        <f>D1715*(1+C1716)</f>
        <v/>
      </c>
    </row>
    <row r="1717">
      <c r="A1717" s="8" t="inlineStr">
        <is>
          <t>1999-08-01</t>
        </is>
      </c>
      <c r="B1717" s="6" t="n">
        <v>4.72</v>
      </c>
      <c r="C1717" s="8">
        <f>B1717/100/12</f>
        <v/>
      </c>
      <c r="D1717" s="8">
        <f>D1716*(1+C1717)</f>
        <v/>
      </c>
    </row>
    <row r="1718">
      <c r="A1718" s="8" t="inlineStr">
        <is>
          <t>1999-09-01</t>
        </is>
      </c>
      <c r="B1718" s="6" t="n">
        <v>4.68</v>
      </c>
      <c r="C1718" s="8">
        <f>B1718/100/12</f>
        <v/>
      </c>
      <c r="D1718" s="8">
        <f>D1717*(1+C1718)</f>
        <v/>
      </c>
    </row>
    <row r="1719">
      <c r="A1719" s="8" t="inlineStr">
        <is>
          <t>1999-10-01</t>
        </is>
      </c>
      <c r="B1719" s="6" t="n">
        <v>4.86</v>
      </c>
      <c r="C1719" s="8">
        <f>B1719/100/12</f>
        <v/>
      </c>
      <c r="D1719" s="8">
        <f>D1718*(1+C1719)</f>
        <v/>
      </c>
    </row>
    <row r="1720">
      <c r="A1720" s="8" t="inlineStr">
        <is>
          <t>1999-11-01</t>
        </is>
      </c>
      <c r="B1720" s="6" t="n">
        <v>5.07</v>
      </c>
      <c r="C1720" s="8">
        <f>B1720/100/12</f>
        <v/>
      </c>
      <c r="D1720" s="8">
        <f>D1719*(1+C1720)</f>
        <v/>
      </c>
    </row>
    <row r="1721">
      <c r="A1721" s="8" t="inlineStr">
        <is>
          <t>1999-12-01</t>
        </is>
      </c>
      <c r="B1721" s="6" t="n">
        <v>5.2</v>
      </c>
      <c r="C1721" s="8">
        <f>B1721/100/12</f>
        <v/>
      </c>
      <c r="D1721" s="8">
        <f>D1720*(1+C1721)</f>
        <v/>
      </c>
    </row>
    <row r="1722">
      <c r="A1722" s="8" t="inlineStr">
        <is>
          <t>2000-01-01</t>
        </is>
      </c>
      <c r="B1722" s="6" t="n">
        <v>5.32</v>
      </c>
      <c r="C1722" s="8">
        <f>B1722/100/12</f>
        <v/>
      </c>
      <c r="D1722" s="8">
        <f>D1721*(1+C1722)</f>
        <v/>
      </c>
    </row>
    <row r="1723">
      <c r="A1723" s="8" t="inlineStr">
        <is>
          <t>2000-02-01</t>
        </is>
      </c>
      <c r="B1723" s="6" t="n">
        <v>5.55</v>
      </c>
      <c r="C1723" s="8">
        <f>B1723/100/12</f>
        <v/>
      </c>
      <c r="D1723" s="8">
        <f>D1722*(1+C1723)</f>
        <v/>
      </c>
    </row>
    <row r="1724">
      <c r="A1724" s="8" t="inlineStr">
        <is>
          <t>2000-03-01</t>
        </is>
      </c>
      <c r="B1724" s="6" t="n">
        <v>5.69</v>
      </c>
      <c r="C1724" s="8">
        <f>B1724/100/12</f>
        <v/>
      </c>
      <c r="D1724" s="8">
        <f>D1723*(1+C1724)</f>
        <v/>
      </c>
    </row>
    <row r="1725">
      <c r="A1725" s="8" t="inlineStr">
        <is>
          <t>2000-04-01</t>
        </is>
      </c>
      <c r="B1725" s="6" t="n">
        <v>5.66</v>
      </c>
      <c r="C1725" s="8">
        <f>B1725/100/12</f>
        <v/>
      </c>
      <c r="D1725" s="8">
        <f>D1724*(1+C1725)</f>
        <v/>
      </c>
    </row>
    <row r="1726">
      <c r="A1726" s="8" t="inlineStr">
        <is>
          <t>2000-05-01</t>
        </is>
      </c>
      <c r="B1726" s="6" t="n">
        <v>5.79</v>
      </c>
      <c r="C1726" s="8">
        <f>B1726/100/12</f>
        <v/>
      </c>
      <c r="D1726" s="8">
        <f>D1725*(1+C1726)</f>
        <v/>
      </c>
    </row>
    <row r="1727">
      <c r="A1727" s="8" t="inlineStr">
        <is>
          <t>2000-06-01</t>
        </is>
      </c>
      <c r="B1727" s="6" t="n">
        <v>5.69</v>
      </c>
      <c r="C1727" s="8">
        <f>B1727/100/12</f>
        <v/>
      </c>
      <c r="D1727" s="8">
        <f>D1726*(1+C1727)</f>
        <v/>
      </c>
    </row>
    <row r="1728">
      <c r="A1728" s="8" t="inlineStr">
        <is>
          <t>2000-07-01</t>
        </is>
      </c>
      <c r="B1728" s="6" t="n">
        <v>5.96</v>
      </c>
      <c r="C1728" s="8">
        <f>B1728/100/12</f>
        <v/>
      </c>
      <c r="D1728" s="8">
        <f>D1727*(1+C1728)</f>
        <v/>
      </c>
    </row>
    <row r="1729">
      <c r="A1729" s="8" t="inlineStr">
        <is>
          <t>2000-08-01</t>
        </is>
      </c>
      <c r="B1729" s="6" t="n">
        <v>6.09</v>
      </c>
      <c r="C1729" s="8">
        <f>B1729/100/12</f>
        <v/>
      </c>
      <c r="D1729" s="8">
        <f>D1728*(1+C1729)</f>
        <v/>
      </c>
    </row>
    <row r="1730">
      <c r="A1730" s="8" t="inlineStr">
        <is>
          <t>2000-09-01</t>
        </is>
      </c>
      <c r="B1730" s="6" t="n">
        <v>6</v>
      </c>
      <c r="C1730" s="8">
        <f>B1730/100/12</f>
        <v/>
      </c>
      <c r="D1730" s="8">
        <f>D1729*(1+C1730)</f>
        <v/>
      </c>
    </row>
    <row r="1731">
      <c r="A1731" s="8" t="inlineStr">
        <is>
          <t>2000-10-01</t>
        </is>
      </c>
      <c r="B1731" s="6" t="n">
        <v>6.11</v>
      </c>
      <c r="C1731" s="8">
        <f>B1731/100/12</f>
        <v/>
      </c>
      <c r="D1731" s="8">
        <f>D1730*(1+C1731)</f>
        <v/>
      </c>
    </row>
    <row r="1732">
      <c r="A1732" s="8" t="inlineStr">
        <is>
          <t>2000-11-01</t>
        </is>
      </c>
      <c r="B1732" s="6" t="n">
        <v>6.17</v>
      </c>
      <c r="C1732" s="8">
        <f>B1732/100/12</f>
        <v/>
      </c>
      <c r="D1732" s="8">
        <f>D1731*(1+C1732)</f>
        <v/>
      </c>
    </row>
    <row r="1733">
      <c r="A1733" s="8" t="inlineStr">
        <is>
          <t>2000-12-01</t>
        </is>
      </c>
      <c r="B1733" s="6" t="n">
        <v>5.77</v>
      </c>
      <c r="C1733" s="8">
        <f>B1733/100/12</f>
        <v/>
      </c>
      <c r="D1733" s="8">
        <f>D1732*(1+C1733)</f>
        <v/>
      </c>
    </row>
    <row r="1734">
      <c r="A1734" s="8" t="inlineStr">
        <is>
          <t>2001-01-01</t>
        </is>
      </c>
      <c r="B1734" s="6" t="n">
        <v>5.15</v>
      </c>
      <c r="C1734" s="8">
        <f>B1734/100/12</f>
        <v/>
      </c>
      <c r="D1734" s="8">
        <f>D1733*(1+C1734)</f>
        <v/>
      </c>
    </row>
    <row r="1735">
      <c r="A1735" s="8" t="inlineStr">
        <is>
          <t>2001-02-01</t>
        </is>
      </c>
      <c r="B1735" s="6" t="n">
        <v>4.88</v>
      </c>
      <c r="C1735" s="8">
        <f>B1735/100/12</f>
        <v/>
      </c>
      <c r="D1735" s="8">
        <f>D1734*(1+C1735)</f>
        <v/>
      </c>
    </row>
    <row r="1736">
      <c r="A1736" s="8" t="inlineStr">
        <is>
          <t>2001-03-01</t>
        </is>
      </c>
      <c r="B1736" s="6" t="n">
        <v>4.42</v>
      </c>
      <c r="C1736" s="8">
        <f>B1736/100/12</f>
        <v/>
      </c>
      <c r="D1736" s="8">
        <f>D1735*(1+C1736)</f>
        <v/>
      </c>
    </row>
    <row r="1737">
      <c r="A1737" s="8" t="inlineStr">
        <is>
          <t>2001-04-01</t>
        </is>
      </c>
      <c r="B1737" s="6" t="n">
        <v>3.87</v>
      </c>
      <c r="C1737" s="8">
        <f>B1737/100/12</f>
        <v/>
      </c>
      <c r="D1737" s="8">
        <f>D1736*(1+C1737)</f>
        <v/>
      </c>
    </row>
    <row r="1738">
      <c r="A1738" s="8" t="inlineStr">
        <is>
          <t>2001-05-01</t>
        </is>
      </c>
      <c r="B1738" s="6" t="n">
        <v>3.62</v>
      </c>
      <c r="C1738" s="8">
        <f>B1738/100/12</f>
        <v/>
      </c>
      <c r="D1738" s="8">
        <f>D1737*(1+C1738)</f>
        <v/>
      </c>
    </row>
    <row r="1739">
      <c r="A1739" s="8" t="inlineStr">
        <is>
          <t>2001-06-01</t>
        </is>
      </c>
      <c r="B1739" s="6" t="n">
        <v>3.49</v>
      </c>
      <c r="C1739" s="8">
        <f>B1739/100/12</f>
        <v/>
      </c>
      <c r="D1739" s="8">
        <f>D1738*(1+C1739)</f>
        <v/>
      </c>
    </row>
    <row r="1740">
      <c r="A1740" s="8" t="inlineStr">
        <is>
          <t>2001-07-01</t>
        </is>
      </c>
      <c r="B1740" s="6" t="n">
        <v>3.51</v>
      </c>
      <c r="C1740" s="8">
        <f>B1740/100/12</f>
        <v/>
      </c>
      <c r="D1740" s="8">
        <f>D1739*(1+C1740)</f>
        <v/>
      </c>
    </row>
    <row r="1741">
      <c r="A1741" s="8" t="inlineStr">
        <is>
          <t>2001-08-01</t>
        </is>
      </c>
      <c r="B1741" s="6" t="n">
        <v>3.36</v>
      </c>
      <c r="C1741" s="8">
        <f>B1741/100/12</f>
        <v/>
      </c>
      <c r="D1741" s="8">
        <f>D1740*(1+C1741)</f>
        <v/>
      </c>
    </row>
    <row r="1742">
      <c r="A1742" s="8" t="inlineStr">
        <is>
          <t>2001-09-01</t>
        </is>
      </c>
      <c r="B1742" s="6" t="n">
        <v>2.64</v>
      </c>
      <c r="C1742" s="8">
        <f>B1742/100/12</f>
        <v/>
      </c>
      <c r="D1742" s="8">
        <f>D1741*(1+C1742)</f>
        <v/>
      </c>
    </row>
    <row r="1743">
      <c r="A1743" s="8" t="inlineStr">
        <is>
          <t>2001-10-01</t>
        </is>
      </c>
      <c r="B1743" s="6" t="n">
        <v>2.16</v>
      </c>
      <c r="C1743" s="8">
        <f>B1743/100/12</f>
        <v/>
      </c>
      <c r="D1743" s="8">
        <f>D1742*(1+C1743)</f>
        <v/>
      </c>
    </row>
    <row r="1744">
      <c r="A1744" s="8" t="inlineStr">
        <is>
          <t>2001-11-01</t>
        </is>
      </c>
      <c r="B1744" s="6" t="n">
        <v>1.87</v>
      </c>
      <c r="C1744" s="8">
        <f>B1744/100/12</f>
        <v/>
      </c>
      <c r="D1744" s="8">
        <f>D1743*(1+C1744)</f>
        <v/>
      </c>
    </row>
    <row r="1745">
      <c r="A1745" s="8" t="inlineStr">
        <is>
          <t>2001-12-01</t>
        </is>
      </c>
      <c r="B1745" s="6" t="n">
        <v>1.69</v>
      </c>
      <c r="C1745" s="8">
        <f>B1745/100/12</f>
        <v/>
      </c>
      <c r="D1745" s="8">
        <f>D1744*(1+C1745)</f>
        <v/>
      </c>
    </row>
    <row r="1746">
      <c r="A1746" s="8" t="inlineStr">
        <is>
          <t>2002-01-01</t>
        </is>
      </c>
      <c r="B1746" s="6" t="n">
        <v>1.65</v>
      </c>
      <c r="C1746" s="8">
        <f>B1746/100/12</f>
        <v/>
      </c>
      <c r="D1746" s="8">
        <f>D1745*(1+C1746)</f>
        <v/>
      </c>
    </row>
    <row r="1747">
      <c r="A1747" s="8" t="inlineStr">
        <is>
          <t>2002-02-01</t>
        </is>
      </c>
      <c r="B1747" s="6" t="n">
        <v>1.72</v>
      </c>
      <c r="C1747" s="8">
        <f>B1747/100/12</f>
        <v/>
      </c>
      <c r="D1747" s="8">
        <f>D1746*(1+C1747)</f>
        <v/>
      </c>
    </row>
    <row r="1748">
      <c r="A1748" s="8" t="inlineStr">
        <is>
          <t>2002-03-01</t>
        </is>
      </c>
      <c r="B1748" s="6" t="n">
        <v>1.79</v>
      </c>
      <c r="C1748" s="8">
        <f>B1748/100/12</f>
        <v/>
      </c>
      <c r="D1748" s="8">
        <f>D1747*(1+C1748)</f>
        <v/>
      </c>
    </row>
    <row r="1749">
      <c r="A1749" s="8" t="inlineStr">
        <is>
          <t>2002-04-01</t>
        </is>
      </c>
      <c r="B1749" s="6" t="n">
        <v>1.71</v>
      </c>
      <c r="C1749" s="8">
        <f>B1749/100/12</f>
        <v/>
      </c>
      <c r="D1749" s="8">
        <f>D1748*(1+C1749)</f>
        <v/>
      </c>
    </row>
    <row r="1750">
      <c r="A1750" s="8" t="inlineStr">
        <is>
          <t>2002-05-01</t>
        </is>
      </c>
      <c r="B1750" s="6" t="n">
        <v>1.73</v>
      </c>
      <c r="C1750" s="8">
        <f>B1750/100/12</f>
        <v/>
      </c>
      <c r="D1750" s="8">
        <f>D1749*(1+C1750)</f>
        <v/>
      </c>
    </row>
    <row r="1751">
      <c r="A1751" s="8" t="inlineStr">
        <is>
          <t>2002-06-01</t>
        </is>
      </c>
      <c r="B1751" s="6" t="n">
        <v>1.7</v>
      </c>
      <c r="C1751" s="8">
        <f>B1751/100/12</f>
        <v/>
      </c>
      <c r="D1751" s="8">
        <f>D1750*(1+C1751)</f>
        <v/>
      </c>
    </row>
    <row r="1752">
      <c r="A1752" s="8" t="inlineStr">
        <is>
          <t>2002-07-01</t>
        </is>
      </c>
      <c r="B1752" s="6" t="n">
        <v>1.68</v>
      </c>
      <c r="C1752" s="8">
        <f>B1752/100/12</f>
        <v/>
      </c>
      <c r="D1752" s="8">
        <f>D1751*(1+C1752)</f>
        <v/>
      </c>
    </row>
    <row r="1753">
      <c r="A1753" s="8" t="inlineStr">
        <is>
          <t>2002-08-01</t>
        </is>
      </c>
      <c r="B1753" s="6" t="n">
        <v>1.62</v>
      </c>
      <c r="C1753" s="8">
        <f>B1753/100/12</f>
        <v/>
      </c>
      <c r="D1753" s="8">
        <f>D1752*(1+C1753)</f>
        <v/>
      </c>
    </row>
    <row r="1754">
      <c r="A1754" s="8" t="inlineStr">
        <is>
          <t>2002-09-01</t>
        </is>
      </c>
      <c r="B1754" s="6" t="n">
        <v>1.63</v>
      </c>
      <c r="C1754" s="8">
        <f>B1754/100/12</f>
        <v/>
      </c>
      <c r="D1754" s="8">
        <f>D1753*(1+C1754)</f>
        <v/>
      </c>
    </row>
    <row r="1755">
      <c r="A1755" s="8" t="inlineStr">
        <is>
          <t>2002-10-01</t>
        </is>
      </c>
      <c r="B1755" s="6" t="n">
        <v>1.58</v>
      </c>
      <c r="C1755" s="8">
        <f>B1755/100/12</f>
        <v/>
      </c>
      <c r="D1755" s="8">
        <f>D1754*(1+C1755)</f>
        <v/>
      </c>
    </row>
    <row r="1756">
      <c r="A1756" s="8" t="inlineStr">
        <is>
          <t>2002-11-01</t>
        </is>
      </c>
      <c r="B1756" s="6" t="n">
        <v>1.23</v>
      </c>
      <c r="C1756" s="8">
        <f>B1756/100/12</f>
        <v/>
      </c>
      <c r="D1756" s="8">
        <f>D1755*(1+C1756)</f>
        <v/>
      </c>
    </row>
    <row r="1757">
      <c r="A1757" s="8" t="inlineStr">
        <is>
          <t>2002-12-01</t>
        </is>
      </c>
      <c r="B1757" s="6" t="n">
        <v>1.19</v>
      </c>
      <c r="C1757" s="8">
        <f>B1757/100/12</f>
        <v/>
      </c>
      <c r="D1757" s="8">
        <f>D1756*(1+C1757)</f>
        <v/>
      </c>
    </row>
    <row r="1758">
      <c r="A1758" s="8" t="inlineStr">
        <is>
          <t>2003-01-01</t>
        </is>
      </c>
      <c r="B1758" s="6" t="n">
        <v>1.17</v>
      </c>
      <c r="C1758" s="8">
        <f>B1758/100/12</f>
        <v/>
      </c>
      <c r="D1758" s="8">
        <f>D1757*(1+C1758)</f>
        <v/>
      </c>
    </row>
    <row r="1759">
      <c r="A1759" s="8" t="inlineStr">
        <is>
          <t>2003-02-01</t>
        </is>
      </c>
      <c r="B1759" s="6" t="n">
        <v>1.17</v>
      </c>
      <c r="C1759" s="8">
        <f>B1759/100/12</f>
        <v/>
      </c>
      <c r="D1759" s="8">
        <f>D1758*(1+C1759)</f>
        <v/>
      </c>
    </row>
    <row r="1760">
      <c r="A1760" s="8" t="inlineStr">
        <is>
          <t>2003-03-01</t>
        </is>
      </c>
      <c r="B1760" s="6" t="n">
        <v>1.13</v>
      </c>
      <c r="C1760" s="8">
        <f>B1760/100/12</f>
        <v/>
      </c>
      <c r="D1760" s="8">
        <f>D1759*(1+C1760)</f>
        <v/>
      </c>
    </row>
    <row r="1761">
      <c r="A1761" s="8" t="inlineStr">
        <is>
          <t>2003-04-01</t>
        </is>
      </c>
      <c r="B1761" s="6" t="n">
        <v>1.13</v>
      </c>
      <c r="C1761" s="8">
        <f>B1761/100/12</f>
        <v/>
      </c>
      <c r="D1761" s="8">
        <f>D1760*(1+C1761)</f>
        <v/>
      </c>
    </row>
    <row r="1762">
      <c r="A1762" s="8" t="inlineStr">
        <is>
          <t>2003-05-01</t>
        </is>
      </c>
      <c r="B1762" s="6" t="n">
        <v>1.07</v>
      </c>
      <c r="C1762" s="8">
        <f>B1762/100/12</f>
        <v/>
      </c>
      <c r="D1762" s="8">
        <f>D1761*(1+C1762)</f>
        <v/>
      </c>
    </row>
    <row r="1763">
      <c r="A1763" s="8" t="inlineStr">
        <is>
          <t>2003-06-01</t>
        </is>
      </c>
      <c r="B1763" s="6" t="n">
        <v>0.92</v>
      </c>
      <c r="C1763" s="8">
        <f>B1763/100/12</f>
        <v/>
      </c>
      <c r="D1763" s="8">
        <f>D1762*(1+C1763)</f>
        <v/>
      </c>
    </row>
    <row r="1764">
      <c r="A1764" s="8" t="inlineStr">
        <is>
          <t>2003-07-01</t>
        </is>
      </c>
      <c r="B1764" s="6" t="n">
        <v>0.9</v>
      </c>
      <c r="C1764" s="8">
        <f>B1764/100/12</f>
        <v/>
      </c>
      <c r="D1764" s="8">
        <f>D1763*(1+C1764)</f>
        <v/>
      </c>
    </row>
    <row r="1765">
      <c r="A1765" s="8" t="inlineStr">
        <is>
          <t>2003-08-01</t>
        </is>
      </c>
      <c r="B1765" s="6" t="n">
        <v>0.95</v>
      </c>
      <c r="C1765" s="8">
        <f>B1765/100/12</f>
        <v/>
      </c>
      <c r="D1765" s="8">
        <f>D1764*(1+C1765)</f>
        <v/>
      </c>
    </row>
    <row r="1766">
      <c r="A1766" s="8" t="inlineStr">
        <is>
          <t>2003-09-01</t>
        </is>
      </c>
      <c r="B1766" s="6" t="n">
        <v>0.9399999999999999</v>
      </c>
      <c r="C1766" s="8">
        <f>B1766/100/12</f>
        <v/>
      </c>
      <c r="D1766" s="8">
        <f>D1765*(1+C1766)</f>
        <v/>
      </c>
    </row>
    <row r="1767">
      <c r="A1767" s="8" t="inlineStr">
        <is>
          <t>2003-10-01</t>
        </is>
      </c>
      <c r="B1767" s="6" t="n">
        <v>0.92</v>
      </c>
      <c r="C1767" s="8">
        <f>B1767/100/12</f>
        <v/>
      </c>
      <c r="D1767" s="8">
        <f>D1766*(1+C1767)</f>
        <v/>
      </c>
    </row>
    <row r="1768">
      <c r="A1768" s="8" t="inlineStr">
        <is>
          <t>2003-11-01</t>
        </is>
      </c>
      <c r="B1768" s="6" t="n">
        <v>0.93</v>
      </c>
      <c r="C1768" s="8">
        <f>B1768/100/12</f>
        <v/>
      </c>
      <c r="D1768" s="8">
        <f>D1767*(1+C1768)</f>
        <v/>
      </c>
    </row>
    <row r="1769">
      <c r="A1769" s="8" t="inlineStr">
        <is>
          <t>2003-12-01</t>
        </is>
      </c>
      <c r="B1769" s="6" t="n">
        <v>0.9</v>
      </c>
      <c r="C1769" s="8">
        <f>B1769/100/12</f>
        <v/>
      </c>
      <c r="D1769" s="8">
        <f>D1768*(1+C1769)</f>
        <v/>
      </c>
    </row>
    <row r="1770">
      <c r="A1770" s="8" t="inlineStr">
        <is>
          <t>2004-01-01</t>
        </is>
      </c>
      <c r="B1770" s="6" t="n">
        <v>0.88</v>
      </c>
      <c r="C1770" s="8">
        <f>B1770/100/12</f>
        <v/>
      </c>
      <c r="D1770" s="8">
        <f>D1769*(1+C1770)</f>
        <v/>
      </c>
    </row>
    <row r="1771">
      <c r="A1771" s="8" t="inlineStr">
        <is>
          <t>2004-02-01</t>
        </is>
      </c>
      <c r="B1771" s="6" t="n">
        <v>0.93</v>
      </c>
      <c r="C1771" s="8">
        <f>B1771/100/12</f>
        <v/>
      </c>
      <c r="D1771" s="8">
        <f>D1770*(1+C1771)</f>
        <v/>
      </c>
    </row>
    <row r="1772">
      <c r="A1772" s="8" t="inlineStr">
        <is>
          <t>2004-03-01</t>
        </is>
      </c>
      <c r="B1772" s="6" t="n">
        <v>0.9399999999999999</v>
      </c>
      <c r="C1772" s="8">
        <f>B1772/100/12</f>
        <v/>
      </c>
      <c r="D1772" s="8">
        <f>D1771*(1+C1772)</f>
        <v/>
      </c>
    </row>
    <row r="1773">
      <c r="A1773" s="8" t="inlineStr">
        <is>
          <t>2004-04-01</t>
        </is>
      </c>
      <c r="B1773" s="6" t="n">
        <v>0.9399999999999999</v>
      </c>
      <c r="C1773" s="8">
        <f>B1773/100/12</f>
        <v/>
      </c>
      <c r="D1773" s="8">
        <f>D1772*(1+C1773)</f>
        <v/>
      </c>
    </row>
    <row r="1774">
      <c r="A1774" s="8" t="inlineStr">
        <is>
          <t>2004-05-01</t>
        </is>
      </c>
      <c r="B1774" s="6" t="n">
        <v>1.02</v>
      </c>
      <c r="C1774" s="8">
        <f>B1774/100/12</f>
        <v/>
      </c>
      <c r="D1774" s="8">
        <f>D1773*(1+C1774)</f>
        <v/>
      </c>
    </row>
    <row r="1775">
      <c r="A1775" s="8" t="inlineStr">
        <is>
          <t>2004-06-01</t>
        </is>
      </c>
      <c r="B1775" s="6" t="n">
        <v>1.27</v>
      </c>
      <c r="C1775" s="8">
        <f>B1775/100/12</f>
        <v/>
      </c>
      <c r="D1775" s="8">
        <f>D1774*(1+C1775)</f>
        <v/>
      </c>
    </row>
    <row r="1776">
      <c r="A1776" s="8" t="inlineStr">
        <is>
          <t>2004-07-01</t>
        </is>
      </c>
      <c r="B1776" s="6" t="n">
        <v>1.33</v>
      </c>
      <c r="C1776" s="8">
        <f>B1776/100/12</f>
        <v/>
      </c>
      <c r="D1776" s="8">
        <f>D1775*(1+C1776)</f>
        <v/>
      </c>
    </row>
    <row r="1777">
      <c r="A1777" s="8" t="inlineStr">
        <is>
          <t>2004-08-01</t>
        </is>
      </c>
      <c r="B1777" s="6" t="n">
        <v>1.48</v>
      </c>
      <c r="C1777" s="8">
        <f>B1777/100/12</f>
        <v/>
      </c>
      <c r="D1777" s="8">
        <f>D1776*(1+C1777)</f>
        <v/>
      </c>
    </row>
    <row r="1778">
      <c r="A1778" s="8" t="inlineStr">
        <is>
          <t>2004-09-01</t>
        </is>
      </c>
      <c r="B1778" s="6" t="n">
        <v>1.65</v>
      </c>
      <c r="C1778" s="8">
        <f>B1778/100/12</f>
        <v/>
      </c>
      <c r="D1778" s="8">
        <f>D1777*(1+C1778)</f>
        <v/>
      </c>
    </row>
    <row r="1779">
      <c r="A1779" s="8" t="inlineStr">
        <is>
          <t>2004-10-01</t>
        </is>
      </c>
      <c r="B1779" s="6" t="n">
        <v>1.76</v>
      </c>
      <c r="C1779" s="8">
        <f>B1779/100/12</f>
        <v/>
      </c>
      <c r="D1779" s="8">
        <f>D1778*(1+C1779)</f>
        <v/>
      </c>
    </row>
    <row r="1780">
      <c r="A1780" s="8" t="inlineStr">
        <is>
          <t>2004-11-01</t>
        </is>
      </c>
      <c r="B1780" s="6" t="n">
        <v>2.07</v>
      </c>
      <c r="C1780" s="8">
        <f>B1780/100/12</f>
        <v/>
      </c>
      <c r="D1780" s="8">
        <f>D1779*(1+C1780)</f>
        <v/>
      </c>
    </row>
    <row r="1781">
      <c r="A1781" s="8" t="inlineStr">
        <is>
          <t>2004-12-01</t>
        </is>
      </c>
      <c r="B1781" s="6" t="n">
        <v>2.19</v>
      </c>
      <c r="C1781" s="8">
        <f>B1781/100/12</f>
        <v/>
      </c>
      <c r="D1781" s="8">
        <f>D1780*(1+C1781)</f>
        <v/>
      </c>
    </row>
    <row r="1782">
      <c r="A1782" s="8" t="inlineStr">
        <is>
          <t>2005-01-01</t>
        </is>
      </c>
      <c r="B1782" s="6" t="n">
        <v>2.33</v>
      </c>
      <c r="C1782" s="8">
        <f>B1782/100/12</f>
        <v/>
      </c>
      <c r="D1782" s="8">
        <f>D1781*(1+C1782)</f>
        <v/>
      </c>
    </row>
    <row r="1783">
      <c r="A1783" s="8" t="inlineStr">
        <is>
          <t>2005-02-01</t>
        </is>
      </c>
      <c r="B1783" s="6" t="n">
        <v>2.54</v>
      </c>
      <c r="C1783" s="8">
        <f>B1783/100/12</f>
        <v/>
      </c>
      <c r="D1783" s="8">
        <f>D1782*(1+C1783)</f>
        <v/>
      </c>
    </row>
    <row r="1784">
      <c r="A1784" s="8" t="inlineStr">
        <is>
          <t>2005-03-01</t>
        </is>
      </c>
      <c r="B1784" s="6" t="n">
        <v>2.74</v>
      </c>
      <c r="C1784" s="8">
        <f>B1784/100/12</f>
        <v/>
      </c>
      <c r="D1784" s="8">
        <f>D1783*(1+C1784)</f>
        <v/>
      </c>
    </row>
    <row r="1785">
      <c r="A1785" s="8" t="inlineStr">
        <is>
          <t>2005-04-01</t>
        </is>
      </c>
      <c r="B1785" s="6" t="n">
        <v>2.78</v>
      </c>
      <c r="C1785" s="8">
        <f>B1785/100/12</f>
        <v/>
      </c>
      <c r="D1785" s="8">
        <f>D1784*(1+C1785)</f>
        <v/>
      </c>
    </row>
    <row r="1786">
      <c r="A1786" s="8" t="inlineStr">
        <is>
          <t>2005-05-01</t>
        </is>
      </c>
      <c r="B1786" s="6" t="n">
        <v>2.84</v>
      </c>
      <c r="C1786" s="8">
        <f>B1786/100/12</f>
        <v/>
      </c>
      <c r="D1786" s="8">
        <f>D1785*(1+C1786)</f>
        <v/>
      </c>
    </row>
    <row r="1787">
      <c r="A1787" s="8" t="inlineStr">
        <is>
          <t>2005-06-01</t>
        </is>
      </c>
      <c r="B1787" s="6" t="n">
        <v>2.97</v>
      </c>
      <c r="C1787" s="8">
        <f>B1787/100/12</f>
        <v/>
      </c>
      <c r="D1787" s="8">
        <f>D1786*(1+C1787)</f>
        <v/>
      </c>
    </row>
    <row r="1788">
      <c r="A1788" s="8" t="inlineStr">
        <is>
          <t>2005-07-01</t>
        </is>
      </c>
      <c r="B1788" s="6" t="n">
        <v>3.22</v>
      </c>
      <c r="C1788" s="8">
        <f>B1788/100/12</f>
        <v/>
      </c>
      <c r="D1788" s="8">
        <f>D1787*(1+C1788)</f>
        <v/>
      </c>
    </row>
    <row r="1789">
      <c r="A1789" s="8" t="inlineStr">
        <is>
          <t>2005-08-01</t>
        </is>
      </c>
      <c r="B1789" s="6" t="n">
        <v>3.44</v>
      </c>
      <c r="C1789" s="8">
        <f>B1789/100/12</f>
        <v/>
      </c>
      <c r="D1789" s="8">
        <f>D1788*(1+C1789)</f>
        <v/>
      </c>
    </row>
    <row r="1790">
      <c r="A1790" s="8" t="inlineStr">
        <is>
          <t>2005-09-01</t>
        </is>
      </c>
      <c r="B1790" s="6" t="n">
        <v>3.42</v>
      </c>
      <c r="C1790" s="8">
        <f>B1790/100/12</f>
        <v/>
      </c>
      <c r="D1790" s="8">
        <f>D1789*(1+C1790)</f>
        <v/>
      </c>
    </row>
    <row r="1791">
      <c r="A1791" s="8" t="inlineStr">
        <is>
          <t>2005-10-01</t>
        </is>
      </c>
      <c r="B1791" s="6" t="n">
        <v>3.71</v>
      </c>
      <c r="C1791" s="8">
        <f>B1791/100/12</f>
        <v/>
      </c>
      <c r="D1791" s="8">
        <f>D1790*(1+C1791)</f>
        <v/>
      </c>
    </row>
    <row r="1792">
      <c r="A1792" s="8" t="inlineStr">
        <is>
          <t>2005-11-01</t>
        </is>
      </c>
      <c r="B1792" s="6" t="n">
        <v>3.88</v>
      </c>
      <c r="C1792" s="8">
        <f>B1792/100/12</f>
        <v/>
      </c>
      <c r="D1792" s="8">
        <f>D1791*(1+C1792)</f>
        <v/>
      </c>
    </row>
    <row r="1793">
      <c r="A1793" s="8" t="inlineStr">
        <is>
          <t>2005-12-01</t>
        </is>
      </c>
      <c r="B1793" s="6" t="n">
        <v>3.89</v>
      </c>
      <c r="C1793" s="8">
        <f>B1793/100/12</f>
        <v/>
      </c>
      <c r="D1793" s="8">
        <f>D1792*(1+C1793)</f>
        <v/>
      </c>
    </row>
    <row r="1794">
      <c r="A1794" s="8" t="inlineStr">
        <is>
          <t>2006-01-01</t>
        </is>
      </c>
      <c r="B1794" s="6" t="n">
        <v>4.24</v>
      </c>
      <c r="C1794" s="8">
        <f>B1794/100/12</f>
        <v/>
      </c>
      <c r="D1794" s="8">
        <f>D1793*(1+C1794)</f>
        <v/>
      </c>
    </row>
    <row r="1795">
      <c r="A1795" s="8" t="inlineStr">
        <is>
          <t>2006-02-01</t>
        </is>
      </c>
      <c r="B1795" s="6" t="n">
        <v>4.43</v>
      </c>
      <c r="C1795" s="8">
        <f>B1795/100/12</f>
        <v/>
      </c>
      <c r="D1795" s="8">
        <f>D1794*(1+C1795)</f>
        <v/>
      </c>
    </row>
    <row r="1796">
      <c r="A1796" s="8" t="inlineStr">
        <is>
          <t>2006-03-01</t>
        </is>
      </c>
      <c r="B1796" s="6" t="n">
        <v>4.51</v>
      </c>
      <c r="C1796" s="8">
        <f>B1796/100/12</f>
        <v/>
      </c>
      <c r="D1796" s="8">
        <f>D1795*(1+C1796)</f>
        <v/>
      </c>
    </row>
    <row r="1797">
      <c r="A1797" s="8" t="inlineStr">
        <is>
          <t>2006-04-01</t>
        </is>
      </c>
      <c r="B1797" s="6" t="n">
        <v>4.6</v>
      </c>
      <c r="C1797" s="8">
        <f>B1797/100/12</f>
        <v/>
      </c>
      <c r="D1797" s="8">
        <f>D1796*(1+C1797)</f>
        <v/>
      </c>
    </row>
    <row r="1798">
      <c r="A1798" s="8" t="inlineStr">
        <is>
          <t>2006-05-01</t>
        </is>
      </c>
      <c r="B1798" s="6" t="n">
        <v>4.72</v>
      </c>
      <c r="C1798" s="8">
        <f>B1798/100/12</f>
        <v/>
      </c>
      <c r="D1798" s="8">
        <f>D1797*(1+C1798)</f>
        <v/>
      </c>
    </row>
    <row r="1799">
      <c r="A1799" s="8" t="inlineStr">
        <is>
          <t>2006-06-01</t>
        </is>
      </c>
      <c r="B1799" s="6" t="n">
        <v>4.79</v>
      </c>
      <c r="C1799" s="8">
        <f>B1799/100/12</f>
        <v/>
      </c>
      <c r="D1799" s="8">
        <f>D1798*(1+C1799)</f>
        <v/>
      </c>
    </row>
    <row r="1800">
      <c r="A1800" s="8" t="inlineStr">
        <is>
          <t>2006-07-01</t>
        </is>
      </c>
      <c r="B1800" s="6" t="n">
        <v>4.95</v>
      </c>
      <c r="C1800" s="8">
        <f>B1800/100/12</f>
        <v/>
      </c>
      <c r="D1800" s="8">
        <f>D1799*(1+C1800)</f>
        <v/>
      </c>
    </row>
    <row r="1801">
      <c r="A1801" s="8" t="inlineStr">
        <is>
          <t>2006-08-01</t>
        </is>
      </c>
      <c r="B1801" s="6" t="n">
        <v>4.96</v>
      </c>
      <c r="C1801" s="8">
        <f>B1801/100/12</f>
        <v/>
      </c>
      <c r="D1801" s="8">
        <f>D1800*(1+C1801)</f>
        <v/>
      </c>
    </row>
    <row r="1802">
      <c r="A1802" s="8" t="inlineStr">
        <is>
          <t>2006-09-01</t>
        </is>
      </c>
      <c r="B1802" s="6" t="n">
        <v>4.81</v>
      </c>
      <c r="C1802" s="8">
        <f>B1802/100/12</f>
        <v/>
      </c>
      <c r="D1802" s="8">
        <f>D1801*(1+C1802)</f>
        <v/>
      </c>
    </row>
    <row r="1803">
      <c r="A1803" s="8" t="inlineStr">
        <is>
          <t>2006-10-01</t>
        </is>
      </c>
      <c r="B1803" s="6" t="n">
        <v>4.92</v>
      </c>
      <c r="C1803" s="8">
        <f>B1803/100/12</f>
        <v/>
      </c>
      <c r="D1803" s="8">
        <f>D1802*(1+C1803)</f>
        <v/>
      </c>
    </row>
    <row r="1804">
      <c r="A1804" s="8" t="inlineStr">
        <is>
          <t>2006-11-01</t>
        </is>
      </c>
      <c r="B1804" s="6" t="n">
        <v>4.94</v>
      </c>
      <c r="C1804" s="8">
        <f>B1804/100/12</f>
        <v/>
      </c>
      <c r="D1804" s="8">
        <f>D1803*(1+C1804)</f>
        <v/>
      </c>
    </row>
    <row r="1805">
      <c r="A1805" s="8" t="inlineStr">
        <is>
          <t>2006-12-01</t>
        </is>
      </c>
      <c r="B1805" s="6" t="n">
        <v>4.85</v>
      </c>
      <c r="C1805" s="8">
        <f>B1805/100/12</f>
        <v/>
      </c>
      <c r="D1805" s="8">
        <f>D1804*(1+C1805)</f>
        <v/>
      </c>
    </row>
    <row r="1806">
      <c r="A1806" s="8" t="inlineStr">
        <is>
          <t>2007-01-01</t>
        </is>
      </c>
      <c r="B1806" s="6" t="n">
        <v>4.98</v>
      </c>
      <c r="C1806" s="8">
        <f>B1806/100/12</f>
        <v/>
      </c>
      <c r="D1806" s="8">
        <f>D1805*(1+C1806)</f>
        <v/>
      </c>
    </row>
    <row r="1807">
      <c r="A1807" s="8" t="inlineStr">
        <is>
          <t>2007-02-01</t>
        </is>
      </c>
      <c r="B1807" s="6" t="n">
        <v>5.03</v>
      </c>
      <c r="C1807" s="8">
        <f>B1807/100/12</f>
        <v/>
      </c>
      <c r="D1807" s="8">
        <f>D1806*(1+C1807)</f>
        <v/>
      </c>
    </row>
    <row r="1808">
      <c r="A1808" s="8" t="inlineStr">
        <is>
          <t>2007-03-01</t>
        </is>
      </c>
      <c r="B1808" s="6" t="n">
        <v>4.94</v>
      </c>
      <c r="C1808" s="8">
        <f>B1808/100/12</f>
        <v/>
      </c>
      <c r="D1808" s="8">
        <f>D1807*(1+C1808)</f>
        <v/>
      </c>
    </row>
    <row r="1809">
      <c r="A1809" s="8" t="inlineStr">
        <is>
          <t>2007-04-01</t>
        </is>
      </c>
      <c r="B1809" s="6" t="n">
        <v>4.87</v>
      </c>
      <c r="C1809" s="8">
        <f>B1809/100/12</f>
        <v/>
      </c>
      <c r="D1809" s="8">
        <f>D1808*(1+C1809)</f>
        <v/>
      </c>
    </row>
    <row r="1810">
      <c r="A1810" s="8" t="inlineStr">
        <is>
          <t>2007-05-01</t>
        </is>
      </c>
      <c r="B1810" s="6" t="n">
        <v>4.73</v>
      </c>
      <c r="C1810" s="8">
        <f>B1810/100/12</f>
        <v/>
      </c>
      <c r="D1810" s="8">
        <f>D1809*(1+C1810)</f>
        <v/>
      </c>
    </row>
    <row r="1811">
      <c r="A1811" s="8" t="inlineStr">
        <is>
          <t>2007-06-01</t>
        </is>
      </c>
      <c r="B1811" s="6" t="n">
        <v>4.61</v>
      </c>
      <c r="C1811" s="8">
        <f>B1811/100/12</f>
        <v/>
      </c>
      <c r="D1811" s="8">
        <f>D1810*(1+C1811)</f>
        <v/>
      </c>
    </row>
    <row r="1812">
      <c r="A1812" s="8" t="inlineStr">
        <is>
          <t>2007-07-01</t>
        </is>
      </c>
      <c r="B1812" s="6" t="n">
        <v>4.82</v>
      </c>
      <c r="C1812" s="8">
        <f>B1812/100/12</f>
        <v/>
      </c>
      <c r="D1812" s="8">
        <f>D1811*(1+C1812)</f>
        <v/>
      </c>
    </row>
    <row r="1813">
      <c r="A1813" s="8" t="inlineStr">
        <is>
          <t>2007-08-01</t>
        </is>
      </c>
      <c r="B1813" s="6" t="n">
        <v>4.2</v>
      </c>
      <c r="C1813" s="8">
        <f>B1813/100/12</f>
        <v/>
      </c>
      <c r="D1813" s="8">
        <f>D1812*(1+C1813)</f>
        <v/>
      </c>
    </row>
    <row r="1814">
      <c r="A1814" s="8" t="inlineStr">
        <is>
          <t>2007-09-01</t>
        </is>
      </c>
      <c r="B1814" s="6" t="n">
        <v>3.89</v>
      </c>
      <c r="C1814" s="8">
        <f>B1814/100/12</f>
        <v/>
      </c>
      <c r="D1814" s="8">
        <f>D1813*(1+C1814)</f>
        <v/>
      </c>
    </row>
    <row r="1815">
      <c r="A1815" s="8" t="inlineStr">
        <is>
          <t>2007-10-01</t>
        </is>
      </c>
      <c r="B1815" s="6" t="n">
        <v>3.9</v>
      </c>
      <c r="C1815" s="8">
        <f>B1815/100/12</f>
        <v/>
      </c>
      <c r="D1815" s="8">
        <f>D1814*(1+C1815)</f>
        <v/>
      </c>
    </row>
    <row r="1816">
      <c r="A1816" s="8" t="inlineStr">
        <is>
          <t>2007-11-01</t>
        </is>
      </c>
      <c r="B1816" s="6" t="n">
        <v>3.27</v>
      </c>
      <c r="C1816" s="8">
        <f>B1816/100/12</f>
        <v/>
      </c>
      <c r="D1816" s="8">
        <f>D1815*(1+C1816)</f>
        <v/>
      </c>
    </row>
    <row r="1817">
      <c r="A1817" s="8" t="inlineStr">
        <is>
          <t>2007-12-01</t>
        </is>
      </c>
      <c r="B1817" s="6" t="n">
        <v>3</v>
      </c>
      <c r="C1817" s="8">
        <f>B1817/100/12</f>
        <v/>
      </c>
      <c r="D1817" s="8">
        <f>D1816*(1+C1817)</f>
        <v/>
      </c>
    </row>
    <row r="1818">
      <c r="A1818" s="8" t="inlineStr">
        <is>
          <t>2008-01-01</t>
        </is>
      </c>
      <c r="B1818" s="6" t="n">
        <v>2.75</v>
      </c>
      <c r="C1818" s="8">
        <f>B1818/100/12</f>
        <v/>
      </c>
      <c r="D1818" s="8">
        <f>D1817*(1+C1818)</f>
        <v/>
      </c>
    </row>
    <row r="1819">
      <c r="A1819" s="8" t="inlineStr">
        <is>
          <t>2008-02-01</t>
        </is>
      </c>
      <c r="B1819" s="6" t="n">
        <v>2.12</v>
      </c>
      <c r="C1819" s="8">
        <f>B1819/100/12</f>
        <v/>
      </c>
      <c r="D1819" s="8">
        <f>D1818*(1+C1819)</f>
        <v/>
      </c>
    </row>
    <row r="1820">
      <c r="A1820" s="8" t="inlineStr">
        <is>
          <t>2008-03-01</t>
        </is>
      </c>
      <c r="B1820" s="6" t="n">
        <v>1.26</v>
      </c>
      <c r="C1820" s="8">
        <f>B1820/100/12</f>
        <v/>
      </c>
      <c r="D1820" s="8">
        <f>D1819*(1+C1820)</f>
        <v/>
      </c>
    </row>
    <row r="1821">
      <c r="A1821" s="8" t="inlineStr">
        <is>
          <t>2008-04-01</t>
        </is>
      </c>
      <c r="B1821" s="6" t="n">
        <v>1.29</v>
      </c>
      <c r="C1821" s="8">
        <f>B1821/100/12</f>
        <v/>
      </c>
      <c r="D1821" s="8">
        <f>D1820*(1+C1821)</f>
        <v/>
      </c>
    </row>
    <row r="1822">
      <c r="A1822" s="8" t="inlineStr">
        <is>
          <t>2008-05-01</t>
        </is>
      </c>
      <c r="B1822" s="6" t="n">
        <v>1.73</v>
      </c>
      <c r="C1822" s="8">
        <f>B1822/100/12</f>
        <v/>
      </c>
      <c r="D1822" s="8">
        <f>D1821*(1+C1822)</f>
        <v/>
      </c>
    </row>
    <row r="1823">
      <c r="A1823" s="8" t="inlineStr">
        <is>
          <t>2008-06-01</t>
        </is>
      </c>
      <c r="B1823" s="6" t="n">
        <v>1.86</v>
      </c>
      <c r="C1823" s="8">
        <f>B1823/100/12</f>
        <v/>
      </c>
      <c r="D1823" s="8">
        <f>D1822*(1+C1823)</f>
        <v/>
      </c>
    </row>
    <row r="1824">
      <c r="A1824" s="8" t="inlineStr">
        <is>
          <t>2008-07-01</t>
        </is>
      </c>
      <c r="B1824" s="6" t="n">
        <v>1.63</v>
      </c>
      <c r="C1824" s="8">
        <f>B1824/100/12</f>
        <v/>
      </c>
      <c r="D1824" s="8">
        <f>D1823*(1+C1824)</f>
        <v/>
      </c>
    </row>
    <row r="1825">
      <c r="A1825" s="8" t="inlineStr">
        <is>
          <t>2008-08-01</t>
        </is>
      </c>
      <c r="B1825" s="6" t="n">
        <v>1.72</v>
      </c>
      <c r="C1825" s="8">
        <f>B1825/100/12</f>
        <v/>
      </c>
      <c r="D1825" s="8">
        <f>D1824*(1+C1825)</f>
        <v/>
      </c>
    </row>
    <row r="1826">
      <c r="A1826" s="8" t="inlineStr">
        <is>
          <t>2008-09-01</t>
        </is>
      </c>
      <c r="B1826" s="6" t="n">
        <v>1.13</v>
      </c>
      <c r="C1826" s="8">
        <f>B1826/100/12</f>
        <v/>
      </c>
      <c r="D1826" s="8">
        <f>D1825*(1+C1826)</f>
        <v/>
      </c>
    </row>
    <row r="1827">
      <c r="A1827" s="8" t="inlineStr">
        <is>
          <t>2008-10-01</t>
        </is>
      </c>
      <c r="B1827" s="6" t="n">
        <v>0.67</v>
      </c>
      <c r="C1827" s="8">
        <f>B1827/100/12</f>
        <v/>
      </c>
      <c r="D1827" s="8">
        <f>D1826*(1+C1827)</f>
        <v/>
      </c>
    </row>
    <row r="1828">
      <c r="A1828" s="8" t="inlineStr">
        <is>
          <t>2008-11-01</t>
        </is>
      </c>
      <c r="B1828" s="6" t="n">
        <v>0.19</v>
      </c>
      <c r="C1828" s="8">
        <f>B1828/100/12</f>
        <v/>
      </c>
      <c r="D1828" s="8">
        <f>D1827*(1+C1828)</f>
        <v/>
      </c>
    </row>
    <row r="1829">
      <c r="A1829" s="8" t="inlineStr">
        <is>
          <t>2008-12-01</t>
        </is>
      </c>
      <c r="B1829" s="6" t="n">
        <v>0.03</v>
      </c>
      <c r="C1829" s="8">
        <f>B1829/100/12</f>
        <v/>
      </c>
      <c r="D1829" s="8">
        <f>D1828*(1+C1829)</f>
        <v/>
      </c>
    </row>
    <row r="1830">
      <c r="A1830" s="8" t="inlineStr">
        <is>
          <t>2009-01-01</t>
        </is>
      </c>
      <c r="B1830" s="6" t="n">
        <v>0.13</v>
      </c>
      <c r="C1830" s="8">
        <f>B1830/100/12</f>
        <v/>
      </c>
      <c r="D1830" s="8">
        <f>D1829*(1+C1830)</f>
        <v/>
      </c>
    </row>
    <row r="1831">
      <c r="A1831" s="8" t="inlineStr">
        <is>
          <t>2009-02-01</t>
        </is>
      </c>
      <c r="B1831" s="6" t="n">
        <v>0.3</v>
      </c>
      <c r="C1831" s="8">
        <f>B1831/100/12</f>
        <v/>
      </c>
      <c r="D1831" s="8">
        <f>D1830*(1+C1831)</f>
        <v/>
      </c>
    </row>
    <row r="1832">
      <c r="A1832" s="8" t="inlineStr">
        <is>
          <t>2009-03-01</t>
        </is>
      </c>
      <c r="B1832" s="6" t="n">
        <v>0.21</v>
      </c>
      <c r="C1832" s="8">
        <f>B1832/100/12</f>
        <v/>
      </c>
      <c r="D1832" s="8">
        <f>D1831*(1+C1832)</f>
        <v/>
      </c>
    </row>
    <row r="1833">
      <c r="A1833" s="8" t="inlineStr">
        <is>
          <t>2009-04-01</t>
        </is>
      </c>
      <c r="B1833" s="6" t="n">
        <v>0.16</v>
      </c>
      <c r="C1833" s="8">
        <f>B1833/100/12</f>
        <v/>
      </c>
      <c r="D1833" s="8">
        <f>D1832*(1+C1833)</f>
        <v/>
      </c>
    </row>
    <row r="1834">
      <c r="A1834" s="8" t="inlineStr">
        <is>
          <t>2009-05-01</t>
        </is>
      </c>
      <c r="B1834" s="6" t="n">
        <v>0.18</v>
      </c>
      <c r="C1834" s="8">
        <f>B1834/100/12</f>
        <v/>
      </c>
      <c r="D1834" s="8">
        <f>D1833*(1+C1834)</f>
        <v/>
      </c>
    </row>
    <row r="1835">
      <c r="A1835" s="8" t="inlineStr">
        <is>
          <t>2009-06-01</t>
        </is>
      </c>
      <c r="B1835" s="6" t="n">
        <v>0.18</v>
      </c>
      <c r="C1835" s="8">
        <f>B1835/100/12</f>
        <v/>
      </c>
      <c r="D1835" s="8">
        <f>D1834*(1+C1835)</f>
        <v/>
      </c>
    </row>
    <row r="1836">
      <c r="A1836" s="8" t="inlineStr">
        <is>
          <t>2009-07-01</t>
        </is>
      </c>
      <c r="B1836" s="6" t="n">
        <v>0.18</v>
      </c>
      <c r="C1836" s="8">
        <f>B1836/100/12</f>
        <v/>
      </c>
      <c r="D1836" s="8">
        <f>D1835*(1+C1836)</f>
        <v/>
      </c>
    </row>
    <row r="1837">
      <c r="A1837" s="8" t="inlineStr">
        <is>
          <t>2009-08-01</t>
        </is>
      </c>
      <c r="B1837" s="6" t="n">
        <v>0.17</v>
      </c>
      <c r="C1837" s="8">
        <f>B1837/100/12</f>
        <v/>
      </c>
      <c r="D1837" s="8">
        <f>D1836*(1+C1837)</f>
        <v/>
      </c>
    </row>
    <row r="1838">
      <c r="A1838" s="8" t="inlineStr">
        <is>
          <t>2009-09-01</t>
        </is>
      </c>
      <c r="B1838" s="6" t="n">
        <v>0.12</v>
      </c>
      <c r="C1838" s="8">
        <f>B1838/100/12</f>
        <v/>
      </c>
      <c r="D1838" s="8">
        <f>D1837*(1+C1838)</f>
        <v/>
      </c>
    </row>
    <row r="1839">
      <c r="A1839" s="8" t="inlineStr">
        <is>
          <t>2009-10-01</t>
        </is>
      </c>
      <c r="B1839" s="6" t="n">
        <v>0.07000000000000001</v>
      </c>
      <c r="C1839" s="8">
        <f>B1839/100/12</f>
        <v/>
      </c>
      <c r="D1839" s="8">
        <f>D1838*(1+C1839)</f>
        <v/>
      </c>
    </row>
    <row r="1840">
      <c r="A1840" s="8" t="inlineStr">
        <is>
          <t>2009-11-01</t>
        </is>
      </c>
      <c r="B1840" s="6" t="n">
        <v>0.05</v>
      </c>
      <c r="C1840" s="8">
        <f>B1840/100/12</f>
        <v/>
      </c>
      <c r="D1840" s="8">
        <f>D1839*(1+C1840)</f>
        <v/>
      </c>
    </row>
    <row r="1841">
      <c r="A1841" s="8" t="inlineStr">
        <is>
          <t>2009-12-01</t>
        </is>
      </c>
      <c r="B1841" s="6" t="n">
        <v>0.05</v>
      </c>
      <c r="C1841" s="8">
        <f>B1841/100/12</f>
        <v/>
      </c>
      <c r="D1841" s="8">
        <f>D1840*(1+C1841)</f>
        <v/>
      </c>
    </row>
    <row r="1842">
      <c r="A1842" s="8" t="inlineStr">
        <is>
          <t>2010-01-01</t>
        </is>
      </c>
      <c r="B1842" s="6" t="n">
        <v>0.06</v>
      </c>
      <c r="C1842" s="8">
        <f>B1842/100/12</f>
        <v/>
      </c>
      <c r="D1842" s="8">
        <f>D1841*(1+C1842)</f>
        <v/>
      </c>
    </row>
    <row r="1843">
      <c r="A1843" s="8" t="inlineStr">
        <is>
          <t>2010-02-01</t>
        </is>
      </c>
      <c r="B1843" s="6" t="n">
        <v>0.11</v>
      </c>
      <c r="C1843" s="8">
        <f>B1843/100/12</f>
        <v/>
      </c>
      <c r="D1843" s="8">
        <f>D1842*(1+C1843)</f>
        <v/>
      </c>
    </row>
    <row r="1844">
      <c r="A1844" s="8" t="inlineStr">
        <is>
          <t>2010-03-01</t>
        </is>
      </c>
      <c r="B1844" s="6" t="n">
        <v>0.15</v>
      </c>
      <c r="C1844" s="8">
        <f>B1844/100/12</f>
        <v/>
      </c>
      <c r="D1844" s="8">
        <f>D1843*(1+C1844)</f>
        <v/>
      </c>
    </row>
    <row r="1845">
      <c r="A1845" s="8" t="inlineStr">
        <is>
          <t>2010-04-01</t>
        </is>
      </c>
      <c r="B1845" s="6" t="n">
        <v>0.16</v>
      </c>
      <c r="C1845" s="8">
        <f>B1845/100/12</f>
        <v/>
      </c>
      <c r="D1845" s="8">
        <f>D1844*(1+C1845)</f>
        <v/>
      </c>
    </row>
    <row r="1846">
      <c r="A1846" s="8" t="inlineStr">
        <is>
          <t>2010-05-01</t>
        </is>
      </c>
      <c r="B1846" s="6" t="n">
        <v>0.16</v>
      </c>
      <c r="C1846" s="8">
        <f>B1846/100/12</f>
        <v/>
      </c>
      <c r="D1846" s="8">
        <f>D1845*(1+C1846)</f>
        <v/>
      </c>
    </row>
    <row r="1847">
      <c r="A1847" s="8" t="inlineStr">
        <is>
          <t>2010-06-01</t>
        </is>
      </c>
      <c r="B1847" s="6" t="n">
        <v>0.12</v>
      </c>
      <c r="C1847" s="8">
        <f>B1847/100/12</f>
        <v/>
      </c>
      <c r="D1847" s="8">
        <f>D1846*(1+C1847)</f>
        <v/>
      </c>
    </row>
    <row r="1848">
      <c r="A1848" s="8" t="inlineStr">
        <is>
          <t>2010-07-01</t>
        </is>
      </c>
      <c r="B1848" s="6" t="n">
        <v>0.16</v>
      </c>
      <c r="C1848" s="8">
        <f>B1848/100/12</f>
        <v/>
      </c>
      <c r="D1848" s="8">
        <f>D1847*(1+C1848)</f>
        <v/>
      </c>
    </row>
    <row r="1849">
      <c r="A1849" s="8" t="inlineStr">
        <is>
          <t>2010-08-01</t>
        </is>
      </c>
      <c r="B1849" s="6" t="n">
        <v>0.16</v>
      </c>
      <c r="C1849" s="8">
        <f>B1849/100/12</f>
        <v/>
      </c>
      <c r="D1849" s="8">
        <f>D1848*(1+C1849)</f>
        <v/>
      </c>
    </row>
    <row r="1850">
      <c r="A1850" s="8" t="inlineStr">
        <is>
          <t>2010-09-01</t>
        </is>
      </c>
      <c r="B1850" s="6" t="n">
        <v>0.15</v>
      </c>
      <c r="C1850" s="8">
        <f>B1850/100/12</f>
        <v/>
      </c>
      <c r="D1850" s="8">
        <f>D1849*(1+C1850)</f>
        <v/>
      </c>
    </row>
    <row r="1851">
      <c r="A1851" s="8" t="inlineStr">
        <is>
          <t>2010-10-01</t>
        </is>
      </c>
      <c r="B1851" s="6" t="n">
        <v>0.13</v>
      </c>
      <c r="C1851" s="8">
        <f>B1851/100/12</f>
        <v/>
      </c>
      <c r="D1851" s="8">
        <f>D1850*(1+C1851)</f>
        <v/>
      </c>
    </row>
    <row r="1852">
      <c r="A1852" s="8" t="inlineStr">
        <is>
          <t>2010-11-01</t>
        </is>
      </c>
      <c r="B1852" s="6" t="n">
        <v>0.14</v>
      </c>
      <c r="C1852" s="8">
        <f>B1852/100/12</f>
        <v/>
      </c>
      <c r="D1852" s="8">
        <f>D1851*(1+C1852)</f>
        <v/>
      </c>
    </row>
    <row r="1853">
      <c r="A1853" s="8" t="inlineStr">
        <is>
          <t>2010-12-01</t>
        </is>
      </c>
      <c r="B1853" s="6" t="n">
        <v>0.14</v>
      </c>
      <c r="C1853" s="8">
        <f>B1853/100/12</f>
        <v/>
      </c>
      <c r="D1853" s="8">
        <f>D1852*(1+C1853)</f>
        <v/>
      </c>
    </row>
    <row r="1854">
      <c r="A1854" s="8" t="inlineStr">
        <is>
          <t>2011-01-01</t>
        </is>
      </c>
      <c r="B1854" s="6" t="n">
        <v>0.15</v>
      </c>
      <c r="C1854" s="8">
        <f>B1854/100/12</f>
        <v/>
      </c>
      <c r="D1854" s="8">
        <f>D1853*(1+C1854)</f>
        <v/>
      </c>
    </row>
    <row r="1855">
      <c r="A1855" s="8" t="inlineStr">
        <is>
          <t>2011-02-01</t>
        </is>
      </c>
      <c r="B1855" s="6" t="n">
        <v>0.13</v>
      </c>
      <c r="C1855" s="8">
        <f>B1855/100/12</f>
        <v/>
      </c>
      <c r="D1855" s="8">
        <f>D1854*(1+C1855)</f>
        <v/>
      </c>
    </row>
    <row r="1856">
      <c r="A1856" s="8" t="inlineStr">
        <is>
          <t>2011-03-01</t>
        </is>
      </c>
      <c r="B1856" s="6" t="n">
        <v>0.1</v>
      </c>
      <c r="C1856" s="8">
        <f>B1856/100/12</f>
        <v/>
      </c>
      <c r="D1856" s="8">
        <f>D1855*(1+C1856)</f>
        <v/>
      </c>
    </row>
    <row r="1857">
      <c r="A1857" s="8" t="inlineStr">
        <is>
          <t>2011-04-01</t>
        </is>
      </c>
      <c r="B1857" s="6" t="n">
        <v>0.06</v>
      </c>
      <c r="C1857" s="8">
        <f>B1857/100/12</f>
        <v/>
      </c>
      <c r="D1857" s="8">
        <f>D1856*(1+C1857)</f>
        <v/>
      </c>
    </row>
    <row r="1858">
      <c r="A1858" s="8" t="inlineStr">
        <is>
          <t>2011-05-01</t>
        </is>
      </c>
      <c r="B1858" s="6" t="n">
        <v>0.04</v>
      </c>
      <c r="C1858" s="8">
        <f>B1858/100/12</f>
        <v/>
      </c>
      <c r="D1858" s="8">
        <f>D1857*(1+C1858)</f>
        <v/>
      </c>
    </row>
    <row r="1859">
      <c r="A1859" s="8" t="inlineStr">
        <is>
          <t>2011-06-01</t>
        </is>
      </c>
      <c r="B1859" s="6" t="n">
        <v>0.04</v>
      </c>
      <c r="C1859" s="8">
        <f>B1859/100/12</f>
        <v/>
      </c>
      <c r="D1859" s="8">
        <f>D1858*(1+C1859)</f>
        <v/>
      </c>
    </row>
    <row r="1860">
      <c r="A1860" s="8" t="inlineStr">
        <is>
          <t>2011-07-01</t>
        </is>
      </c>
      <c r="B1860" s="6" t="n">
        <v>0.04</v>
      </c>
      <c r="C1860" s="8">
        <f>B1860/100/12</f>
        <v/>
      </c>
      <c r="D1860" s="8">
        <f>D1859*(1+C1860)</f>
        <v/>
      </c>
    </row>
    <row r="1861">
      <c r="A1861" s="8" t="inlineStr">
        <is>
          <t>2011-08-01</t>
        </is>
      </c>
      <c r="B1861" s="6" t="n">
        <v>0.02</v>
      </c>
      <c r="C1861" s="8">
        <f>B1861/100/12</f>
        <v/>
      </c>
      <c r="D1861" s="8">
        <f>D1860*(1+C1861)</f>
        <v/>
      </c>
    </row>
    <row r="1862">
      <c r="A1862" s="8" t="inlineStr">
        <is>
          <t>2011-09-01</t>
        </is>
      </c>
      <c r="B1862" s="6" t="n">
        <v>0.01</v>
      </c>
      <c r="C1862" s="8">
        <f>B1862/100/12</f>
        <v/>
      </c>
      <c r="D1862" s="8">
        <f>D1861*(1+C1862)</f>
        <v/>
      </c>
    </row>
    <row r="1863">
      <c r="A1863" s="8" t="inlineStr">
        <is>
          <t>2011-10-01</t>
        </is>
      </c>
      <c r="B1863" s="6" t="n">
        <v>0.02</v>
      </c>
      <c r="C1863" s="8">
        <f>B1863/100/12</f>
        <v/>
      </c>
      <c r="D1863" s="8">
        <f>D1862*(1+C1863)</f>
        <v/>
      </c>
    </row>
    <row r="1864">
      <c r="A1864" s="8" t="inlineStr">
        <is>
          <t>2011-11-01</t>
        </is>
      </c>
      <c r="B1864" s="6" t="n">
        <v>0.01</v>
      </c>
      <c r="C1864" s="8">
        <f>B1864/100/12</f>
        <v/>
      </c>
      <c r="D1864" s="8">
        <f>D1863*(1+C1864)</f>
        <v/>
      </c>
    </row>
    <row r="1865">
      <c r="A1865" s="8" t="inlineStr">
        <is>
          <t>2011-12-01</t>
        </is>
      </c>
      <c r="B1865" s="6" t="n">
        <v>0.01</v>
      </c>
      <c r="C1865" s="8">
        <f>B1865/100/12</f>
        <v/>
      </c>
      <c r="D1865" s="8">
        <f>D1864*(1+C1865)</f>
        <v/>
      </c>
    </row>
    <row r="1866">
      <c r="A1866" s="8" t="inlineStr">
        <is>
          <t>2012-01-01</t>
        </is>
      </c>
      <c r="B1866" s="6" t="n">
        <v>0.03</v>
      </c>
      <c r="C1866" s="8">
        <f>B1866/100/12</f>
        <v/>
      </c>
      <c r="D1866" s="8">
        <f>D1865*(1+C1866)</f>
        <v/>
      </c>
    </row>
    <row r="1867">
      <c r="A1867" s="8" t="inlineStr">
        <is>
          <t>2012-02-01</t>
        </is>
      </c>
      <c r="B1867" s="6" t="n">
        <v>0.09</v>
      </c>
      <c r="C1867" s="8">
        <f>B1867/100/12</f>
        <v/>
      </c>
      <c r="D1867" s="8">
        <f>D1866*(1+C1867)</f>
        <v/>
      </c>
    </row>
    <row r="1868">
      <c r="A1868" s="8" t="inlineStr">
        <is>
          <t>2012-03-01</t>
        </is>
      </c>
      <c r="B1868" s="6" t="n">
        <v>0.08</v>
      </c>
      <c r="C1868" s="8">
        <f>B1868/100/12</f>
        <v/>
      </c>
      <c r="D1868" s="8">
        <f>D1867*(1+C1868)</f>
        <v/>
      </c>
    </row>
    <row r="1869">
      <c r="A1869" s="8" t="inlineStr">
        <is>
          <t>2012-04-01</t>
        </is>
      </c>
      <c r="B1869" s="6" t="n">
        <v>0.08</v>
      </c>
      <c r="C1869" s="8">
        <f>B1869/100/12</f>
        <v/>
      </c>
      <c r="D1869" s="8">
        <f>D1868*(1+C1869)</f>
        <v/>
      </c>
    </row>
    <row r="1870">
      <c r="A1870" s="8" t="inlineStr">
        <is>
          <t>2012-05-01</t>
        </is>
      </c>
      <c r="B1870" s="6" t="n">
        <v>0.09</v>
      </c>
      <c r="C1870" s="8">
        <f>B1870/100/12</f>
        <v/>
      </c>
      <c r="D1870" s="8">
        <f>D1869*(1+C1870)</f>
        <v/>
      </c>
    </row>
    <row r="1871">
      <c r="A1871" s="8" t="inlineStr">
        <is>
          <t>2012-06-01</t>
        </is>
      </c>
      <c r="B1871" s="6" t="n">
        <v>0.09</v>
      </c>
      <c r="C1871" s="8">
        <f>B1871/100/12</f>
        <v/>
      </c>
      <c r="D1871" s="8">
        <f>D1870*(1+C1871)</f>
        <v/>
      </c>
    </row>
    <row r="1872">
      <c r="A1872" s="8" t="inlineStr">
        <is>
          <t>2012-07-01</t>
        </is>
      </c>
      <c r="B1872" s="6" t="n">
        <v>0.1</v>
      </c>
      <c r="C1872" s="8">
        <f>B1872/100/12</f>
        <v/>
      </c>
      <c r="D1872" s="8">
        <f>D1871*(1+C1872)</f>
        <v/>
      </c>
    </row>
    <row r="1873">
      <c r="A1873" s="8" t="inlineStr">
        <is>
          <t>2012-08-01</t>
        </is>
      </c>
      <c r="B1873" s="6" t="n">
        <v>0.1</v>
      </c>
      <c r="C1873" s="8">
        <f>B1873/100/12</f>
        <v/>
      </c>
      <c r="D1873" s="8">
        <f>D1872*(1+C1873)</f>
        <v/>
      </c>
    </row>
    <row r="1874">
      <c r="A1874" s="8" t="inlineStr">
        <is>
          <t>2012-09-01</t>
        </is>
      </c>
      <c r="B1874" s="6" t="n">
        <v>0.11</v>
      </c>
      <c r="C1874" s="8">
        <f>B1874/100/12</f>
        <v/>
      </c>
      <c r="D1874" s="8">
        <f>D1873*(1+C1874)</f>
        <v/>
      </c>
    </row>
    <row r="1875">
      <c r="A1875" s="8" t="inlineStr">
        <is>
          <t>2012-10-01</t>
        </is>
      </c>
      <c r="B1875" s="6" t="n">
        <v>0.1</v>
      </c>
      <c r="C1875" s="8">
        <f>B1875/100/12</f>
        <v/>
      </c>
      <c r="D1875" s="8">
        <f>D1874*(1+C1875)</f>
        <v/>
      </c>
    </row>
    <row r="1876">
      <c r="A1876" s="8" t="inlineStr">
        <is>
          <t>2012-11-01</t>
        </is>
      </c>
      <c r="B1876" s="6" t="n">
        <v>0.09</v>
      </c>
      <c r="C1876" s="8">
        <f>B1876/100/12</f>
        <v/>
      </c>
      <c r="D1876" s="8">
        <f>D1875*(1+C1876)</f>
        <v/>
      </c>
    </row>
    <row r="1877">
      <c r="A1877" s="8" t="inlineStr">
        <is>
          <t>2012-12-01</t>
        </is>
      </c>
      <c r="B1877" s="6" t="n">
        <v>0.07000000000000001</v>
      </c>
      <c r="C1877" s="8">
        <f>B1877/100/12</f>
        <v/>
      </c>
      <c r="D1877" s="8">
        <f>D1876*(1+C1877)</f>
        <v/>
      </c>
    </row>
    <row r="1878">
      <c r="A1878" s="8" t="inlineStr">
        <is>
          <t>2013-01-01</t>
        </is>
      </c>
      <c r="B1878" s="6" t="n">
        <v>0.07000000000000001</v>
      </c>
      <c r="C1878" s="8">
        <f>B1878/100/12</f>
        <v/>
      </c>
      <c r="D1878" s="8">
        <f>D1877*(1+C1878)</f>
        <v/>
      </c>
    </row>
    <row r="1879">
      <c r="A1879" s="8" t="inlineStr">
        <is>
          <t>2013-02-01</t>
        </is>
      </c>
      <c r="B1879" s="6" t="n">
        <v>0.1</v>
      </c>
      <c r="C1879" s="8">
        <f>B1879/100/12</f>
        <v/>
      </c>
      <c r="D1879" s="8">
        <f>D1878*(1+C1879)</f>
        <v/>
      </c>
    </row>
    <row r="1880">
      <c r="A1880" s="8" t="inlineStr">
        <is>
          <t>2013-03-01</t>
        </is>
      </c>
      <c r="B1880" s="6" t="n">
        <v>0.09</v>
      </c>
      <c r="C1880" s="8">
        <f>B1880/100/12</f>
        <v/>
      </c>
      <c r="D1880" s="8">
        <f>D1879*(1+C1880)</f>
        <v/>
      </c>
    </row>
    <row r="1881">
      <c r="A1881" s="8" t="inlineStr">
        <is>
          <t>2013-04-01</t>
        </is>
      </c>
      <c r="B1881" s="6" t="n">
        <v>0.06</v>
      </c>
      <c r="C1881" s="8">
        <f>B1881/100/12</f>
        <v/>
      </c>
      <c r="D1881" s="8">
        <f>D1880*(1+C1881)</f>
        <v/>
      </c>
    </row>
    <row r="1882">
      <c r="A1882" s="8" t="inlineStr">
        <is>
          <t>2013-05-01</t>
        </is>
      </c>
      <c r="B1882" s="6" t="n">
        <v>0.04</v>
      </c>
      <c r="C1882" s="8">
        <f>B1882/100/12</f>
        <v/>
      </c>
      <c r="D1882" s="8">
        <f>D1881*(1+C1882)</f>
        <v/>
      </c>
    </row>
    <row r="1883">
      <c r="A1883" s="8" t="inlineStr">
        <is>
          <t>2013-06-01</t>
        </is>
      </c>
      <c r="B1883" s="6" t="n">
        <v>0.05</v>
      </c>
      <c r="C1883" s="8">
        <f>B1883/100/12</f>
        <v/>
      </c>
      <c r="D1883" s="8">
        <f>D1882*(1+C1883)</f>
        <v/>
      </c>
    </row>
    <row r="1884">
      <c r="A1884" s="8" t="inlineStr">
        <is>
          <t>2013-07-01</t>
        </is>
      </c>
      <c r="B1884" s="6" t="n">
        <v>0.04</v>
      </c>
      <c r="C1884" s="8">
        <f>B1884/100/12</f>
        <v/>
      </c>
      <c r="D1884" s="8">
        <f>D1883*(1+C1884)</f>
        <v/>
      </c>
    </row>
    <row r="1885">
      <c r="A1885" s="8" t="inlineStr">
        <is>
          <t>2013-08-01</t>
        </is>
      </c>
      <c r="B1885" s="6" t="n">
        <v>0.04</v>
      </c>
      <c r="C1885" s="8">
        <f>B1885/100/12</f>
        <v/>
      </c>
      <c r="D1885" s="8">
        <f>D1884*(1+C1885)</f>
        <v/>
      </c>
    </row>
    <row r="1886">
      <c r="A1886" s="8" t="inlineStr">
        <is>
          <t>2013-09-01</t>
        </is>
      </c>
      <c r="B1886" s="6" t="n">
        <v>0.02</v>
      </c>
      <c r="C1886" s="8">
        <f>B1886/100/12</f>
        <v/>
      </c>
      <c r="D1886" s="8">
        <f>D1885*(1+C1886)</f>
        <v/>
      </c>
    </row>
    <row r="1887">
      <c r="A1887" s="8" t="inlineStr">
        <is>
          <t>2013-10-01</t>
        </is>
      </c>
      <c r="B1887" s="6" t="n">
        <v>0.05</v>
      </c>
      <c r="C1887" s="8">
        <f>B1887/100/12</f>
        <v/>
      </c>
      <c r="D1887" s="8">
        <f>D1886*(1+C1887)</f>
        <v/>
      </c>
    </row>
    <row r="1888">
      <c r="A1888" s="8" t="inlineStr">
        <is>
          <t>2013-11-01</t>
        </is>
      </c>
      <c r="B1888" s="6" t="n">
        <v>0.07000000000000001</v>
      </c>
      <c r="C1888" s="8">
        <f>B1888/100/12</f>
        <v/>
      </c>
      <c r="D1888" s="8">
        <f>D1887*(1+C1888)</f>
        <v/>
      </c>
    </row>
    <row r="1889">
      <c r="A1889" s="8" t="inlineStr">
        <is>
          <t>2013-12-01</t>
        </is>
      </c>
      <c r="B1889" s="6" t="n">
        <v>0.07000000000000001</v>
      </c>
      <c r="C1889" s="8">
        <f>B1889/100/12</f>
        <v/>
      </c>
      <c r="D1889" s="8">
        <f>D1888*(1+C1889)</f>
        <v/>
      </c>
    </row>
    <row r="1890">
      <c r="A1890" s="8" t="inlineStr">
        <is>
          <t>2014-01-01</t>
        </is>
      </c>
      <c r="B1890" s="6" t="n">
        <v>0.04</v>
      </c>
      <c r="C1890" s="8">
        <f>B1890/100/12</f>
        <v/>
      </c>
      <c r="D1890" s="8">
        <f>D1889*(1+C1890)</f>
        <v/>
      </c>
    </row>
    <row r="1891">
      <c r="A1891" s="8" t="inlineStr">
        <is>
          <t>2014-02-01</t>
        </is>
      </c>
      <c r="B1891" s="6" t="n">
        <v>0.05</v>
      </c>
      <c r="C1891" s="8">
        <f>B1891/100/12</f>
        <v/>
      </c>
      <c r="D1891" s="8">
        <f>D1890*(1+C1891)</f>
        <v/>
      </c>
    </row>
    <row r="1892">
      <c r="A1892" s="8" t="inlineStr">
        <is>
          <t>2014-03-01</t>
        </is>
      </c>
      <c r="B1892" s="6" t="n">
        <v>0.05</v>
      </c>
      <c r="C1892" s="8">
        <f>B1892/100/12</f>
        <v/>
      </c>
      <c r="D1892" s="8">
        <f>D1891*(1+C1892)</f>
        <v/>
      </c>
    </row>
    <row r="1893">
      <c r="A1893" s="8" t="inlineStr">
        <is>
          <t>2014-04-01</t>
        </is>
      </c>
      <c r="B1893" s="6" t="n">
        <v>0.03</v>
      </c>
      <c r="C1893" s="8">
        <f>B1893/100/12</f>
        <v/>
      </c>
      <c r="D1893" s="8">
        <f>D1892*(1+C1893)</f>
        <v/>
      </c>
    </row>
    <row r="1894">
      <c r="A1894" s="8" t="inlineStr">
        <is>
          <t>2014-05-01</t>
        </is>
      </c>
      <c r="B1894" s="6" t="n">
        <v>0.03</v>
      </c>
      <c r="C1894" s="8">
        <f>B1894/100/12</f>
        <v/>
      </c>
      <c r="D1894" s="8">
        <f>D1893*(1+C1894)</f>
        <v/>
      </c>
    </row>
    <row r="1895">
      <c r="A1895" s="8" t="inlineStr">
        <is>
          <t>2014-06-01</t>
        </is>
      </c>
      <c r="B1895" s="6" t="n">
        <v>0.04</v>
      </c>
      <c r="C1895" s="8">
        <f>B1895/100/12</f>
        <v/>
      </c>
      <c r="D1895" s="8">
        <f>D1894*(1+C1895)</f>
        <v/>
      </c>
    </row>
    <row r="1896">
      <c r="A1896" s="8" t="inlineStr">
        <is>
          <t>2014-07-01</t>
        </is>
      </c>
      <c r="B1896" s="6" t="n">
        <v>0.03</v>
      </c>
      <c r="C1896" s="8">
        <f>B1896/100/12</f>
        <v/>
      </c>
      <c r="D1896" s="8">
        <f>D1895*(1+C1896)</f>
        <v/>
      </c>
    </row>
    <row r="1897">
      <c r="A1897" s="8" t="inlineStr">
        <is>
          <t>2014-08-01</t>
        </is>
      </c>
      <c r="B1897" s="6" t="n">
        <v>0.03</v>
      </c>
      <c r="C1897" s="8">
        <f>B1897/100/12</f>
        <v/>
      </c>
      <c r="D1897" s="8">
        <f>D1896*(1+C1897)</f>
        <v/>
      </c>
    </row>
    <row r="1898">
      <c r="A1898" s="8" t="inlineStr">
        <is>
          <t>2014-09-01</t>
        </is>
      </c>
      <c r="B1898" s="6" t="n">
        <v>0.02</v>
      </c>
      <c r="C1898" s="8">
        <f>B1898/100/12</f>
        <v/>
      </c>
      <c r="D1898" s="8">
        <f>D1897*(1+C1898)</f>
        <v/>
      </c>
    </row>
    <row r="1899">
      <c r="A1899" s="8" t="inlineStr">
        <is>
          <t>2014-10-01</t>
        </is>
      </c>
      <c r="B1899" s="6" t="n">
        <v>0.02</v>
      </c>
      <c r="C1899" s="8">
        <f>B1899/100/12</f>
        <v/>
      </c>
      <c r="D1899" s="8">
        <f>D1898*(1+C1899)</f>
        <v/>
      </c>
    </row>
    <row r="1900">
      <c r="A1900" s="8" t="inlineStr">
        <is>
          <t>2014-11-01</t>
        </is>
      </c>
      <c r="B1900" s="6" t="n">
        <v>0.02</v>
      </c>
      <c r="C1900" s="8">
        <f>B1900/100/12</f>
        <v/>
      </c>
      <c r="D1900" s="8">
        <f>D1899*(1+C1900)</f>
        <v/>
      </c>
    </row>
    <row r="1901">
      <c r="A1901" s="8" t="inlineStr">
        <is>
          <t>2014-12-01</t>
        </is>
      </c>
      <c r="B1901" s="6" t="n">
        <v>0.03</v>
      </c>
      <c r="C1901" s="8">
        <f>B1901/100/12</f>
        <v/>
      </c>
      <c r="D1901" s="8">
        <f>D1900*(1+C1901)</f>
        <v/>
      </c>
    </row>
    <row r="1902">
      <c r="A1902" s="8" t="inlineStr">
        <is>
          <t>2015-01-01</t>
        </is>
      </c>
      <c r="B1902" s="6" t="n">
        <v>0.03</v>
      </c>
      <c r="C1902" s="8">
        <f>B1902/100/12</f>
        <v/>
      </c>
      <c r="D1902" s="8">
        <f>D1901*(1+C1902)</f>
        <v/>
      </c>
    </row>
    <row r="1903">
      <c r="A1903" s="8" t="inlineStr">
        <is>
          <t>2015-02-01</t>
        </is>
      </c>
      <c r="B1903" s="6" t="n">
        <v>0.02</v>
      </c>
      <c r="C1903" s="8">
        <f>B1903/100/12</f>
        <v/>
      </c>
      <c r="D1903" s="8">
        <f>D1902*(1+C1903)</f>
        <v/>
      </c>
    </row>
    <row r="1904">
      <c r="A1904" s="8" t="inlineStr">
        <is>
          <t>2015-03-01</t>
        </is>
      </c>
      <c r="B1904" s="6" t="n">
        <v>0.03</v>
      </c>
      <c r="C1904" s="8">
        <f>B1904/100/12</f>
        <v/>
      </c>
      <c r="D1904" s="8">
        <f>D1903*(1+C1904)</f>
        <v/>
      </c>
    </row>
    <row r="1905">
      <c r="A1905" s="8" t="inlineStr">
        <is>
          <t>2015-04-01</t>
        </is>
      </c>
      <c r="B1905" s="6" t="n">
        <v>0.02</v>
      </c>
      <c r="C1905" s="8">
        <f>B1905/100/12</f>
        <v/>
      </c>
      <c r="D1905" s="8">
        <f>D1904*(1+C1905)</f>
        <v/>
      </c>
    </row>
    <row r="1906">
      <c r="A1906" s="8" t="inlineStr">
        <is>
          <t>2015-05-01</t>
        </is>
      </c>
      <c r="B1906" s="6" t="n">
        <v>0.02</v>
      </c>
      <c r="C1906" s="8">
        <f>B1906/100/12</f>
        <v/>
      </c>
      <c r="D1906" s="8">
        <f>D1905*(1+C1906)</f>
        <v/>
      </c>
    </row>
    <row r="1907">
      <c r="A1907" s="8" t="inlineStr">
        <is>
          <t>2015-06-01</t>
        </is>
      </c>
      <c r="B1907" s="6" t="n">
        <v>0.02</v>
      </c>
      <c r="C1907" s="8">
        <f>B1907/100/12</f>
        <v/>
      </c>
      <c r="D1907" s="8">
        <f>D1906*(1+C1907)</f>
        <v/>
      </c>
    </row>
    <row r="1908">
      <c r="A1908" s="8" t="inlineStr">
        <is>
          <t>2015-07-01</t>
        </is>
      </c>
      <c r="B1908" s="6" t="n">
        <v>0.03</v>
      </c>
      <c r="C1908" s="8">
        <f>B1908/100/12</f>
        <v/>
      </c>
      <c r="D1908" s="8">
        <f>D1907*(1+C1908)</f>
        <v/>
      </c>
    </row>
    <row r="1909">
      <c r="A1909" s="8" t="inlineStr">
        <is>
          <t>2015-08-01</t>
        </is>
      </c>
      <c r="B1909" s="6" t="n">
        <v>0.07000000000000001</v>
      </c>
      <c r="C1909" s="8">
        <f>B1909/100/12</f>
        <v/>
      </c>
      <c r="D1909" s="8">
        <f>D1908*(1+C1909)</f>
        <v/>
      </c>
    </row>
    <row r="1910">
      <c r="A1910" s="8" t="inlineStr">
        <is>
          <t>2015-09-01</t>
        </is>
      </c>
      <c r="B1910" s="6" t="n">
        <v>0.02</v>
      </c>
      <c r="C1910" s="8">
        <f>B1910/100/12</f>
        <v/>
      </c>
      <c r="D1910" s="8">
        <f>D1909*(1+C1910)</f>
        <v/>
      </c>
    </row>
    <row r="1911">
      <c r="A1911" s="8" t="inlineStr">
        <is>
          <t>2015-10-01</t>
        </is>
      </c>
      <c r="B1911" s="6" t="n">
        <v>0.02</v>
      </c>
      <c r="C1911" s="8">
        <f>B1911/100/12</f>
        <v/>
      </c>
      <c r="D1911" s="8">
        <f>D1910*(1+C1911)</f>
        <v/>
      </c>
    </row>
    <row r="1912">
      <c r="A1912" s="8" t="inlineStr">
        <is>
          <t>2015-11-01</t>
        </is>
      </c>
      <c r="B1912" s="6" t="n">
        <v>0.12</v>
      </c>
      <c r="C1912" s="8">
        <f>B1912/100/12</f>
        <v/>
      </c>
      <c r="D1912" s="8">
        <f>D1911*(1+C1912)</f>
        <v/>
      </c>
    </row>
    <row r="1913">
      <c r="A1913" s="8" t="inlineStr">
        <is>
          <t>2015-12-01</t>
        </is>
      </c>
      <c r="B1913" s="6" t="n">
        <v>0.23</v>
      </c>
      <c r="C1913" s="8">
        <f>B1913/100/12</f>
        <v/>
      </c>
      <c r="D1913" s="8">
        <f>D1912*(1+C1913)</f>
        <v/>
      </c>
    </row>
    <row r="1914">
      <c r="A1914" s="8" t="inlineStr">
        <is>
          <t>2016-01-01</t>
        </is>
      </c>
      <c r="B1914" s="6" t="n">
        <v>0.26</v>
      </c>
      <c r="C1914" s="8">
        <f>B1914/100/12</f>
        <v/>
      </c>
      <c r="D1914" s="8">
        <f>D1913*(1+C1914)</f>
        <v/>
      </c>
    </row>
    <row r="1915">
      <c r="A1915" s="8" t="inlineStr">
        <is>
          <t>2016-02-01</t>
        </is>
      </c>
      <c r="B1915" s="6" t="n">
        <v>0.31</v>
      </c>
      <c r="C1915" s="8">
        <f>B1915/100/12</f>
        <v/>
      </c>
      <c r="D1915" s="8">
        <f>D1914*(1+C1915)</f>
        <v/>
      </c>
    </row>
    <row r="1916">
      <c r="A1916" s="8" t="inlineStr">
        <is>
          <t>2016-03-01</t>
        </is>
      </c>
      <c r="B1916" s="6" t="n">
        <v>0.29</v>
      </c>
      <c r="C1916" s="8">
        <f>B1916/100/12</f>
        <v/>
      </c>
      <c r="D1916" s="8">
        <f>D1915*(1+C1916)</f>
        <v/>
      </c>
    </row>
    <row r="1917">
      <c r="A1917" s="8" t="inlineStr">
        <is>
          <t>2016-04-01</t>
        </is>
      </c>
      <c r="B1917" s="6" t="n">
        <v>0.23</v>
      </c>
      <c r="C1917" s="8">
        <f>B1917/100/12</f>
        <v/>
      </c>
      <c r="D1917" s="8">
        <f>D1916*(1+C1917)</f>
        <v/>
      </c>
    </row>
    <row r="1918">
      <c r="A1918" s="8" t="inlineStr">
        <is>
          <t>2016-05-01</t>
        </is>
      </c>
      <c r="B1918" s="6" t="n">
        <v>0.27</v>
      </c>
      <c r="C1918" s="8">
        <f>B1918/100/12</f>
        <v/>
      </c>
      <c r="D1918" s="8">
        <f>D1917*(1+C1918)</f>
        <v/>
      </c>
    </row>
    <row r="1919">
      <c r="A1919" s="8" t="inlineStr">
        <is>
          <t>2016-06-01</t>
        </is>
      </c>
      <c r="B1919" s="6" t="n">
        <v>0.27</v>
      </c>
      <c r="C1919" s="8">
        <f>B1919/100/12</f>
        <v/>
      </c>
      <c r="D1919" s="8">
        <f>D1918*(1+C1919)</f>
        <v/>
      </c>
    </row>
    <row r="1920">
      <c r="A1920" s="8" t="inlineStr">
        <is>
          <t>2016-07-01</t>
        </is>
      </c>
      <c r="B1920" s="6" t="n">
        <v>0.3</v>
      </c>
      <c r="C1920" s="8">
        <f>B1920/100/12</f>
        <v/>
      </c>
      <c r="D1920" s="8">
        <f>D1919*(1+C1920)</f>
        <v/>
      </c>
    </row>
    <row r="1921">
      <c r="A1921" s="8" t="inlineStr">
        <is>
          <t>2016-08-01</t>
        </is>
      </c>
      <c r="B1921" s="6" t="n">
        <v>0.3</v>
      </c>
      <c r="C1921" s="8">
        <f>B1921/100/12</f>
        <v/>
      </c>
      <c r="D1921" s="8">
        <f>D1920*(1+C1921)</f>
        <v/>
      </c>
    </row>
    <row r="1922">
      <c r="A1922" s="8" t="inlineStr">
        <is>
          <t>2016-09-01</t>
        </is>
      </c>
      <c r="B1922" s="6" t="n">
        <v>0.29</v>
      </c>
      <c r="C1922" s="8">
        <f>B1922/100/12</f>
        <v/>
      </c>
      <c r="D1922" s="8">
        <f>D1921*(1+C1922)</f>
        <v/>
      </c>
    </row>
    <row r="1923">
      <c r="A1923" s="8" t="inlineStr">
        <is>
          <t>2016-10-01</t>
        </is>
      </c>
      <c r="B1923" s="6" t="n">
        <v>0.33</v>
      </c>
      <c r="C1923" s="8">
        <f>B1923/100/12</f>
        <v/>
      </c>
      <c r="D1923" s="8">
        <f>D1922*(1+C1923)</f>
        <v/>
      </c>
    </row>
    <row r="1924">
      <c r="A1924" s="8" t="inlineStr">
        <is>
          <t>2016-11-01</t>
        </is>
      </c>
      <c r="B1924" s="6" t="n">
        <v>0.45</v>
      </c>
      <c r="C1924" s="8">
        <f>B1924/100/12</f>
        <v/>
      </c>
      <c r="D1924" s="8">
        <f>D1923*(1+C1924)</f>
        <v/>
      </c>
    </row>
    <row r="1925">
      <c r="A1925" s="8" t="inlineStr">
        <is>
          <t>2016-12-01</t>
        </is>
      </c>
      <c r="B1925" s="6" t="n">
        <v>0.51</v>
      </c>
      <c r="C1925" s="8">
        <f>B1925/100/12</f>
        <v/>
      </c>
      <c r="D1925" s="8">
        <f>D1924*(1+C1925)</f>
        <v/>
      </c>
    </row>
    <row r="1926">
      <c r="A1926" s="8" t="inlineStr">
        <is>
          <t>2017-01-01</t>
        </is>
      </c>
      <c r="B1926" s="6" t="n">
        <v>0.51</v>
      </c>
      <c r="C1926" s="8">
        <f>B1926/100/12</f>
        <v/>
      </c>
      <c r="D1926" s="8">
        <f>D1925*(1+C1926)</f>
        <v/>
      </c>
    </row>
    <row r="1927">
      <c r="A1927" s="8" t="inlineStr">
        <is>
          <t>2017-02-01</t>
        </is>
      </c>
      <c r="B1927" s="6" t="n">
        <v>0.52</v>
      </c>
      <c r="C1927" s="8">
        <f>B1927/100/12</f>
        <v/>
      </c>
      <c r="D1927" s="8">
        <f>D1926*(1+C1927)</f>
        <v/>
      </c>
    </row>
    <row r="1928">
      <c r="A1928" s="8" t="inlineStr">
        <is>
          <t>2017-03-01</t>
        </is>
      </c>
      <c r="B1928" s="6" t="n">
        <v>0.74</v>
      </c>
      <c r="C1928" s="8">
        <f>B1928/100/12</f>
        <v/>
      </c>
      <c r="D1928" s="8">
        <f>D1927*(1+C1928)</f>
        <v/>
      </c>
    </row>
    <row r="1929">
      <c r="A1929" s="8" t="inlineStr">
        <is>
          <t>2017-04-01</t>
        </is>
      </c>
      <c r="B1929" s="6" t="n">
        <v>0.8</v>
      </c>
      <c r="C1929" s="8">
        <f>B1929/100/12</f>
        <v/>
      </c>
      <c r="D1929" s="8">
        <f>D1928*(1+C1929)</f>
        <v/>
      </c>
    </row>
    <row r="1930">
      <c r="A1930" s="8" t="inlineStr">
        <is>
          <t>2017-05-01</t>
        </is>
      </c>
      <c r="B1930" s="6" t="n">
        <v>0.89</v>
      </c>
      <c r="C1930" s="8">
        <f>B1930/100/12</f>
        <v/>
      </c>
      <c r="D1930" s="8">
        <f>D1929*(1+C1930)</f>
        <v/>
      </c>
    </row>
    <row r="1931">
      <c r="A1931" s="8" t="inlineStr">
        <is>
          <t>2017-06-01</t>
        </is>
      </c>
      <c r="B1931" s="6" t="n">
        <v>0.98</v>
      </c>
      <c r="C1931" s="8">
        <f>B1931/100/12</f>
        <v/>
      </c>
      <c r="D1931" s="8">
        <f>D1930*(1+C1931)</f>
        <v/>
      </c>
    </row>
    <row r="1932">
      <c r="A1932" s="8" t="inlineStr">
        <is>
          <t>2017-07-01</t>
        </is>
      </c>
      <c r="B1932" s="6" t="n">
        <v>1.07</v>
      </c>
      <c r="C1932" s="8">
        <f>B1932/100/12</f>
        <v/>
      </c>
      <c r="D1932" s="8">
        <f>D1931*(1+C1932)</f>
        <v/>
      </c>
    </row>
    <row r="1933">
      <c r="A1933" s="8" t="inlineStr">
        <is>
          <t>2017-08-01</t>
        </is>
      </c>
      <c r="B1933" s="6" t="n">
        <v>1.01</v>
      </c>
      <c r="C1933" s="8">
        <f>B1933/100/12</f>
        <v/>
      </c>
      <c r="D1933" s="8">
        <f>D1932*(1+C1933)</f>
        <v/>
      </c>
    </row>
    <row r="1934">
      <c r="A1934" s="8" t="inlineStr">
        <is>
          <t>2017-09-01</t>
        </is>
      </c>
      <c r="B1934" s="6" t="n">
        <v>1.03</v>
      </c>
      <c r="C1934" s="8">
        <f>B1934/100/12</f>
        <v/>
      </c>
      <c r="D1934" s="8">
        <f>D1933*(1+C1934)</f>
        <v/>
      </c>
    </row>
    <row r="1935">
      <c r="A1935" s="8" t="inlineStr">
        <is>
          <t>2017-10-01</t>
        </is>
      </c>
      <c r="B1935" s="6" t="n">
        <v>1.07</v>
      </c>
      <c r="C1935" s="8">
        <f>B1935/100/12</f>
        <v/>
      </c>
      <c r="D1935" s="8">
        <f>D1934*(1+C1935)</f>
        <v/>
      </c>
    </row>
    <row r="1936">
      <c r="A1936" s="8" t="inlineStr">
        <is>
          <t>2017-11-01</t>
        </is>
      </c>
      <c r="B1936" s="6" t="n">
        <v>1.23</v>
      </c>
      <c r="C1936" s="8">
        <f>B1936/100/12</f>
        <v/>
      </c>
      <c r="D1936" s="8">
        <f>D1935*(1+C1936)</f>
        <v/>
      </c>
    </row>
    <row r="1937">
      <c r="A1937" s="8" t="inlineStr">
        <is>
          <t>2017-12-01</t>
        </is>
      </c>
      <c r="B1937" s="6" t="n">
        <v>1.32</v>
      </c>
      <c r="C1937" s="8">
        <f>B1937/100/12</f>
        <v/>
      </c>
      <c r="D1937" s="8">
        <f>D1936*(1+C1937)</f>
        <v/>
      </c>
    </row>
    <row r="1938">
      <c r="A1938" s="8" t="inlineStr">
        <is>
          <t>2018-01-01</t>
        </is>
      </c>
      <c r="B1938" s="6" t="n">
        <v>1.41</v>
      </c>
      <c r="C1938" s="8">
        <f>B1938/100/12</f>
        <v/>
      </c>
      <c r="D1938" s="8">
        <f>D1937*(1+C1938)</f>
        <v/>
      </c>
    </row>
    <row r="1939">
      <c r="A1939" s="8" t="inlineStr">
        <is>
          <t>2018-02-01</t>
        </is>
      </c>
      <c r="B1939" s="6" t="n">
        <v>1.57</v>
      </c>
      <c r="C1939" s="8">
        <f>B1939/100/12</f>
        <v/>
      </c>
      <c r="D1939" s="8">
        <f>D1938*(1+C1939)</f>
        <v/>
      </c>
    </row>
    <row r="1940">
      <c r="A1940" s="8" t="inlineStr">
        <is>
          <t>2018-03-01</t>
        </is>
      </c>
      <c r="B1940" s="6" t="n">
        <v>1.7</v>
      </c>
      <c r="C1940" s="8">
        <f>B1940/100/12</f>
        <v/>
      </c>
      <c r="D1940" s="8">
        <f>D1939*(1+C1940)</f>
        <v/>
      </c>
    </row>
    <row r="1941">
      <c r="A1941" s="8" t="inlineStr">
        <is>
          <t>2018-04-01</t>
        </is>
      </c>
      <c r="B1941" s="6" t="n">
        <v>1.76</v>
      </c>
      <c r="C1941" s="8">
        <f>B1941/100/12</f>
        <v/>
      </c>
      <c r="D1941" s="8">
        <f>D1940*(1+C1941)</f>
        <v/>
      </c>
    </row>
    <row r="1942">
      <c r="A1942" s="8" t="inlineStr">
        <is>
          <t>2018-05-01</t>
        </is>
      </c>
      <c r="B1942" s="6" t="n">
        <v>1.86</v>
      </c>
      <c r="C1942" s="8">
        <f>B1942/100/12</f>
        <v/>
      </c>
      <c r="D1942" s="8">
        <f>D1941*(1+C1942)</f>
        <v/>
      </c>
    </row>
    <row r="1943">
      <c r="A1943" s="8" t="inlineStr">
        <is>
          <t>2018-06-01</t>
        </is>
      </c>
      <c r="B1943" s="6" t="n">
        <v>1.9</v>
      </c>
      <c r="C1943" s="8">
        <f>B1943/100/12</f>
        <v/>
      </c>
      <c r="D1943" s="8">
        <f>D1942*(1+C1943)</f>
        <v/>
      </c>
    </row>
    <row r="1944">
      <c r="A1944" s="8" t="inlineStr">
        <is>
          <t>2018-07-01</t>
        </is>
      </c>
      <c r="B1944" s="6" t="n">
        <v>1.96</v>
      </c>
      <c r="C1944" s="8">
        <f>B1944/100/12</f>
        <v/>
      </c>
      <c r="D1944" s="8">
        <f>D1943*(1+C1944)</f>
        <v/>
      </c>
    </row>
    <row r="1945">
      <c r="A1945" s="8" t="inlineStr">
        <is>
          <t>2018-08-01</t>
        </is>
      </c>
      <c r="B1945" s="6" t="n">
        <v>2.03</v>
      </c>
      <c r="C1945" s="8">
        <f>B1945/100/12</f>
        <v/>
      </c>
      <c r="D1945" s="8">
        <f>D1944*(1+C1945)</f>
        <v/>
      </c>
    </row>
    <row r="1946">
      <c r="A1946" s="8" t="inlineStr">
        <is>
          <t>2018-09-01</t>
        </is>
      </c>
      <c r="B1946" s="6" t="n">
        <v>2.13</v>
      </c>
      <c r="C1946" s="8">
        <f>B1946/100/12</f>
        <v/>
      </c>
      <c r="D1946" s="8">
        <f>D1945*(1+C1946)</f>
        <v/>
      </c>
    </row>
    <row r="1947">
      <c r="A1947" s="8" t="inlineStr">
        <is>
          <t>2018-10-01</t>
        </is>
      </c>
      <c r="B1947" s="6" t="n">
        <v>2.25</v>
      </c>
      <c r="C1947" s="8">
        <f>B1947/100/12</f>
        <v/>
      </c>
      <c r="D1947" s="8">
        <f>D1946*(1+C1947)</f>
        <v/>
      </c>
    </row>
    <row r="1948">
      <c r="A1948" s="8" t="inlineStr">
        <is>
          <t>2018-11-01</t>
        </is>
      </c>
      <c r="B1948" s="6" t="n">
        <v>2.33</v>
      </c>
      <c r="C1948" s="8">
        <f>B1948/100/12</f>
        <v/>
      </c>
      <c r="D1948" s="8">
        <f>D1947*(1+C1948)</f>
        <v/>
      </c>
    </row>
    <row r="1949">
      <c r="A1949" s="8" t="inlineStr">
        <is>
          <t>2018-12-01</t>
        </is>
      </c>
      <c r="B1949" s="6" t="n">
        <v>2.37</v>
      </c>
      <c r="C1949" s="8">
        <f>B1949/100/12</f>
        <v/>
      </c>
      <c r="D1949" s="8">
        <f>D1948*(1+C1949)</f>
        <v/>
      </c>
    </row>
    <row r="1950">
      <c r="A1950" s="8" t="inlineStr">
        <is>
          <t>2019-01-01</t>
        </is>
      </c>
      <c r="B1950" s="6" t="n">
        <v>2.37</v>
      </c>
      <c r="C1950" s="8">
        <f>B1950/100/12</f>
        <v/>
      </c>
      <c r="D1950" s="8">
        <f>D1949*(1+C1950)</f>
        <v/>
      </c>
    </row>
    <row r="1951">
      <c r="A1951" s="8" t="inlineStr">
        <is>
          <t>2019-02-01</t>
        </is>
      </c>
      <c r="B1951" s="6" t="n">
        <v>2.39</v>
      </c>
      <c r="C1951" s="8">
        <f>B1951/100/12</f>
        <v/>
      </c>
      <c r="D1951" s="8">
        <f>D1950*(1+C1951)</f>
        <v/>
      </c>
    </row>
    <row r="1952">
      <c r="A1952" s="8" t="inlineStr">
        <is>
          <t>2019-03-01</t>
        </is>
      </c>
      <c r="B1952" s="6" t="n">
        <v>2.4</v>
      </c>
      <c r="C1952" s="8">
        <f>B1952/100/12</f>
        <v/>
      </c>
      <c r="D1952" s="8">
        <f>D1951*(1+C1952)</f>
        <v/>
      </c>
    </row>
    <row r="1953">
      <c r="A1953" s="8" t="inlineStr">
        <is>
          <t>2019-04-01</t>
        </is>
      </c>
      <c r="B1953" s="6" t="n">
        <v>2.38</v>
      </c>
      <c r="C1953" s="8">
        <f>B1953/100/12</f>
        <v/>
      </c>
      <c r="D1953" s="8">
        <f>D1952*(1+C1953)</f>
        <v/>
      </c>
    </row>
    <row r="1954">
      <c r="A1954" s="8" t="inlineStr">
        <is>
          <t>2019-05-01</t>
        </is>
      </c>
      <c r="B1954" s="6" t="n">
        <v>2.35</v>
      </c>
      <c r="C1954" s="8">
        <f>B1954/100/12</f>
        <v/>
      </c>
      <c r="D1954" s="8">
        <f>D1953*(1+C1954)</f>
        <v/>
      </c>
    </row>
    <row r="1955">
      <c r="A1955" s="8" t="inlineStr">
        <is>
          <t>2019-06-01</t>
        </is>
      </c>
      <c r="B1955" s="6" t="n">
        <v>2.17</v>
      </c>
      <c r="C1955" s="8">
        <f>B1955/100/12</f>
        <v/>
      </c>
      <c r="D1955" s="8">
        <f>D1954*(1+C1955)</f>
        <v/>
      </c>
    </row>
    <row r="1956">
      <c r="A1956" s="8" t="inlineStr">
        <is>
          <t>2019-07-01</t>
        </is>
      </c>
      <c r="B1956" s="6" t="n">
        <v>2.1</v>
      </c>
      <c r="C1956" s="8">
        <f>B1956/100/12</f>
        <v/>
      </c>
      <c r="D1956" s="8">
        <f>D1955*(1+C1956)</f>
        <v/>
      </c>
    </row>
    <row r="1957">
      <c r="A1957" s="8" t="inlineStr">
        <is>
          <t>2019-08-01</t>
        </is>
      </c>
      <c r="B1957" s="6" t="n">
        <v>1.95</v>
      </c>
      <c r="C1957" s="8">
        <f>B1957/100/12</f>
        <v/>
      </c>
      <c r="D1957" s="8">
        <f>D1956*(1+C1957)</f>
        <v/>
      </c>
    </row>
    <row r="1958">
      <c r="A1958" s="8" t="inlineStr">
        <is>
          <t>2019-09-01</t>
        </is>
      </c>
      <c r="B1958" s="6" t="n">
        <v>1.89</v>
      </c>
      <c r="C1958" s="8">
        <f>B1958/100/12</f>
        <v/>
      </c>
      <c r="D1958" s="8">
        <f>D1957*(1+C1958)</f>
        <v/>
      </c>
    </row>
    <row r="1959">
      <c r="A1959" s="8" t="inlineStr">
        <is>
          <t>2019-10-01</t>
        </is>
      </c>
      <c r="B1959" s="6" t="n">
        <v>1.65</v>
      </c>
      <c r="C1959" s="8">
        <f>B1959/100/12</f>
        <v/>
      </c>
      <c r="D1959" s="8">
        <f>D1958*(1+C1959)</f>
        <v/>
      </c>
    </row>
    <row r="1960">
      <c r="A1960" s="8" t="inlineStr">
        <is>
          <t>2019-11-01</t>
        </is>
      </c>
      <c r="B1960" s="6" t="n">
        <v>1.54</v>
      </c>
      <c r="C1960" s="8">
        <f>B1960/100/12</f>
        <v/>
      </c>
      <c r="D1960" s="8">
        <f>D1959*(1+C1960)</f>
        <v/>
      </c>
    </row>
    <row r="1961">
      <c r="A1961" s="8" t="inlineStr">
        <is>
          <t>2019-12-01</t>
        </is>
      </c>
      <c r="B1961" s="6" t="n">
        <v>1.54</v>
      </c>
      <c r="C1961" s="8">
        <f>B1961/100/12</f>
        <v/>
      </c>
      <c r="D1961" s="8">
        <f>D1960*(1+C1961)</f>
        <v/>
      </c>
    </row>
    <row r="1962">
      <c r="A1962" s="8" t="inlineStr">
        <is>
          <t>2020-01-01</t>
        </is>
      </c>
      <c r="B1962" s="6" t="n">
        <v>1.52</v>
      </c>
      <c r="C1962" s="8">
        <f>B1962/100/12</f>
        <v/>
      </c>
      <c r="D1962" s="8">
        <f>D1961*(1+C1962)</f>
        <v/>
      </c>
    </row>
    <row r="1963">
      <c r="A1963" s="8" t="inlineStr">
        <is>
          <t>2020-02-01</t>
        </is>
      </c>
      <c r="B1963" s="6" t="n">
        <v>1.52</v>
      </c>
      <c r="C1963" s="8">
        <f>B1963/100/12</f>
        <v/>
      </c>
      <c r="D1963" s="8">
        <f>D1962*(1+C1963)</f>
        <v/>
      </c>
    </row>
    <row r="1964">
      <c r="A1964" s="8" t="inlineStr">
        <is>
          <t>2020-03-01</t>
        </is>
      </c>
      <c r="B1964" s="6" t="n">
        <v>0.29</v>
      </c>
      <c r="C1964" s="8">
        <f>B1964/100/12</f>
        <v/>
      </c>
      <c r="D1964" s="8">
        <f>D1963*(1+C1964)</f>
        <v/>
      </c>
    </row>
    <row r="1965">
      <c r="A1965" s="8" t="inlineStr">
        <is>
          <t>2020-04-01</t>
        </is>
      </c>
      <c r="B1965" s="6" t="n">
        <v>0.14</v>
      </c>
      <c r="C1965" s="8">
        <f>B1965/100/12</f>
        <v/>
      </c>
      <c r="D1965" s="8">
        <f>D1964*(1+C1965)</f>
        <v/>
      </c>
    </row>
    <row r="1966">
      <c r="A1966" s="8" t="inlineStr">
        <is>
          <t>2020-05-01</t>
        </is>
      </c>
      <c r="B1966" s="6" t="n">
        <v>0.13</v>
      </c>
      <c r="C1966" s="8">
        <f>B1966/100/12</f>
        <v/>
      </c>
      <c r="D1966" s="8">
        <f>D1965*(1+C1966)</f>
        <v/>
      </c>
    </row>
    <row r="1967">
      <c r="A1967" s="8" t="inlineStr">
        <is>
          <t>2020-06-01</t>
        </is>
      </c>
      <c r="B1967" s="6" t="n">
        <v>0.16</v>
      </c>
      <c r="C1967" s="8">
        <f>B1967/100/12</f>
        <v/>
      </c>
      <c r="D1967" s="8">
        <f>D1966*(1+C1967)</f>
        <v/>
      </c>
    </row>
    <row r="1968">
      <c r="A1968" s="8" t="inlineStr">
        <is>
          <t>2020-07-01</t>
        </is>
      </c>
      <c r="B1968" s="6" t="n">
        <v>0.13</v>
      </c>
      <c r="C1968" s="8">
        <f>B1968/100/12</f>
        <v/>
      </c>
      <c r="D1968" s="8">
        <f>D1967*(1+C1968)</f>
        <v/>
      </c>
    </row>
    <row r="1969">
      <c r="A1969" s="8" t="inlineStr">
        <is>
          <t>2020-08-01</t>
        </is>
      </c>
      <c r="B1969" s="6" t="n">
        <v>0.1</v>
      </c>
      <c r="C1969" s="8">
        <f>B1969/100/12</f>
        <v/>
      </c>
      <c r="D1969" s="8">
        <f>D1968*(1+C1969)</f>
        <v/>
      </c>
    </row>
    <row r="1970">
      <c r="A1970" s="8" t="inlineStr">
        <is>
          <t>2020-09-01</t>
        </is>
      </c>
      <c r="B1970" s="6" t="n">
        <v>0.11</v>
      </c>
      <c r="C1970" s="8">
        <f>B1970/100/12</f>
        <v/>
      </c>
      <c r="D1970" s="8">
        <f>D1969*(1+C1970)</f>
        <v/>
      </c>
    </row>
    <row r="1971">
      <c r="A1971" s="8" t="inlineStr">
        <is>
          <t>2020-10-01</t>
        </is>
      </c>
      <c r="B1971" s="6" t="n">
        <v>0.1</v>
      </c>
      <c r="C1971" s="8">
        <f>B1971/100/12</f>
        <v/>
      </c>
      <c r="D1971" s="8">
        <f>D1970*(1+C1971)</f>
        <v/>
      </c>
    </row>
    <row r="1972">
      <c r="A1972" s="8" t="inlineStr">
        <is>
          <t>2020-11-01</t>
        </is>
      </c>
      <c r="B1972" s="6" t="n">
        <v>0.09</v>
      </c>
      <c r="C1972" s="8">
        <f>B1972/100/12</f>
        <v/>
      </c>
      <c r="D1972" s="8">
        <f>D1971*(1+C1972)</f>
        <v/>
      </c>
    </row>
    <row r="1973">
      <c r="A1973" s="8" t="inlineStr">
        <is>
          <t>2020-12-01</t>
        </is>
      </c>
      <c r="B1973" s="6" t="n">
        <v>0.09</v>
      </c>
      <c r="C1973" s="8">
        <f>B1973/100/12</f>
        <v/>
      </c>
      <c r="D1973" s="8">
        <f>D1972*(1+C1973)</f>
        <v/>
      </c>
    </row>
    <row r="1974">
      <c r="A1974" s="8" t="inlineStr">
        <is>
          <t>2021-01-01</t>
        </is>
      </c>
      <c r="B1974" s="6" t="n">
        <v>0.08</v>
      </c>
      <c r="C1974" s="8">
        <f>B1974/100/12</f>
        <v/>
      </c>
      <c r="D1974" s="8">
        <f>D1973*(1+C1974)</f>
        <v/>
      </c>
    </row>
    <row r="1975">
      <c r="A1975" s="8" t="inlineStr">
        <is>
          <t>2021-02-01</t>
        </is>
      </c>
      <c r="B1975" s="6" t="n">
        <v>0.04</v>
      </c>
      <c r="C1975" s="8">
        <f>B1975/100/12</f>
        <v/>
      </c>
      <c r="D1975" s="8">
        <f>D1974*(1+C1975)</f>
        <v/>
      </c>
    </row>
    <row r="1976">
      <c r="A1976" s="8" t="inlineStr">
        <is>
          <t>2021-03-01</t>
        </is>
      </c>
      <c r="B1976" s="6" t="n">
        <v>0.03</v>
      </c>
      <c r="C1976" s="8">
        <f>B1976/100/12</f>
        <v/>
      </c>
      <c r="D1976" s="8">
        <f>D1975*(1+C1976)</f>
        <v/>
      </c>
    </row>
    <row r="1977">
      <c r="A1977" s="8" t="inlineStr">
        <is>
          <t>2021-04-01</t>
        </is>
      </c>
      <c r="B1977" s="6" t="n">
        <v>0.02</v>
      </c>
      <c r="C1977" s="8">
        <f>B1977/100/12</f>
        <v/>
      </c>
      <c r="D1977" s="8">
        <f>D1976*(1+C1977)</f>
        <v/>
      </c>
    </row>
    <row r="1978">
      <c r="A1978" s="8" t="inlineStr">
        <is>
          <t>2021-05-01</t>
        </is>
      </c>
      <c r="B1978" s="6" t="n">
        <v>0.02</v>
      </c>
      <c r="C1978" s="8">
        <f>B1978/100/12</f>
        <v/>
      </c>
      <c r="D1978" s="8">
        <f>D1977*(1+C1978)</f>
        <v/>
      </c>
    </row>
    <row r="1979">
      <c r="A1979" s="8" t="inlineStr">
        <is>
          <t>2021-06-01</t>
        </is>
      </c>
      <c r="B1979" s="6" t="n">
        <v>0.04</v>
      </c>
      <c r="C1979" s="8">
        <f>B1979/100/12</f>
        <v/>
      </c>
      <c r="D1979" s="8">
        <f>D1978*(1+C1979)</f>
        <v/>
      </c>
    </row>
    <row r="1980">
      <c r="A1980" s="8" t="inlineStr">
        <is>
          <t>2021-07-01</t>
        </is>
      </c>
      <c r="B1980" s="6" t="n">
        <v>0.05</v>
      </c>
      <c r="C1980" s="8">
        <f>B1980/100/12</f>
        <v/>
      </c>
      <c r="D1980" s="8">
        <f>D1979*(1+C1980)</f>
        <v/>
      </c>
    </row>
    <row r="1981">
      <c r="A1981" s="8" t="inlineStr">
        <is>
          <t>2021-08-01</t>
        </is>
      </c>
      <c r="B1981" s="6" t="n">
        <v>0.05</v>
      </c>
      <c r="C1981" s="8">
        <f>B1981/100/12</f>
        <v/>
      </c>
      <c r="D1981" s="8">
        <f>D1980*(1+C1981)</f>
        <v/>
      </c>
    </row>
    <row r="1982">
      <c r="A1982" s="8" t="inlineStr">
        <is>
          <t>2021-09-01</t>
        </is>
      </c>
      <c r="B1982" s="6" t="n">
        <v>0.04</v>
      </c>
      <c r="C1982" s="8">
        <f>B1982/100/12</f>
        <v/>
      </c>
      <c r="D1982" s="8">
        <f>D1981*(1+C1982)</f>
        <v/>
      </c>
    </row>
    <row r="1983">
      <c r="A1983" s="8" t="inlineStr">
        <is>
          <t>2021-10-01</t>
        </is>
      </c>
      <c r="B1983" s="6" t="n">
        <v>0.05</v>
      </c>
      <c r="C1983" s="8">
        <f>B1983/100/12</f>
        <v/>
      </c>
      <c r="D1983" s="8">
        <f>D1982*(1+C1983)</f>
        <v/>
      </c>
    </row>
    <row r="1984">
      <c r="A1984" s="8" t="inlineStr">
        <is>
          <t>2021-11-01</t>
        </is>
      </c>
      <c r="B1984" s="6" t="n">
        <v>0.05</v>
      </c>
      <c r="C1984" s="8">
        <f>B1984/100/12</f>
        <v/>
      </c>
      <c r="D1984" s="8">
        <f>D1983*(1+C1984)</f>
        <v/>
      </c>
    </row>
    <row r="1985">
      <c r="A1985" s="8" t="inlineStr">
        <is>
          <t>2021-12-01</t>
        </is>
      </c>
      <c r="B1985" s="6" t="n">
        <v>0.06</v>
      </c>
      <c r="C1985" s="8">
        <f>B1985/100/12</f>
        <v/>
      </c>
      <c r="D1985" s="8">
        <f>D1984*(1+C1985)</f>
        <v/>
      </c>
    </row>
    <row r="1986">
      <c r="A1986" s="8" t="inlineStr">
        <is>
          <t>2022-01-01</t>
        </is>
      </c>
      <c r="B1986" s="6" t="n">
        <v>0.15</v>
      </c>
      <c r="C1986" s="8">
        <f>B1986/100/12</f>
        <v/>
      </c>
      <c r="D1986" s="8">
        <f>D1985*(1+C1986)</f>
        <v/>
      </c>
    </row>
    <row r="1987">
      <c r="A1987" s="8" t="inlineStr">
        <is>
          <t>2022-02-01</t>
        </is>
      </c>
      <c r="B1987" s="6" t="n">
        <v>0.33</v>
      </c>
      <c r="C1987" s="8">
        <f>B1987/100/12</f>
        <v/>
      </c>
      <c r="D1987" s="8">
        <f>D1986*(1+C1987)</f>
        <v/>
      </c>
    </row>
    <row r="1988">
      <c r="A1988" s="8" t="inlineStr">
        <is>
          <t>2022-03-01</t>
        </is>
      </c>
      <c r="B1988" s="6" t="n">
        <v>0.44</v>
      </c>
      <c r="C1988" s="8">
        <f>B1988/100/12</f>
        <v/>
      </c>
      <c r="D1988" s="8">
        <f>D1987*(1+C1988)</f>
        <v/>
      </c>
    </row>
    <row r="1989">
      <c r="A1989" s="8" t="inlineStr">
        <is>
          <t>2022-04-01</t>
        </is>
      </c>
      <c r="B1989" s="6" t="n">
        <v>0.76</v>
      </c>
      <c r="C1989" s="8">
        <f>B1989/100/12</f>
        <v/>
      </c>
      <c r="D1989" s="8">
        <f>D1988*(1+C1989)</f>
        <v/>
      </c>
    </row>
    <row r="1990">
      <c r="A1990" s="8" t="inlineStr">
        <is>
          <t>2022-05-01</t>
        </is>
      </c>
      <c r="B1990" s="6" t="n">
        <v>0.98</v>
      </c>
      <c r="C1990" s="8">
        <f>B1990/100/12</f>
        <v/>
      </c>
      <c r="D1990" s="8">
        <f>D1989*(1+C1990)</f>
        <v/>
      </c>
    </row>
    <row r="1991">
      <c r="A1991" s="8" t="inlineStr">
        <is>
          <t>2022-06-01</t>
        </is>
      </c>
      <c r="B1991" s="6" t="n">
        <v>1.49</v>
      </c>
      <c r="C1991" s="8">
        <f>B1991/100/12</f>
        <v/>
      </c>
      <c r="D1991" s="8">
        <f>D1990*(1+C1991)</f>
        <v/>
      </c>
    </row>
    <row r="1992">
      <c r="A1992" s="8" t="inlineStr">
        <is>
          <t>2022-07-01</t>
        </is>
      </c>
      <c r="B1992" s="6" t="n">
        <v>2.23</v>
      </c>
      <c r="C1992" s="8">
        <f>B1992/100/12</f>
        <v/>
      </c>
      <c r="D1992" s="8">
        <f>D1991*(1+C1992)</f>
        <v/>
      </c>
    </row>
    <row r="1993">
      <c r="A1993" s="8" t="inlineStr">
        <is>
          <t>2022-08-01</t>
        </is>
      </c>
      <c r="B1993" s="6" t="n">
        <v>2.63</v>
      </c>
      <c r="C1993" s="8">
        <f>B1993/100/12</f>
        <v/>
      </c>
      <c r="D1993" s="8">
        <f>D1992*(1+C1993)</f>
        <v/>
      </c>
    </row>
    <row r="1994">
      <c r="A1994" s="8" t="inlineStr">
        <is>
          <t>2022-09-01</t>
        </is>
      </c>
      <c r="B1994" s="6" t="n">
        <v>3.13</v>
      </c>
      <c r="C1994" s="8">
        <f>B1994/100/12</f>
        <v/>
      </c>
      <c r="D1994" s="8">
        <f>D1993*(1+C1994)</f>
        <v/>
      </c>
    </row>
    <row r="1995">
      <c r="A1995" s="8" t="inlineStr">
        <is>
          <t>2022-10-01</t>
        </is>
      </c>
      <c r="B1995" s="6" t="n">
        <v>3.72</v>
      </c>
      <c r="C1995" s="8">
        <f>B1995/100/12</f>
        <v/>
      </c>
      <c r="D1995" s="8">
        <f>D1994*(1+C1995)</f>
        <v/>
      </c>
    </row>
    <row r="1996">
      <c r="A1996" s="8" t="inlineStr">
        <is>
          <t>2022-11-01</t>
        </is>
      </c>
      <c r="B1996" s="6" t="n">
        <v>4.15</v>
      </c>
      <c r="C1996" s="8">
        <f>B1996/100/12</f>
        <v/>
      </c>
      <c r="D1996" s="8">
        <f>D1995*(1+C1996)</f>
        <v/>
      </c>
    </row>
    <row r="1997">
      <c r="A1997" s="8" t="inlineStr">
        <is>
          <t>2022-12-01</t>
        </is>
      </c>
      <c r="B1997" s="6" t="n">
        <v>4.25</v>
      </c>
      <c r="C1997" s="8">
        <f>B1997/100/12</f>
        <v/>
      </c>
      <c r="D1997" s="8">
        <f>D1996*(1+C1997)</f>
        <v/>
      </c>
    </row>
    <row r="1998">
      <c r="A1998" s="8" t="inlineStr">
        <is>
          <t>2023-01-01</t>
        </is>
      </c>
      <c r="B1998" s="6" t="n">
        <v>4.54</v>
      </c>
      <c r="C1998" s="8">
        <f>B1998/100/12</f>
        <v/>
      </c>
      <c r="D1998" s="8">
        <f>D1997*(1+C1998)</f>
        <v/>
      </c>
    </row>
    <row r="1999">
      <c r="A1999" s="8" t="inlineStr">
        <is>
          <t>2023-02-01</t>
        </is>
      </c>
      <c r="B1999" s="6" t="n">
        <v>4.65</v>
      </c>
      <c r="C1999" s="8">
        <f>B1999/100/12</f>
        <v/>
      </c>
      <c r="D1999" s="8">
        <f>D1998*(1+C1999)</f>
        <v/>
      </c>
    </row>
    <row r="2000">
      <c r="A2000" s="8" t="inlineStr">
        <is>
          <t>2023-03-01</t>
        </is>
      </c>
      <c r="B2000" s="6" t="n">
        <v>4.69</v>
      </c>
      <c r="C2000" s="8">
        <f>B2000/100/12</f>
        <v/>
      </c>
      <c r="D2000" s="8">
        <f>D1999*(1+C2000)</f>
        <v/>
      </c>
    </row>
    <row r="2001">
      <c r="A2001" s="8" t="inlineStr">
        <is>
          <t>2023-04-01</t>
        </is>
      </c>
      <c r="B2001" s="6" t="n">
        <v>4.92</v>
      </c>
      <c r="C2001" s="8">
        <f>B2001/100/12</f>
        <v/>
      </c>
      <c r="D2001" s="8">
        <f>D2000*(1+C2001)</f>
        <v/>
      </c>
    </row>
    <row r="2002">
      <c r="A2002" s="8" t="inlineStr">
        <is>
          <t>2023-05-01</t>
        </is>
      </c>
      <c r="B2002" s="6" t="n">
        <v>5.14</v>
      </c>
      <c r="C2002" s="8">
        <f>B2002/100/12</f>
        <v/>
      </c>
      <c r="D2002" s="8">
        <f>D2001*(1+C2002)</f>
        <v/>
      </c>
    </row>
    <row r="2003">
      <c r="A2003" s="8" t="inlineStr">
        <is>
          <t>2023-06-01</t>
        </is>
      </c>
      <c r="B2003" s="6" t="n">
        <v>5.16</v>
      </c>
      <c r="C2003" s="8">
        <f>B2003/100/12</f>
        <v/>
      </c>
      <c r="D2003" s="8">
        <f>D2002*(1+C2003)</f>
        <v/>
      </c>
    </row>
    <row r="2004">
      <c r="A2004" s="8" t="inlineStr">
        <is>
          <t>2023-07-01</t>
        </is>
      </c>
      <c r="B2004" s="6" t="n">
        <v>5.25</v>
      </c>
      <c r="C2004" s="8">
        <f>B2004/100/12</f>
        <v/>
      </c>
      <c r="D2004" s="8">
        <f>D2003*(1+C2004)</f>
        <v/>
      </c>
    </row>
    <row r="2005">
      <c r="A2005" s="8" t="inlineStr">
        <is>
          <t>2023-08-01</t>
        </is>
      </c>
      <c r="B2005" s="6" t="n">
        <v>5.3</v>
      </c>
      <c r="C2005" s="8">
        <f>B2005/100/12</f>
        <v/>
      </c>
      <c r="D2005" s="8">
        <f>D2004*(1+C2005)</f>
        <v/>
      </c>
    </row>
    <row r="2006">
      <c r="A2006" s="8" t="inlineStr">
        <is>
          <t>2023-09-01</t>
        </is>
      </c>
      <c r="B2006" s="6" t="n">
        <v>5.32</v>
      </c>
      <c r="C2006" s="8">
        <f>B2006/100/12</f>
        <v/>
      </c>
      <c r="D2006" s="8">
        <f>D2005*(1+C2006)</f>
        <v/>
      </c>
    </row>
    <row r="2007">
      <c r="A2007" s="8" t="inlineStr">
        <is>
          <t>2023-10-01</t>
        </is>
      </c>
      <c r="B2007" s="6" t="n">
        <v>5.34</v>
      </c>
      <c r="C2007" s="8">
        <f>B2007/100/12</f>
        <v/>
      </c>
      <c r="D2007" s="8">
        <f>D2006*(1+C2007)</f>
        <v/>
      </c>
    </row>
    <row r="2008">
      <c r="A2008" s="8" t="inlineStr">
        <is>
          <t>2023-11-01</t>
        </is>
      </c>
      <c r="B2008" s="6" t="n">
        <v>5.27</v>
      </c>
      <c r="C2008" s="8">
        <f>B2008/100/12</f>
        <v/>
      </c>
      <c r="D2008" s="8">
        <f>D2007*(1+C2008)</f>
        <v/>
      </c>
    </row>
    <row r="2009">
      <c r="A2009" s="8" t="inlineStr">
        <is>
          <t>2023-12-01</t>
        </is>
      </c>
      <c r="B2009" s="6" t="n">
        <v>5.24</v>
      </c>
      <c r="C2009" s="8">
        <f>B2009/100/12</f>
        <v/>
      </c>
      <c r="D2009" s="8">
        <f>D2008*(1+C2009)</f>
        <v/>
      </c>
    </row>
    <row r="2010">
      <c r="A2010" s="8" t="inlineStr">
        <is>
          <t>2024-01-01</t>
        </is>
      </c>
      <c r="B2010" s="6" t="n">
        <v>5.22</v>
      </c>
      <c r="C2010" s="8">
        <f>B2010/100/12</f>
        <v/>
      </c>
      <c r="D2010" s="8">
        <f>D2009*(1+C2010)</f>
        <v/>
      </c>
    </row>
    <row r="2011">
      <c r="A2011" s="8" t="inlineStr">
        <is>
          <t>2024-02-01</t>
        </is>
      </c>
      <c r="B2011" s="6" t="n">
        <v>5.24</v>
      </c>
      <c r="C2011" s="8">
        <f>B2011/100/12</f>
        <v/>
      </c>
      <c r="D2011" s="8">
        <f>D2010*(1+C2011)</f>
        <v/>
      </c>
    </row>
    <row r="2012">
      <c r="A2012" s="8" t="inlineStr">
        <is>
          <t>2024-03-01</t>
        </is>
      </c>
      <c r="B2012" s="6" t="n">
        <v>5.24</v>
      </c>
      <c r="C2012" s="8">
        <f>B2012/100/12</f>
        <v/>
      </c>
      <c r="D2012" s="8">
        <f>D2011*(1+C2012)</f>
        <v/>
      </c>
    </row>
    <row r="2013">
      <c r="A2013" s="8" t="inlineStr">
        <is>
          <t>2024-04-01</t>
        </is>
      </c>
      <c r="B2013" s="6" t="n">
        <v>5.24</v>
      </c>
      <c r="C2013" s="8">
        <f>B2013/100/12</f>
        <v/>
      </c>
      <c r="D2013" s="8">
        <f>D2012*(1+C2013)</f>
        <v/>
      </c>
    </row>
    <row r="2014">
      <c r="A2014" s="8" t="inlineStr">
        <is>
          <t>2024-05-01</t>
        </is>
      </c>
      <c r="B2014" s="6" t="n">
        <v>5.25</v>
      </c>
      <c r="C2014" s="8">
        <f>B2014/100/12</f>
        <v/>
      </c>
      <c r="D2014" s="8">
        <f>D2013*(1+C2014)</f>
        <v/>
      </c>
    </row>
    <row r="2015">
      <c r="A2015" s="8" t="inlineStr">
        <is>
          <t>2024-06-01</t>
        </is>
      </c>
      <c r="B2015" s="6" t="n">
        <v>5.24</v>
      </c>
      <c r="C2015" s="8">
        <f>B2015/100/12</f>
        <v/>
      </c>
      <c r="D2015" s="8">
        <f>D2014*(1+C2015)</f>
        <v/>
      </c>
    </row>
    <row r="2016">
      <c r="A2016" s="8" t="inlineStr">
        <is>
          <t>2024-07-01</t>
        </is>
      </c>
      <c r="B2016" s="6" t="n">
        <v>5.2</v>
      </c>
      <c r="C2016" s="8">
        <f>B2016/100/12</f>
        <v/>
      </c>
      <c r="D2016" s="8">
        <f>D2015*(1+C2016)</f>
        <v/>
      </c>
    </row>
    <row r="2017">
      <c r="A2017" s="8" t="inlineStr">
        <is>
          <t>2024-08-01</t>
        </is>
      </c>
      <c r="B2017" s="6" t="n">
        <v>5.05</v>
      </c>
      <c r="C2017" s="8">
        <f>B2017/100/12</f>
        <v/>
      </c>
      <c r="D2017" s="8">
        <f>D2016*(1+C2017)</f>
        <v/>
      </c>
    </row>
    <row r="2018">
      <c r="A2018" s="8" t="inlineStr">
        <is>
          <t>2024-09-01</t>
        </is>
      </c>
      <c r="B2018" s="6" t="n">
        <v>4.72</v>
      </c>
      <c r="C2018" s="8">
        <f>B2018/100/12</f>
        <v/>
      </c>
      <c r="D2018" s="8">
        <f>D2017*(1+C2018)</f>
        <v/>
      </c>
    </row>
    <row r="2019">
      <c r="A2019" s="8" t="inlineStr">
        <is>
          <t>2024-10-01</t>
        </is>
      </c>
      <c r="B2019" s="6" t="n">
        <v>4.51</v>
      </c>
      <c r="C2019" s="8">
        <f>B2019/100/12</f>
        <v/>
      </c>
      <c r="D2019" s="8">
        <f>D2018*(1+C2019)</f>
        <v/>
      </c>
    </row>
    <row r="2020">
      <c r="A2020" s="8" t="inlineStr">
        <is>
          <t>2024-11-01</t>
        </is>
      </c>
      <c r="B2020" s="6" t="n">
        <v>4.42</v>
      </c>
      <c r="C2020" s="8">
        <f>B2020/100/12</f>
        <v/>
      </c>
      <c r="D2020" s="8">
        <f>D2019*(1+C2020)</f>
        <v/>
      </c>
    </row>
    <row r="2021">
      <c r="A2021" s="8" t="inlineStr">
        <is>
          <t>2024-12-01</t>
        </is>
      </c>
      <c r="B2021" s="6" t="n">
        <v>4.27</v>
      </c>
      <c r="C2021" s="8">
        <f>B2021/100/12</f>
        <v/>
      </c>
      <c r="D2021" s="8">
        <f>D2020*(1+C2021)</f>
        <v/>
      </c>
    </row>
    <row r="2022">
      <c r="A2022" s="8" t="inlineStr">
        <is>
          <t>2025-01-01</t>
        </is>
      </c>
      <c r="B2022" s="6" t="n">
        <v>4.21</v>
      </c>
      <c r="C2022" s="8">
        <f>B2022/100/12</f>
        <v/>
      </c>
      <c r="D2022" s="8">
        <f>D2021*(1+C2022)</f>
        <v/>
      </c>
    </row>
    <row r="2023">
      <c r="A2023" s="8" t="inlineStr">
        <is>
          <t>2025-02-01</t>
        </is>
      </c>
      <c r="B2023" s="6" t="n">
        <v>4.22</v>
      </c>
      <c r="C2023" s="8">
        <f>B2023/100/12</f>
        <v/>
      </c>
      <c r="D2023" s="8">
        <f>D2022*(1+C2023)</f>
        <v/>
      </c>
    </row>
    <row r="2024">
      <c r="A2024" s="8" t="inlineStr">
        <is>
          <t>2025-03-01</t>
        </is>
      </c>
      <c r="B2024" s="6" t="n">
        <v>4.2</v>
      </c>
      <c r="C2024" s="8">
        <f>B2024/100/12</f>
        <v/>
      </c>
      <c r="D2024" s="8">
        <f>D2023*(1+C2024)</f>
        <v/>
      </c>
    </row>
    <row r="2025">
      <c r="A2025" s="8" t="inlineStr">
        <is>
          <t>2025-04-01</t>
        </is>
      </c>
      <c r="B2025" s="6" t="n">
        <v>4.21</v>
      </c>
      <c r="C2025" s="8">
        <f>B2025/100/12</f>
        <v/>
      </c>
      <c r="D2025" s="8">
        <f>D2024*(1+C2025)</f>
        <v/>
      </c>
    </row>
    <row r="2026">
      <c r="A2026" s="8" t="inlineStr">
        <is>
          <t>2025-05-01</t>
        </is>
      </c>
      <c r="B2026" s="6" t="n">
        <v>4.25</v>
      </c>
      <c r="C2026" s="8">
        <f>B2026/100/12</f>
        <v/>
      </c>
      <c r="D2026" s="8">
        <f>D2025*(1+C2026)</f>
        <v/>
      </c>
    </row>
    <row r="2027">
      <c r="A2027" s="8" t="inlineStr">
        <is>
          <t>2025-06-01</t>
        </is>
      </c>
      <c r="B2027" s="6" t="n">
        <v>4.23</v>
      </c>
      <c r="C2027" s="8">
        <f>B2027/100/12</f>
        <v/>
      </c>
      <c r="D2027" s="8">
        <f>D2026*(1+C2027)</f>
        <v/>
      </c>
    </row>
    <row r="2028">
      <c r="A2028" s="8" t="inlineStr">
        <is>
          <t>2025-07-01</t>
        </is>
      </c>
      <c r="B2028" s="6" t="n">
        <v>4.25</v>
      </c>
      <c r="C2028" s="8">
        <f>B2028/100/12</f>
        <v/>
      </c>
      <c r="D2028" s="8">
        <f>D2027*(1+C2028)</f>
        <v/>
      </c>
    </row>
    <row r="2029">
      <c r="A2029" s="8" t="inlineStr">
        <is>
          <t>2025-08-01</t>
        </is>
      </c>
      <c r="B2029" s="6" t="n">
        <v>4.12</v>
      </c>
      <c r="C2029" s="8">
        <f>B2029/100/12</f>
        <v/>
      </c>
      <c r="D2029" s="8">
        <f>D2028*(1+C2029)</f>
        <v/>
      </c>
    </row>
    <row r="2030">
      <c r="A2030" s="8" t="inlineStr">
        <is>
          <t>2025-09-01</t>
        </is>
      </c>
      <c r="B2030" s="6" t="n">
        <v>3.92</v>
      </c>
      <c r="C2030" s="8">
        <f>B2030/100/12</f>
        <v/>
      </c>
      <c r="D2030" s="8">
        <f>D2029*(1+C2030)</f>
        <v/>
      </c>
    </row>
    <row r="2031">
      <c r="A2031" s="8" t="inlineStr">
        <is>
          <t>2025-10-01</t>
        </is>
      </c>
      <c r="B2031" s="6" t="n">
        <v>3.82</v>
      </c>
      <c r="C2031" s="8">
        <f>B2031/100/12</f>
        <v/>
      </c>
      <c r="D2031" s="8">
        <f>D2030*(1+C2031)</f>
        <v/>
      </c>
    </row>
    <row r="2032">
      <c r="A2032" s="8" t="inlineStr">
        <is>
          <t>2025-11-01</t>
        </is>
      </c>
      <c r="B2032" s="6" t="n">
        <v>3.78</v>
      </c>
      <c r="C2032" s="8">
        <f>B2032/100/12</f>
        <v/>
      </c>
      <c r="D2032" s="8">
        <f>D2031*(1+C2032)</f>
        <v/>
      </c>
    </row>
    <row r="2033">
      <c r="A2033" s="8" t="inlineStr">
        <is>
          <t>2025-12-01</t>
        </is>
      </c>
      <c r="B2033" s="6" t="n">
        <v>3.59</v>
      </c>
      <c r="C2033" s="8">
        <f>B2033/100/12</f>
        <v/>
      </c>
      <c r="D2033" s="8">
        <f>D2032*(1+C2033)</f>
        <v/>
      </c>
    </row>
    <row r="2034">
      <c r="A2034" s="8" t="inlineStr">
        <is>
          <t>2026-01-01</t>
        </is>
      </c>
      <c r="B2034" s="6" t="n">
        <v>3.57</v>
      </c>
      <c r="C2034" s="8">
        <f>B2034/100/12</f>
        <v/>
      </c>
      <c r="D2034" s="8">
        <f>D2033*(1+C2034)</f>
        <v/>
      </c>
    </row>
    <row r="2035">
      <c r="A2035" s="8" t="inlineStr">
        <is>
          <t>2026-02-01</t>
        </is>
      </c>
      <c r="B2035" s="6" t="n">
        <v>3.6</v>
      </c>
      <c r="C2035" s="8">
        <f>B2035/100/12</f>
        <v/>
      </c>
      <c r="D2035" s="8">
        <f>D2034*(1+C2035)</f>
        <v/>
      </c>
    </row>
    <row r="2036">
      <c r="A2036" s="8" t="inlineStr">
        <is>
          <t>2026-03-01</t>
        </is>
      </c>
      <c r="B2036" s="6" t="n">
        <v>3.61</v>
      </c>
      <c r="C2036" s="8">
        <f>B2036/100/12</f>
        <v/>
      </c>
      <c r="D2036" s="8">
        <f>D2035*(1+C2036)</f>
        <v/>
      </c>
    </row>
    <row r="2037">
      <c r="A2037" s="8" t="inlineStr">
        <is>
          <t>2026-04-01</t>
        </is>
      </c>
      <c r="B2037" s="6" t="n">
        <v>3.61</v>
      </c>
      <c r="C2037" s="8">
        <f>B2037/100/12</f>
        <v/>
      </c>
      <c r="D2037" s="8">
        <f>D2036*(1+C2037)</f>
        <v/>
      </c>
    </row>
    <row r="2038">
      <c r="A2038" s="8" t="inlineStr">
        <is>
          <t>2026-05-01</t>
        </is>
      </c>
      <c r="B2038" s="6" t="n">
        <v>3.6</v>
      </c>
      <c r="C2038" s="8">
        <f>B2038/100/12</f>
        <v/>
      </c>
      <c r="D2038" s="8">
        <f>D2037*(1+C2038)</f>
        <v/>
      </c>
    </row>
  </sheetData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7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US 10y Treasury — total-return index, compounded monthly from the rate leg</t>
        </is>
      </c>
    </row>
    <row r="2">
      <c r="A2" s="2" t="inlineStr">
        <is>
          <t>Constant-maturity 10y par-bond total return, repriced each month from the 10y Treasury yield (Shiller 1871+; FRED GS10 tail).</t>
        </is>
      </c>
    </row>
    <row r="3">
      <c r="A3" t="inlineStr">
        <is>
          <t>maturity (yrs) =</t>
        </is>
      </c>
      <c r="B3" s="6" t="n">
        <v>10</v>
      </c>
      <c r="D3" s="5" t="inlineStr">
        <is>
          <t>Shiller GS10 long rate + FRED GS10</t>
        </is>
      </c>
    </row>
    <row r="5">
      <c r="A5" s="7" t="inlineStr">
        <is>
          <t>Date</t>
        </is>
      </c>
      <c r="B5" s="7" t="inlineStr">
        <is>
          <t>10y yield % (raw)</t>
        </is>
      </c>
      <c r="C5" s="7" t="inlineStr">
        <is>
          <t>Par price (PV formula)</t>
        </is>
      </c>
      <c r="D5" s="7" t="inlineStr">
        <is>
          <t>Monthly TR (formula)</t>
        </is>
      </c>
      <c r="E5" s="7" t="inlineStr">
        <is>
          <t>TR index (formula)</t>
        </is>
      </c>
    </row>
    <row r="6">
      <c r="A6" s="8" t="inlineStr">
        <is>
          <t>1871-01-01</t>
        </is>
      </c>
      <c r="B6" s="6" t="n">
        <v>5.32</v>
      </c>
      <c r="C6" s="8" t="n">
        <v>1</v>
      </c>
      <c r="D6" s="8" t="n">
        <v>0</v>
      </c>
      <c r="E6" s="8" t="n">
        <v>1</v>
      </c>
    </row>
    <row r="7">
      <c r="A7" s="8" t="inlineStr">
        <is>
          <t>1871-02-01</t>
        </is>
      </c>
      <c r="B7" s="6" t="n">
        <v>5.3233</v>
      </c>
      <c r="C7" s="8">
        <f>-PV(B7/100,$B$3,B6/100,1)</f>
        <v/>
      </c>
      <c r="D7" s="8">
        <f>B6/100/12+(C7-1)</f>
        <v/>
      </c>
      <c r="E7" s="8">
        <f>E6*(1+D7)</f>
        <v/>
      </c>
    </row>
    <row r="8">
      <c r="A8" s="8" t="inlineStr">
        <is>
          <t>1871-03-01</t>
        </is>
      </c>
      <c r="B8" s="6" t="n">
        <v>5.3267</v>
      </c>
      <c r="C8" s="8">
        <f>-PV(B8/100,$B$3,B7/100,1)</f>
        <v/>
      </c>
      <c r="D8" s="8">
        <f>B7/100/12+(C8-1)</f>
        <v/>
      </c>
      <c r="E8" s="8">
        <f>E7*(1+D8)</f>
        <v/>
      </c>
    </row>
    <row r="9">
      <c r="A9" s="8" t="inlineStr">
        <is>
          <t>1871-04-01</t>
        </is>
      </c>
      <c r="B9" s="6" t="n">
        <v>5.33</v>
      </c>
      <c r="C9" s="8">
        <f>-PV(B9/100,$B$3,B8/100,1)</f>
        <v/>
      </c>
      <c r="D9" s="8">
        <f>B8/100/12+(C9-1)</f>
        <v/>
      </c>
      <c r="E9" s="8">
        <f>E8*(1+D9)</f>
        <v/>
      </c>
    </row>
    <row r="10">
      <c r="A10" s="8" t="inlineStr">
        <is>
          <t>1871-05-01</t>
        </is>
      </c>
      <c r="B10" s="6" t="n">
        <v>5.3333</v>
      </c>
      <c r="C10" s="8">
        <f>-PV(B10/100,$B$3,B9/100,1)</f>
        <v/>
      </c>
      <c r="D10" s="8">
        <f>B9/100/12+(C10-1)</f>
        <v/>
      </c>
      <c r="E10" s="8">
        <f>E9*(1+D10)</f>
        <v/>
      </c>
    </row>
    <row r="11">
      <c r="A11" s="8" t="inlineStr">
        <is>
          <t>1871-06-01</t>
        </is>
      </c>
      <c r="B11" s="6" t="n">
        <v>5.3367</v>
      </c>
      <c r="C11" s="8">
        <f>-PV(B11/100,$B$3,B10/100,1)</f>
        <v/>
      </c>
      <c r="D11" s="8">
        <f>B10/100/12+(C11-1)</f>
        <v/>
      </c>
      <c r="E11" s="8">
        <f>E10*(1+D11)</f>
        <v/>
      </c>
    </row>
    <row r="12">
      <c r="A12" s="8" t="inlineStr">
        <is>
          <t>1871-07-01</t>
        </is>
      </c>
      <c r="B12" s="6" t="n">
        <v>5.34</v>
      </c>
      <c r="C12" s="8">
        <f>-PV(B12/100,$B$3,B11/100,1)</f>
        <v/>
      </c>
      <c r="D12" s="8">
        <f>B11/100/12+(C12-1)</f>
        <v/>
      </c>
      <c r="E12" s="8">
        <f>E11*(1+D12)</f>
        <v/>
      </c>
    </row>
    <row r="13">
      <c r="A13" s="8" t="inlineStr">
        <is>
          <t>1871-08-01</t>
        </is>
      </c>
      <c r="B13" s="6" t="n">
        <v>5.3433</v>
      </c>
      <c r="C13" s="8">
        <f>-PV(B13/100,$B$3,B12/100,1)</f>
        <v/>
      </c>
      <c r="D13" s="8">
        <f>B12/100/12+(C13-1)</f>
        <v/>
      </c>
      <c r="E13" s="8">
        <f>E12*(1+D13)</f>
        <v/>
      </c>
    </row>
    <row r="14">
      <c r="A14" s="8" t="inlineStr">
        <is>
          <t>1871-09-01</t>
        </is>
      </c>
      <c r="B14" s="6" t="n">
        <v>5.3467</v>
      </c>
      <c r="C14" s="8">
        <f>-PV(B14/100,$B$3,B13/100,1)</f>
        <v/>
      </c>
      <c r="D14" s="8">
        <f>B13/100/12+(C14-1)</f>
        <v/>
      </c>
      <c r="E14" s="8">
        <f>E13*(1+D14)</f>
        <v/>
      </c>
    </row>
    <row r="15">
      <c r="A15" s="8" t="inlineStr">
        <is>
          <t>1871-10-01</t>
        </is>
      </c>
      <c r="B15" s="6" t="n">
        <v>5.35</v>
      </c>
      <c r="C15" s="8">
        <f>-PV(B15/100,$B$3,B14/100,1)</f>
        <v/>
      </c>
      <c r="D15" s="8">
        <f>B14/100/12+(C15-1)</f>
        <v/>
      </c>
      <c r="E15" s="8">
        <f>E14*(1+D15)</f>
        <v/>
      </c>
    </row>
    <row r="16">
      <c r="A16" s="8" t="inlineStr">
        <is>
          <t>1871-11-01</t>
        </is>
      </c>
      <c r="B16" s="6" t="n">
        <v>5.3533</v>
      </c>
      <c r="C16" s="8">
        <f>-PV(B16/100,$B$3,B15/100,1)</f>
        <v/>
      </c>
      <c r="D16" s="8">
        <f>B15/100/12+(C16-1)</f>
        <v/>
      </c>
      <c r="E16" s="8">
        <f>E15*(1+D16)</f>
        <v/>
      </c>
    </row>
    <row r="17">
      <c r="A17" s="8" t="inlineStr">
        <is>
          <t>1871-12-01</t>
        </is>
      </c>
      <c r="B17" s="6" t="n">
        <v>5.3567</v>
      </c>
      <c r="C17" s="8">
        <f>-PV(B17/100,$B$3,B16/100,1)</f>
        <v/>
      </c>
      <c r="D17" s="8">
        <f>B16/100/12+(C17-1)</f>
        <v/>
      </c>
      <c r="E17" s="8">
        <f>E16*(1+D17)</f>
        <v/>
      </c>
    </row>
    <row r="18">
      <c r="A18" s="8" t="inlineStr">
        <is>
          <t>1872-01-01</t>
        </is>
      </c>
      <c r="B18" s="6" t="n">
        <v>5.36</v>
      </c>
      <c r="C18" s="8">
        <f>-PV(B18/100,$B$3,B17/100,1)</f>
        <v/>
      </c>
      <c r="D18" s="8">
        <f>B17/100/12+(C18-1)</f>
        <v/>
      </c>
      <c r="E18" s="8">
        <f>E17*(1+D18)</f>
        <v/>
      </c>
    </row>
    <row r="19">
      <c r="A19" s="8" t="inlineStr">
        <is>
          <t>1872-02-01</t>
        </is>
      </c>
      <c r="B19" s="6" t="n">
        <v>5.3783</v>
      </c>
      <c r="C19" s="8">
        <f>-PV(B19/100,$B$3,B18/100,1)</f>
        <v/>
      </c>
      <c r="D19" s="8">
        <f>B18/100/12+(C19-1)</f>
        <v/>
      </c>
      <c r="E19" s="8">
        <f>E18*(1+D19)</f>
        <v/>
      </c>
    </row>
    <row r="20">
      <c r="A20" s="8" t="inlineStr">
        <is>
          <t>1872-03-01</t>
        </is>
      </c>
      <c r="B20" s="6" t="n">
        <v>5.3967</v>
      </c>
      <c r="C20" s="8">
        <f>-PV(B20/100,$B$3,B19/100,1)</f>
        <v/>
      </c>
      <c r="D20" s="8">
        <f>B19/100/12+(C20-1)</f>
        <v/>
      </c>
      <c r="E20" s="8">
        <f>E19*(1+D20)</f>
        <v/>
      </c>
    </row>
    <row r="21">
      <c r="A21" s="8" t="inlineStr">
        <is>
          <t>1872-04-01</t>
        </is>
      </c>
      <c r="B21" s="6" t="n">
        <v>5.415</v>
      </c>
      <c r="C21" s="8">
        <f>-PV(B21/100,$B$3,B20/100,1)</f>
        <v/>
      </c>
      <c r="D21" s="8">
        <f>B20/100/12+(C21-1)</f>
        <v/>
      </c>
      <c r="E21" s="8">
        <f>E20*(1+D21)</f>
        <v/>
      </c>
    </row>
    <row r="22">
      <c r="A22" s="8" t="inlineStr">
        <is>
          <t>1872-05-01</t>
        </is>
      </c>
      <c r="B22" s="6" t="n">
        <v>5.4333</v>
      </c>
      <c r="C22" s="8">
        <f>-PV(B22/100,$B$3,B21/100,1)</f>
        <v/>
      </c>
      <c r="D22" s="8">
        <f>B21/100/12+(C22-1)</f>
        <v/>
      </c>
      <c r="E22" s="8">
        <f>E21*(1+D22)</f>
        <v/>
      </c>
    </row>
    <row r="23">
      <c r="A23" s="8" t="inlineStr">
        <is>
          <t>1872-06-01</t>
        </is>
      </c>
      <c r="B23" s="6" t="n">
        <v>5.4517</v>
      </c>
      <c r="C23" s="8">
        <f>-PV(B23/100,$B$3,B22/100,1)</f>
        <v/>
      </c>
      <c r="D23" s="8">
        <f>B22/100/12+(C23-1)</f>
        <v/>
      </c>
      <c r="E23" s="8">
        <f>E22*(1+D23)</f>
        <v/>
      </c>
    </row>
    <row r="24">
      <c r="A24" s="8" t="inlineStr">
        <is>
          <t>1872-07-01</t>
        </is>
      </c>
      <c r="B24" s="6" t="n">
        <v>5.47</v>
      </c>
      <c r="C24" s="8">
        <f>-PV(B24/100,$B$3,B23/100,1)</f>
        <v/>
      </c>
      <c r="D24" s="8">
        <f>B23/100/12+(C24-1)</f>
        <v/>
      </c>
      <c r="E24" s="8">
        <f>E23*(1+D24)</f>
        <v/>
      </c>
    </row>
    <row r="25">
      <c r="A25" s="8" t="inlineStr">
        <is>
          <t>1872-08-01</t>
        </is>
      </c>
      <c r="B25" s="6" t="n">
        <v>5.4883</v>
      </c>
      <c r="C25" s="8">
        <f>-PV(B25/100,$B$3,B24/100,1)</f>
        <v/>
      </c>
      <c r="D25" s="8">
        <f>B24/100/12+(C25-1)</f>
        <v/>
      </c>
      <c r="E25" s="8">
        <f>E24*(1+D25)</f>
        <v/>
      </c>
    </row>
    <row r="26">
      <c r="A26" s="8" t="inlineStr">
        <is>
          <t>1872-09-01</t>
        </is>
      </c>
      <c r="B26" s="6" t="n">
        <v>5.5067</v>
      </c>
      <c r="C26" s="8">
        <f>-PV(B26/100,$B$3,B25/100,1)</f>
        <v/>
      </c>
      <c r="D26" s="8">
        <f>B25/100/12+(C26-1)</f>
        <v/>
      </c>
      <c r="E26" s="8">
        <f>E25*(1+D26)</f>
        <v/>
      </c>
    </row>
    <row r="27">
      <c r="A27" s="8" t="inlineStr">
        <is>
          <t>1872-10-01</t>
        </is>
      </c>
      <c r="B27" s="6" t="n">
        <v>5.525</v>
      </c>
      <c r="C27" s="8">
        <f>-PV(B27/100,$B$3,B26/100,1)</f>
        <v/>
      </c>
      <c r="D27" s="8">
        <f>B26/100/12+(C27-1)</f>
        <v/>
      </c>
      <c r="E27" s="8">
        <f>E26*(1+D27)</f>
        <v/>
      </c>
    </row>
    <row r="28">
      <c r="A28" s="8" t="inlineStr">
        <is>
          <t>1872-11-01</t>
        </is>
      </c>
      <c r="B28" s="6" t="n">
        <v>5.5433</v>
      </c>
      <c r="C28" s="8">
        <f>-PV(B28/100,$B$3,B27/100,1)</f>
        <v/>
      </c>
      <c r="D28" s="8">
        <f>B27/100/12+(C28-1)</f>
        <v/>
      </c>
      <c r="E28" s="8">
        <f>E27*(1+D28)</f>
        <v/>
      </c>
    </row>
    <row r="29">
      <c r="A29" s="8" t="inlineStr">
        <is>
          <t>1872-12-01</t>
        </is>
      </c>
      <c r="B29" s="6" t="n">
        <v>5.5617</v>
      </c>
      <c r="C29" s="8">
        <f>-PV(B29/100,$B$3,B28/100,1)</f>
        <v/>
      </c>
      <c r="D29" s="8">
        <f>B28/100/12+(C29-1)</f>
        <v/>
      </c>
      <c r="E29" s="8">
        <f>E28*(1+D29)</f>
        <v/>
      </c>
    </row>
    <row r="30">
      <c r="A30" s="8" t="inlineStr">
        <is>
          <t>1873-01-01</t>
        </is>
      </c>
      <c r="B30" s="6" t="n">
        <v>5.58</v>
      </c>
      <c r="C30" s="8">
        <f>-PV(B30/100,$B$3,B29/100,1)</f>
        <v/>
      </c>
      <c r="D30" s="8">
        <f>B29/100/12+(C30-1)</f>
        <v/>
      </c>
      <c r="E30" s="8">
        <f>E29*(1+D30)</f>
        <v/>
      </c>
    </row>
    <row r="31">
      <c r="A31" s="8" t="inlineStr">
        <is>
          <t>1873-02-01</t>
        </is>
      </c>
      <c r="B31" s="6" t="n">
        <v>5.5708</v>
      </c>
      <c r="C31" s="8">
        <f>-PV(B31/100,$B$3,B30/100,1)</f>
        <v/>
      </c>
      <c r="D31" s="8">
        <f>B30/100/12+(C31-1)</f>
        <v/>
      </c>
      <c r="E31" s="8">
        <f>E30*(1+D31)</f>
        <v/>
      </c>
    </row>
    <row r="32">
      <c r="A32" s="8" t="inlineStr">
        <is>
          <t>1873-03-01</t>
        </is>
      </c>
      <c r="B32" s="6" t="n">
        <v>5.5617</v>
      </c>
      <c r="C32" s="8">
        <f>-PV(B32/100,$B$3,B31/100,1)</f>
        <v/>
      </c>
      <c r="D32" s="8">
        <f>B31/100/12+(C32-1)</f>
        <v/>
      </c>
      <c r="E32" s="8">
        <f>E31*(1+D32)</f>
        <v/>
      </c>
    </row>
    <row r="33">
      <c r="A33" s="8" t="inlineStr">
        <is>
          <t>1873-04-01</t>
        </is>
      </c>
      <c r="B33" s="6" t="n">
        <v>5.5525</v>
      </c>
      <c r="C33" s="8">
        <f>-PV(B33/100,$B$3,B32/100,1)</f>
        <v/>
      </c>
      <c r="D33" s="8">
        <f>B32/100/12+(C33-1)</f>
        <v/>
      </c>
      <c r="E33" s="8">
        <f>E32*(1+D33)</f>
        <v/>
      </c>
    </row>
    <row r="34">
      <c r="A34" s="8" t="inlineStr">
        <is>
          <t>1873-05-01</t>
        </is>
      </c>
      <c r="B34" s="6" t="n">
        <v>5.5433</v>
      </c>
      <c r="C34" s="8">
        <f>-PV(B34/100,$B$3,B33/100,1)</f>
        <v/>
      </c>
      <c r="D34" s="8">
        <f>B33/100/12+(C34-1)</f>
        <v/>
      </c>
      <c r="E34" s="8">
        <f>E33*(1+D34)</f>
        <v/>
      </c>
    </row>
    <row r="35">
      <c r="A35" s="8" t="inlineStr">
        <is>
          <t>1873-06-01</t>
        </is>
      </c>
      <c r="B35" s="6" t="n">
        <v>5.5342</v>
      </c>
      <c r="C35" s="8">
        <f>-PV(B35/100,$B$3,B34/100,1)</f>
        <v/>
      </c>
      <c r="D35" s="8">
        <f>B34/100/12+(C35-1)</f>
        <v/>
      </c>
      <c r="E35" s="8">
        <f>E34*(1+D35)</f>
        <v/>
      </c>
    </row>
    <row r="36">
      <c r="A36" s="8" t="inlineStr">
        <is>
          <t>1873-07-01</t>
        </is>
      </c>
      <c r="B36" s="6" t="n">
        <v>5.525</v>
      </c>
      <c r="C36" s="8">
        <f>-PV(B36/100,$B$3,B35/100,1)</f>
        <v/>
      </c>
      <c r="D36" s="8">
        <f>B35/100/12+(C36-1)</f>
        <v/>
      </c>
      <c r="E36" s="8">
        <f>E35*(1+D36)</f>
        <v/>
      </c>
    </row>
    <row r="37">
      <c r="A37" s="8" t="inlineStr">
        <is>
          <t>1873-08-01</t>
        </is>
      </c>
      <c r="B37" s="6" t="n">
        <v>5.5158</v>
      </c>
      <c r="C37" s="8">
        <f>-PV(B37/100,$B$3,B36/100,1)</f>
        <v/>
      </c>
      <c r="D37" s="8">
        <f>B36/100/12+(C37-1)</f>
        <v/>
      </c>
      <c r="E37" s="8">
        <f>E36*(1+D37)</f>
        <v/>
      </c>
    </row>
    <row r="38">
      <c r="A38" s="8" t="inlineStr">
        <is>
          <t>1873-09-01</t>
        </is>
      </c>
      <c r="B38" s="6" t="n">
        <v>5.5067</v>
      </c>
      <c r="C38" s="8">
        <f>-PV(B38/100,$B$3,B37/100,1)</f>
        <v/>
      </c>
      <c r="D38" s="8">
        <f>B37/100/12+(C38-1)</f>
        <v/>
      </c>
      <c r="E38" s="8">
        <f>E37*(1+D38)</f>
        <v/>
      </c>
    </row>
    <row r="39">
      <c r="A39" s="8" t="inlineStr">
        <is>
          <t>1873-10-01</t>
        </is>
      </c>
      <c r="B39" s="6" t="n">
        <v>5.4975</v>
      </c>
      <c r="C39" s="8">
        <f>-PV(B39/100,$B$3,B38/100,1)</f>
        <v/>
      </c>
      <c r="D39" s="8">
        <f>B38/100/12+(C39-1)</f>
        <v/>
      </c>
      <c r="E39" s="8">
        <f>E38*(1+D39)</f>
        <v/>
      </c>
    </row>
    <row r="40">
      <c r="A40" s="8" t="inlineStr">
        <is>
          <t>1873-11-01</t>
        </is>
      </c>
      <c r="B40" s="6" t="n">
        <v>5.4883</v>
      </c>
      <c r="C40" s="8">
        <f>-PV(B40/100,$B$3,B39/100,1)</f>
        <v/>
      </c>
      <c r="D40" s="8">
        <f>B39/100/12+(C40-1)</f>
        <v/>
      </c>
      <c r="E40" s="8">
        <f>E39*(1+D40)</f>
        <v/>
      </c>
    </row>
    <row r="41">
      <c r="A41" s="8" t="inlineStr">
        <is>
          <t>1873-12-01</t>
        </is>
      </c>
      <c r="B41" s="6" t="n">
        <v>5.4792</v>
      </c>
      <c r="C41" s="8">
        <f>-PV(B41/100,$B$3,B40/100,1)</f>
        <v/>
      </c>
      <c r="D41" s="8">
        <f>B40/100/12+(C41-1)</f>
        <v/>
      </c>
      <c r="E41" s="8">
        <f>E40*(1+D41)</f>
        <v/>
      </c>
    </row>
    <row r="42">
      <c r="A42" s="8" t="inlineStr">
        <is>
          <t>1874-01-01</t>
        </is>
      </c>
      <c r="B42" s="6" t="n">
        <v>5.47</v>
      </c>
      <c r="C42" s="8">
        <f>-PV(B42/100,$B$3,B41/100,1)</f>
        <v/>
      </c>
      <c r="D42" s="8">
        <f>B41/100/12+(C42-1)</f>
        <v/>
      </c>
      <c r="E42" s="8">
        <f>E41*(1+D42)</f>
        <v/>
      </c>
    </row>
    <row r="43">
      <c r="A43" s="8" t="inlineStr">
        <is>
          <t>1874-02-01</t>
        </is>
      </c>
      <c r="B43" s="6" t="n">
        <v>5.4367</v>
      </c>
      <c r="C43" s="8">
        <f>-PV(B43/100,$B$3,B42/100,1)</f>
        <v/>
      </c>
      <c r="D43" s="8">
        <f>B42/100/12+(C43-1)</f>
        <v/>
      </c>
      <c r="E43" s="8">
        <f>E42*(1+D43)</f>
        <v/>
      </c>
    </row>
    <row r="44">
      <c r="A44" s="8" t="inlineStr">
        <is>
          <t>1874-03-01</t>
        </is>
      </c>
      <c r="B44" s="6" t="n">
        <v>5.4033</v>
      </c>
      <c r="C44" s="8">
        <f>-PV(B44/100,$B$3,B43/100,1)</f>
        <v/>
      </c>
      <c r="D44" s="8">
        <f>B43/100/12+(C44-1)</f>
        <v/>
      </c>
      <c r="E44" s="8">
        <f>E43*(1+D44)</f>
        <v/>
      </c>
    </row>
    <row r="45">
      <c r="A45" s="8" t="inlineStr">
        <is>
          <t>1874-04-01</t>
        </is>
      </c>
      <c r="B45" s="6" t="n">
        <v>5.37</v>
      </c>
      <c r="C45" s="8">
        <f>-PV(B45/100,$B$3,B44/100,1)</f>
        <v/>
      </c>
      <c r="D45" s="8">
        <f>B44/100/12+(C45-1)</f>
        <v/>
      </c>
      <c r="E45" s="8">
        <f>E44*(1+D45)</f>
        <v/>
      </c>
    </row>
    <row r="46">
      <c r="A46" s="8" t="inlineStr">
        <is>
          <t>1874-05-01</t>
        </is>
      </c>
      <c r="B46" s="6" t="n">
        <v>5.3367</v>
      </c>
      <c r="C46" s="8">
        <f>-PV(B46/100,$B$3,B45/100,1)</f>
        <v/>
      </c>
      <c r="D46" s="8">
        <f>B45/100/12+(C46-1)</f>
        <v/>
      </c>
      <c r="E46" s="8">
        <f>E45*(1+D46)</f>
        <v/>
      </c>
    </row>
    <row r="47">
      <c r="A47" s="8" t="inlineStr">
        <is>
          <t>1874-06-01</t>
        </is>
      </c>
      <c r="B47" s="6" t="n">
        <v>5.3033</v>
      </c>
      <c r="C47" s="8">
        <f>-PV(B47/100,$B$3,B46/100,1)</f>
        <v/>
      </c>
      <c r="D47" s="8">
        <f>B46/100/12+(C47-1)</f>
        <v/>
      </c>
      <c r="E47" s="8">
        <f>E46*(1+D47)</f>
        <v/>
      </c>
    </row>
    <row r="48">
      <c r="A48" s="8" t="inlineStr">
        <is>
          <t>1874-07-01</t>
        </is>
      </c>
      <c r="B48" s="6" t="n">
        <v>5.27</v>
      </c>
      <c r="C48" s="8">
        <f>-PV(B48/100,$B$3,B47/100,1)</f>
        <v/>
      </c>
      <c r="D48" s="8">
        <f>B47/100/12+(C48-1)</f>
        <v/>
      </c>
      <c r="E48" s="8">
        <f>E47*(1+D48)</f>
        <v/>
      </c>
    </row>
    <row r="49">
      <c r="A49" s="8" t="inlineStr">
        <is>
          <t>1874-08-01</t>
        </is>
      </c>
      <c r="B49" s="6" t="n">
        <v>5.2367</v>
      </c>
      <c r="C49" s="8">
        <f>-PV(B49/100,$B$3,B48/100,1)</f>
        <v/>
      </c>
      <c r="D49" s="8">
        <f>B48/100/12+(C49-1)</f>
        <v/>
      </c>
      <c r="E49" s="8">
        <f>E48*(1+D49)</f>
        <v/>
      </c>
    </row>
    <row r="50">
      <c r="A50" s="8" t="inlineStr">
        <is>
          <t>1874-09-01</t>
        </is>
      </c>
      <c r="B50" s="6" t="n">
        <v>5.2033</v>
      </c>
      <c r="C50" s="8">
        <f>-PV(B50/100,$B$3,B49/100,1)</f>
        <v/>
      </c>
      <c r="D50" s="8">
        <f>B49/100/12+(C50-1)</f>
        <v/>
      </c>
      <c r="E50" s="8">
        <f>E49*(1+D50)</f>
        <v/>
      </c>
    </row>
    <row r="51">
      <c r="A51" s="8" t="inlineStr">
        <is>
          <t>1874-10-01</t>
        </is>
      </c>
      <c r="B51" s="6" t="n">
        <v>5.17</v>
      </c>
      <c r="C51" s="8">
        <f>-PV(B51/100,$B$3,B50/100,1)</f>
        <v/>
      </c>
      <c r="D51" s="8">
        <f>B50/100/12+(C51-1)</f>
        <v/>
      </c>
      <c r="E51" s="8">
        <f>E50*(1+D51)</f>
        <v/>
      </c>
    </row>
    <row r="52">
      <c r="A52" s="8" t="inlineStr">
        <is>
          <t>1874-11-01</t>
        </is>
      </c>
      <c r="B52" s="6" t="n">
        <v>5.1367</v>
      </c>
      <c r="C52" s="8">
        <f>-PV(B52/100,$B$3,B51/100,1)</f>
        <v/>
      </c>
      <c r="D52" s="8">
        <f>B51/100/12+(C52-1)</f>
        <v/>
      </c>
      <c r="E52" s="8">
        <f>E51*(1+D52)</f>
        <v/>
      </c>
    </row>
    <row r="53">
      <c r="A53" s="8" t="inlineStr">
        <is>
          <t>1874-12-01</t>
        </is>
      </c>
      <c r="B53" s="6" t="n">
        <v>5.1033</v>
      </c>
      <c r="C53" s="8">
        <f>-PV(B53/100,$B$3,B52/100,1)</f>
        <v/>
      </c>
      <c r="D53" s="8">
        <f>B52/100/12+(C53-1)</f>
        <v/>
      </c>
      <c r="E53" s="8">
        <f>E52*(1+D53)</f>
        <v/>
      </c>
    </row>
    <row r="54">
      <c r="A54" s="8" t="inlineStr">
        <is>
          <t>1875-01-01</t>
        </is>
      </c>
      <c r="B54" s="6" t="n">
        <v>5.07</v>
      </c>
      <c r="C54" s="8">
        <f>-PV(B54/100,$B$3,B53/100,1)</f>
        <v/>
      </c>
      <c r="D54" s="8">
        <f>B53/100/12+(C54-1)</f>
        <v/>
      </c>
      <c r="E54" s="8">
        <f>E53*(1+D54)</f>
        <v/>
      </c>
    </row>
    <row r="55">
      <c r="A55" s="8" t="inlineStr">
        <is>
          <t>1875-02-01</t>
        </is>
      </c>
      <c r="B55" s="6" t="n">
        <v>5.03</v>
      </c>
      <c r="C55" s="8">
        <f>-PV(B55/100,$B$3,B54/100,1)</f>
        <v/>
      </c>
      <c r="D55" s="8">
        <f>B54/100/12+(C55-1)</f>
        <v/>
      </c>
      <c r="E55" s="8">
        <f>E54*(1+D55)</f>
        <v/>
      </c>
    </row>
    <row r="56">
      <c r="A56" s="8" t="inlineStr">
        <is>
          <t>1875-03-01</t>
        </is>
      </c>
      <c r="B56" s="6" t="n">
        <v>4.99</v>
      </c>
      <c r="C56" s="8">
        <f>-PV(B56/100,$B$3,B55/100,1)</f>
        <v/>
      </c>
      <c r="D56" s="8">
        <f>B55/100/12+(C56-1)</f>
        <v/>
      </c>
      <c r="E56" s="8">
        <f>E55*(1+D56)</f>
        <v/>
      </c>
    </row>
    <row r="57">
      <c r="A57" s="8" t="inlineStr">
        <is>
          <t>1875-04-01</t>
        </is>
      </c>
      <c r="B57" s="6" t="n">
        <v>4.95</v>
      </c>
      <c r="C57" s="8">
        <f>-PV(B57/100,$B$3,B56/100,1)</f>
        <v/>
      </c>
      <c r="D57" s="8">
        <f>B56/100/12+(C57-1)</f>
        <v/>
      </c>
      <c r="E57" s="8">
        <f>E56*(1+D57)</f>
        <v/>
      </c>
    </row>
    <row r="58">
      <c r="A58" s="8" t="inlineStr">
        <is>
          <t>1875-05-01</t>
        </is>
      </c>
      <c r="B58" s="6" t="n">
        <v>4.91</v>
      </c>
      <c r="C58" s="8">
        <f>-PV(B58/100,$B$3,B57/100,1)</f>
        <v/>
      </c>
      <c r="D58" s="8">
        <f>B57/100/12+(C58-1)</f>
        <v/>
      </c>
      <c r="E58" s="8">
        <f>E57*(1+D58)</f>
        <v/>
      </c>
    </row>
    <row r="59">
      <c r="A59" s="8" t="inlineStr">
        <is>
          <t>1875-06-01</t>
        </is>
      </c>
      <c r="B59" s="6" t="n">
        <v>4.87</v>
      </c>
      <c r="C59" s="8">
        <f>-PV(B59/100,$B$3,B58/100,1)</f>
        <v/>
      </c>
      <c r="D59" s="8">
        <f>B58/100/12+(C59-1)</f>
        <v/>
      </c>
      <c r="E59" s="8">
        <f>E58*(1+D59)</f>
        <v/>
      </c>
    </row>
    <row r="60">
      <c r="A60" s="8" t="inlineStr">
        <is>
          <t>1875-07-01</t>
        </is>
      </c>
      <c r="B60" s="6" t="n">
        <v>4.83</v>
      </c>
      <c r="C60" s="8">
        <f>-PV(B60/100,$B$3,B59/100,1)</f>
        <v/>
      </c>
      <c r="D60" s="8">
        <f>B59/100/12+(C60-1)</f>
        <v/>
      </c>
      <c r="E60" s="8">
        <f>E59*(1+D60)</f>
        <v/>
      </c>
    </row>
    <row r="61">
      <c r="A61" s="8" t="inlineStr">
        <is>
          <t>1875-08-01</t>
        </is>
      </c>
      <c r="B61" s="6" t="n">
        <v>4.79</v>
      </c>
      <c r="C61" s="8">
        <f>-PV(B61/100,$B$3,B60/100,1)</f>
        <v/>
      </c>
      <c r="D61" s="8">
        <f>B60/100/12+(C61-1)</f>
        <v/>
      </c>
      <c r="E61" s="8">
        <f>E60*(1+D61)</f>
        <v/>
      </c>
    </row>
    <row r="62">
      <c r="A62" s="8" t="inlineStr">
        <is>
          <t>1875-09-01</t>
        </is>
      </c>
      <c r="B62" s="6" t="n">
        <v>4.75</v>
      </c>
      <c r="C62" s="8">
        <f>-PV(B62/100,$B$3,B61/100,1)</f>
        <v/>
      </c>
      <c r="D62" s="8">
        <f>B61/100/12+(C62-1)</f>
        <v/>
      </c>
      <c r="E62" s="8">
        <f>E61*(1+D62)</f>
        <v/>
      </c>
    </row>
    <row r="63">
      <c r="A63" s="8" t="inlineStr">
        <is>
          <t>1875-10-01</t>
        </is>
      </c>
      <c r="B63" s="6" t="n">
        <v>4.71</v>
      </c>
      <c r="C63" s="8">
        <f>-PV(B63/100,$B$3,B62/100,1)</f>
        <v/>
      </c>
      <c r="D63" s="8">
        <f>B62/100/12+(C63-1)</f>
        <v/>
      </c>
      <c r="E63" s="8">
        <f>E62*(1+D63)</f>
        <v/>
      </c>
    </row>
    <row r="64">
      <c r="A64" s="8" t="inlineStr">
        <is>
          <t>1875-11-01</t>
        </is>
      </c>
      <c r="B64" s="6" t="n">
        <v>4.67</v>
      </c>
      <c r="C64" s="8">
        <f>-PV(B64/100,$B$3,B63/100,1)</f>
        <v/>
      </c>
      <c r="D64" s="8">
        <f>B63/100/12+(C64-1)</f>
        <v/>
      </c>
      <c r="E64" s="8">
        <f>E63*(1+D64)</f>
        <v/>
      </c>
    </row>
    <row r="65">
      <c r="A65" s="8" t="inlineStr">
        <is>
          <t>1875-12-01</t>
        </is>
      </c>
      <c r="B65" s="6" t="n">
        <v>4.63</v>
      </c>
      <c r="C65" s="8">
        <f>-PV(B65/100,$B$3,B64/100,1)</f>
        <v/>
      </c>
      <c r="D65" s="8">
        <f>B64/100/12+(C65-1)</f>
        <v/>
      </c>
      <c r="E65" s="8">
        <f>E64*(1+D65)</f>
        <v/>
      </c>
    </row>
    <row r="66">
      <c r="A66" s="8" t="inlineStr">
        <is>
          <t>1876-01-01</t>
        </is>
      </c>
      <c r="B66" s="6" t="n">
        <v>4.59</v>
      </c>
      <c r="C66" s="8">
        <f>-PV(B66/100,$B$3,B65/100,1)</f>
        <v/>
      </c>
      <c r="D66" s="8">
        <f>B65/100/12+(C66-1)</f>
        <v/>
      </c>
      <c r="E66" s="8">
        <f>E65*(1+D66)</f>
        <v/>
      </c>
    </row>
    <row r="67">
      <c r="A67" s="8" t="inlineStr">
        <is>
          <t>1876-02-01</t>
        </is>
      </c>
      <c r="B67" s="6" t="n">
        <v>4.5783</v>
      </c>
      <c r="C67" s="8">
        <f>-PV(B67/100,$B$3,B66/100,1)</f>
        <v/>
      </c>
      <c r="D67" s="8">
        <f>B66/100/12+(C67-1)</f>
        <v/>
      </c>
      <c r="E67" s="8">
        <f>E66*(1+D67)</f>
        <v/>
      </c>
    </row>
    <row r="68">
      <c r="A68" s="8" t="inlineStr">
        <is>
          <t>1876-03-01</t>
        </is>
      </c>
      <c r="B68" s="6" t="n">
        <v>4.5667</v>
      </c>
      <c r="C68" s="8">
        <f>-PV(B68/100,$B$3,B67/100,1)</f>
        <v/>
      </c>
      <c r="D68" s="8">
        <f>B67/100/12+(C68-1)</f>
        <v/>
      </c>
      <c r="E68" s="8">
        <f>E67*(1+D68)</f>
        <v/>
      </c>
    </row>
    <row r="69">
      <c r="A69" s="8" t="inlineStr">
        <is>
          <t>1876-04-01</t>
        </is>
      </c>
      <c r="B69" s="6" t="n">
        <v>4.555</v>
      </c>
      <c r="C69" s="8">
        <f>-PV(B69/100,$B$3,B68/100,1)</f>
        <v/>
      </c>
      <c r="D69" s="8">
        <f>B68/100/12+(C69-1)</f>
        <v/>
      </c>
      <c r="E69" s="8">
        <f>E68*(1+D69)</f>
        <v/>
      </c>
    </row>
    <row r="70">
      <c r="A70" s="8" t="inlineStr">
        <is>
          <t>1876-05-01</t>
        </is>
      </c>
      <c r="B70" s="6" t="n">
        <v>4.5433</v>
      </c>
      <c r="C70" s="8">
        <f>-PV(B70/100,$B$3,B69/100,1)</f>
        <v/>
      </c>
      <c r="D70" s="8">
        <f>B69/100/12+(C70-1)</f>
        <v/>
      </c>
      <c r="E70" s="8">
        <f>E69*(1+D70)</f>
        <v/>
      </c>
    </row>
    <row r="71">
      <c r="A71" s="8" t="inlineStr">
        <is>
          <t>1876-06-01</t>
        </is>
      </c>
      <c r="B71" s="6" t="n">
        <v>4.5317</v>
      </c>
      <c r="C71" s="8">
        <f>-PV(B71/100,$B$3,B70/100,1)</f>
        <v/>
      </c>
      <c r="D71" s="8">
        <f>B70/100/12+(C71-1)</f>
        <v/>
      </c>
      <c r="E71" s="8">
        <f>E70*(1+D71)</f>
        <v/>
      </c>
    </row>
    <row r="72">
      <c r="A72" s="8" t="inlineStr">
        <is>
          <t>1876-07-01</t>
        </is>
      </c>
      <c r="B72" s="6" t="n">
        <v>4.52</v>
      </c>
      <c r="C72" s="8">
        <f>-PV(B72/100,$B$3,B71/100,1)</f>
        <v/>
      </c>
      <c r="D72" s="8">
        <f>B71/100/12+(C72-1)</f>
        <v/>
      </c>
      <c r="E72" s="8">
        <f>E71*(1+D72)</f>
        <v/>
      </c>
    </row>
    <row r="73">
      <c r="A73" s="8" t="inlineStr">
        <is>
          <t>1876-08-01</t>
        </is>
      </c>
      <c r="B73" s="6" t="n">
        <v>4.5083</v>
      </c>
      <c r="C73" s="8">
        <f>-PV(B73/100,$B$3,B72/100,1)</f>
        <v/>
      </c>
      <c r="D73" s="8">
        <f>B72/100/12+(C73-1)</f>
        <v/>
      </c>
      <c r="E73" s="8">
        <f>E72*(1+D73)</f>
        <v/>
      </c>
    </row>
    <row r="74">
      <c r="A74" s="8" t="inlineStr">
        <is>
          <t>1876-09-01</t>
        </is>
      </c>
      <c r="B74" s="6" t="n">
        <v>4.4967</v>
      </c>
      <c r="C74" s="8">
        <f>-PV(B74/100,$B$3,B73/100,1)</f>
        <v/>
      </c>
      <c r="D74" s="8">
        <f>B73/100/12+(C74-1)</f>
        <v/>
      </c>
      <c r="E74" s="8">
        <f>E73*(1+D74)</f>
        <v/>
      </c>
    </row>
    <row r="75">
      <c r="A75" s="8" t="inlineStr">
        <is>
          <t>1876-10-01</t>
        </is>
      </c>
      <c r="B75" s="6" t="n">
        <v>4.485</v>
      </c>
      <c r="C75" s="8">
        <f>-PV(B75/100,$B$3,B74/100,1)</f>
        <v/>
      </c>
      <c r="D75" s="8">
        <f>B74/100/12+(C75-1)</f>
        <v/>
      </c>
      <c r="E75" s="8">
        <f>E74*(1+D75)</f>
        <v/>
      </c>
    </row>
    <row r="76">
      <c r="A76" s="8" t="inlineStr">
        <is>
          <t>1876-11-01</t>
        </is>
      </c>
      <c r="B76" s="6" t="n">
        <v>4.4733</v>
      </c>
      <c r="C76" s="8">
        <f>-PV(B76/100,$B$3,B75/100,1)</f>
        <v/>
      </c>
      <c r="D76" s="8">
        <f>B75/100/12+(C76-1)</f>
        <v/>
      </c>
      <c r="E76" s="8">
        <f>E75*(1+D76)</f>
        <v/>
      </c>
    </row>
    <row r="77">
      <c r="A77" s="8" t="inlineStr">
        <is>
          <t>1876-12-01</t>
        </is>
      </c>
      <c r="B77" s="6" t="n">
        <v>4.4617</v>
      </c>
      <c r="C77" s="8">
        <f>-PV(B77/100,$B$3,B76/100,1)</f>
        <v/>
      </c>
      <c r="D77" s="8">
        <f>B76/100/12+(C77-1)</f>
        <v/>
      </c>
      <c r="E77" s="8">
        <f>E76*(1+D77)</f>
        <v/>
      </c>
    </row>
    <row r="78">
      <c r="A78" s="8" t="inlineStr">
        <is>
          <t>1877-01-01</t>
        </is>
      </c>
      <c r="B78" s="6" t="n">
        <v>4.45</v>
      </c>
      <c r="C78" s="8">
        <f>-PV(B78/100,$B$3,B77/100,1)</f>
        <v/>
      </c>
      <c r="D78" s="8">
        <f>B77/100/12+(C78-1)</f>
        <v/>
      </c>
      <c r="E78" s="8">
        <f>E77*(1+D78)</f>
        <v/>
      </c>
    </row>
    <row r="79">
      <c r="A79" s="8" t="inlineStr">
        <is>
          <t>1877-02-01</t>
        </is>
      </c>
      <c r="B79" s="6" t="n">
        <v>4.4408</v>
      </c>
      <c r="C79" s="8">
        <f>-PV(B79/100,$B$3,B78/100,1)</f>
        <v/>
      </c>
      <c r="D79" s="8">
        <f>B78/100/12+(C79-1)</f>
        <v/>
      </c>
      <c r="E79" s="8">
        <f>E78*(1+D79)</f>
        <v/>
      </c>
    </row>
    <row r="80">
      <c r="A80" s="8" t="inlineStr">
        <is>
          <t>1877-03-01</t>
        </is>
      </c>
      <c r="B80" s="6" t="n">
        <v>4.4317</v>
      </c>
      <c r="C80" s="8">
        <f>-PV(B80/100,$B$3,B79/100,1)</f>
        <v/>
      </c>
      <c r="D80" s="8">
        <f>B79/100/12+(C80-1)</f>
        <v/>
      </c>
      <c r="E80" s="8">
        <f>E79*(1+D80)</f>
        <v/>
      </c>
    </row>
    <row r="81">
      <c r="A81" s="8" t="inlineStr">
        <is>
          <t>1877-04-01</t>
        </is>
      </c>
      <c r="B81" s="6" t="n">
        <v>4.4225</v>
      </c>
      <c r="C81" s="8">
        <f>-PV(B81/100,$B$3,B80/100,1)</f>
        <v/>
      </c>
      <c r="D81" s="8">
        <f>B80/100/12+(C81-1)</f>
        <v/>
      </c>
      <c r="E81" s="8">
        <f>E80*(1+D81)</f>
        <v/>
      </c>
    </row>
    <row r="82">
      <c r="A82" s="8" t="inlineStr">
        <is>
          <t>1877-05-01</t>
        </is>
      </c>
      <c r="B82" s="6" t="n">
        <v>4.4133</v>
      </c>
      <c r="C82" s="8">
        <f>-PV(B82/100,$B$3,B81/100,1)</f>
        <v/>
      </c>
      <c r="D82" s="8">
        <f>B81/100/12+(C82-1)</f>
        <v/>
      </c>
      <c r="E82" s="8">
        <f>E81*(1+D82)</f>
        <v/>
      </c>
    </row>
    <row r="83">
      <c r="A83" s="8" t="inlineStr">
        <is>
          <t>1877-06-01</t>
        </is>
      </c>
      <c r="B83" s="6" t="n">
        <v>4.4042</v>
      </c>
      <c r="C83" s="8">
        <f>-PV(B83/100,$B$3,B82/100,1)</f>
        <v/>
      </c>
      <c r="D83" s="8">
        <f>B82/100/12+(C83-1)</f>
        <v/>
      </c>
      <c r="E83" s="8">
        <f>E82*(1+D83)</f>
        <v/>
      </c>
    </row>
    <row r="84">
      <c r="A84" s="8" t="inlineStr">
        <is>
          <t>1877-07-01</t>
        </is>
      </c>
      <c r="B84" s="6" t="n">
        <v>4.395</v>
      </c>
      <c r="C84" s="8">
        <f>-PV(B84/100,$B$3,B83/100,1)</f>
        <v/>
      </c>
      <c r="D84" s="8">
        <f>B83/100/12+(C84-1)</f>
        <v/>
      </c>
      <c r="E84" s="8">
        <f>E83*(1+D84)</f>
        <v/>
      </c>
    </row>
    <row r="85">
      <c r="A85" s="8" t="inlineStr">
        <is>
          <t>1877-08-01</t>
        </is>
      </c>
      <c r="B85" s="6" t="n">
        <v>4.3858</v>
      </c>
      <c r="C85" s="8">
        <f>-PV(B85/100,$B$3,B84/100,1)</f>
        <v/>
      </c>
      <c r="D85" s="8">
        <f>B84/100/12+(C85-1)</f>
        <v/>
      </c>
      <c r="E85" s="8">
        <f>E84*(1+D85)</f>
        <v/>
      </c>
    </row>
    <row r="86">
      <c r="A86" s="8" t="inlineStr">
        <is>
          <t>1877-09-01</t>
        </is>
      </c>
      <c r="B86" s="6" t="n">
        <v>4.3767</v>
      </c>
      <c r="C86" s="8">
        <f>-PV(B86/100,$B$3,B85/100,1)</f>
        <v/>
      </c>
      <c r="D86" s="8">
        <f>B85/100/12+(C86-1)</f>
        <v/>
      </c>
      <c r="E86" s="8">
        <f>E85*(1+D86)</f>
        <v/>
      </c>
    </row>
    <row r="87">
      <c r="A87" s="8" t="inlineStr">
        <is>
          <t>1877-10-01</t>
        </is>
      </c>
      <c r="B87" s="6" t="n">
        <v>4.3675</v>
      </c>
      <c r="C87" s="8">
        <f>-PV(B87/100,$B$3,B86/100,1)</f>
        <v/>
      </c>
      <c r="D87" s="8">
        <f>B86/100/12+(C87-1)</f>
        <v/>
      </c>
      <c r="E87" s="8">
        <f>E86*(1+D87)</f>
        <v/>
      </c>
    </row>
    <row r="88">
      <c r="A88" s="8" t="inlineStr">
        <is>
          <t>1877-11-01</t>
        </is>
      </c>
      <c r="B88" s="6" t="n">
        <v>4.3583</v>
      </c>
      <c r="C88" s="8">
        <f>-PV(B88/100,$B$3,B87/100,1)</f>
        <v/>
      </c>
      <c r="D88" s="8">
        <f>B87/100/12+(C88-1)</f>
        <v/>
      </c>
      <c r="E88" s="8">
        <f>E87*(1+D88)</f>
        <v/>
      </c>
    </row>
    <row r="89">
      <c r="A89" s="8" t="inlineStr">
        <is>
          <t>1877-12-01</t>
        </is>
      </c>
      <c r="B89" s="6" t="n">
        <v>4.3492</v>
      </c>
      <c r="C89" s="8">
        <f>-PV(B89/100,$B$3,B88/100,1)</f>
        <v/>
      </c>
      <c r="D89" s="8">
        <f>B88/100/12+(C89-1)</f>
        <v/>
      </c>
      <c r="E89" s="8">
        <f>E88*(1+D89)</f>
        <v/>
      </c>
    </row>
    <row r="90">
      <c r="A90" s="8" t="inlineStr">
        <is>
          <t>1878-01-01</t>
        </is>
      </c>
      <c r="B90" s="6" t="n">
        <v>4.34</v>
      </c>
      <c r="C90" s="8">
        <f>-PV(B90/100,$B$3,B89/100,1)</f>
        <v/>
      </c>
      <c r="D90" s="8">
        <f>B89/100/12+(C90-1)</f>
        <v/>
      </c>
      <c r="E90" s="8">
        <f>E89*(1+D90)</f>
        <v/>
      </c>
    </row>
    <row r="91">
      <c r="A91" s="8" t="inlineStr">
        <is>
          <t>1878-02-01</t>
        </is>
      </c>
      <c r="B91" s="6" t="n">
        <v>4.33</v>
      </c>
      <c r="C91" s="8">
        <f>-PV(B91/100,$B$3,B90/100,1)</f>
        <v/>
      </c>
      <c r="D91" s="8">
        <f>B90/100/12+(C91-1)</f>
        <v/>
      </c>
      <c r="E91" s="8">
        <f>E90*(1+D91)</f>
        <v/>
      </c>
    </row>
    <row r="92">
      <c r="A92" s="8" t="inlineStr">
        <is>
          <t>1878-03-01</t>
        </is>
      </c>
      <c r="B92" s="6" t="n">
        <v>4.32</v>
      </c>
      <c r="C92" s="8">
        <f>-PV(B92/100,$B$3,B91/100,1)</f>
        <v/>
      </c>
      <c r="D92" s="8">
        <f>B91/100/12+(C92-1)</f>
        <v/>
      </c>
      <c r="E92" s="8">
        <f>E91*(1+D92)</f>
        <v/>
      </c>
    </row>
    <row r="93">
      <c r="A93" s="8" t="inlineStr">
        <is>
          <t>1878-04-01</t>
        </is>
      </c>
      <c r="B93" s="6" t="n">
        <v>4.31</v>
      </c>
      <c r="C93" s="8">
        <f>-PV(B93/100,$B$3,B92/100,1)</f>
        <v/>
      </c>
      <c r="D93" s="8">
        <f>B92/100/12+(C93-1)</f>
        <v/>
      </c>
      <c r="E93" s="8">
        <f>E92*(1+D93)</f>
        <v/>
      </c>
    </row>
    <row r="94">
      <c r="A94" s="8" t="inlineStr">
        <is>
          <t>1878-05-01</t>
        </is>
      </c>
      <c r="B94" s="6" t="n">
        <v>4.3</v>
      </c>
      <c r="C94" s="8">
        <f>-PV(B94/100,$B$3,B93/100,1)</f>
        <v/>
      </c>
      <c r="D94" s="8">
        <f>B93/100/12+(C94-1)</f>
        <v/>
      </c>
      <c r="E94" s="8">
        <f>E93*(1+D94)</f>
        <v/>
      </c>
    </row>
    <row r="95">
      <c r="A95" s="8" t="inlineStr">
        <is>
          <t>1878-06-01</t>
        </is>
      </c>
      <c r="B95" s="6" t="n">
        <v>4.29</v>
      </c>
      <c r="C95" s="8">
        <f>-PV(B95/100,$B$3,B94/100,1)</f>
        <v/>
      </c>
      <c r="D95" s="8">
        <f>B94/100/12+(C95-1)</f>
        <v/>
      </c>
      <c r="E95" s="8">
        <f>E94*(1+D95)</f>
        <v/>
      </c>
    </row>
    <row r="96">
      <c r="A96" s="8" t="inlineStr">
        <is>
          <t>1878-07-01</t>
        </is>
      </c>
      <c r="B96" s="6" t="n">
        <v>4.28</v>
      </c>
      <c r="C96" s="8">
        <f>-PV(B96/100,$B$3,B95/100,1)</f>
        <v/>
      </c>
      <c r="D96" s="8">
        <f>B95/100/12+(C96-1)</f>
        <v/>
      </c>
      <c r="E96" s="8">
        <f>E95*(1+D96)</f>
        <v/>
      </c>
    </row>
    <row r="97">
      <c r="A97" s="8" t="inlineStr">
        <is>
          <t>1878-08-01</t>
        </is>
      </c>
      <c r="B97" s="6" t="n">
        <v>4.27</v>
      </c>
      <c r="C97" s="8">
        <f>-PV(B97/100,$B$3,B96/100,1)</f>
        <v/>
      </c>
      <c r="D97" s="8">
        <f>B96/100/12+(C97-1)</f>
        <v/>
      </c>
      <c r="E97" s="8">
        <f>E96*(1+D97)</f>
        <v/>
      </c>
    </row>
    <row r="98">
      <c r="A98" s="8" t="inlineStr">
        <is>
          <t>1878-09-01</t>
        </is>
      </c>
      <c r="B98" s="6" t="n">
        <v>4.26</v>
      </c>
      <c r="C98" s="8">
        <f>-PV(B98/100,$B$3,B97/100,1)</f>
        <v/>
      </c>
      <c r="D98" s="8">
        <f>B97/100/12+(C98-1)</f>
        <v/>
      </c>
      <c r="E98" s="8">
        <f>E97*(1+D98)</f>
        <v/>
      </c>
    </row>
    <row r="99">
      <c r="A99" s="8" t="inlineStr">
        <is>
          <t>1878-10-01</t>
        </is>
      </c>
      <c r="B99" s="6" t="n">
        <v>4.25</v>
      </c>
      <c r="C99" s="8">
        <f>-PV(B99/100,$B$3,B98/100,1)</f>
        <v/>
      </c>
      <c r="D99" s="8">
        <f>B98/100/12+(C99-1)</f>
        <v/>
      </c>
      <c r="E99" s="8">
        <f>E98*(1+D99)</f>
        <v/>
      </c>
    </row>
    <row r="100">
      <c r="A100" s="8" t="inlineStr">
        <is>
          <t>1878-11-01</t>
        </is>
      </c>
      <c r="B100" s="6" t="n">
        <v>4.24</v>
      </c>
      <c r="C100" s="8">
        <f>-PV(B100/100,$B$3,B99/100,1)</f>
        <v/>
      </c>
      <c r="D100" s="8">
        <f>B99/100/12+(C100-1)</f>
        <v/>
      </c>
      <c r="E100" s="8">
        <f>E99*(1+D100)</f>
        <v/>
      </c>
    </row>
    <row r="101">
      <c r="A101" s="8" t="inlineStr">
        <is>
          <t>1878-12-01</t>
        </is>
      </c>
      <c r="B101" s="6" t="n">
        <v>4.23</v>
      </c>
      <c r="C101" s="8">
        <f>-PV(B101/100,$B$3,B100/100,1)</f>
        <v/>
      </c>
      <c r="D101" s="8">
        <f>B100/100/12+(C101-1)</f>
        <v/>
      </c>
      <c r="E101" s="8">
        <f>E100*(1+D101)</f>
        <v/>
      </c>
    </row>
    <row r="102">
      <c r="A102" s="8" t="inlineStr">
        <is>
          <t>1879-01-01</t>
        </is>
      </c>
      <c r="B102" s="6" t="n">
        <v>4.22</v>
      </c>
      <c r="C102" s="8">
        <f>-PV(B102/100,$B$3,B101/100,1)</f>
        <v/>
      </c>
      <c r="D102" s="8">
        <f>B101/100/12+(C102-1)</f>
        <v/>
      </c>
      <c r="E102" s="8">
        <f>E101*(1+D102)</f>
        <v/>
      </c>
    </row>
    <row r="103">
      <c r="A103" s="8" t="inlineStr">
        <is>
          <t>1879-02-01</t>
        </is>
      </c>
      <c r="B103" s="6" t="n">
        <v>4.2033</v>
      </c>
      <c r="C103" s="8">
        <f>-PV(B103/100,$B$3,B102/100,1)</f>
        <v/>
      </c>
      <c r="D103" s="8">
        <f>B102/100/12+(C103-1)</f>
        <v/>
      </c>
      <c r="E103" s="8">
        <f>E102*(1+D103)</f>
        <v/>
      </c>
    </row>
    <row r="104">
      <c r="A104" s="8" t="inlineStr">
        <is>
          <t>1879-03-01</t>
        </is>
      </c>
      <c r="B104" s="6" t="n">
        <v>4.1867</v>
      </c>
      <c r="C104" s="8">
        <f>-PV(B104/100,$B$3,B103/100,1)</f>
        <v/>
      </c>
      <c r="D104" s="8">
        <f>B103/100/12+(C104-1)</f>
        <v/>
      </c>
      <c r="E104" s="8">
        <f>E103*(1+D104)</f>
        <v/>
      </c>
    </row>
    <row r="105">
      <c r="A105" s="8" t="inlineStr">
        <is>
          <t>1879-04-01</t>
        </is>
      </c>
      <c r="B105" s="6" t="n">
        <v>4.17</v>
      </c>
      <c r="C105" s="8">
        <f>-PV(B105/100,$B$3,B104/100,1)</f>
        <v/>
      </c>
      <c r="D105" s="8">
        <f>B104/100/12+(C105-1)</f>
        <v/>
      </c>
      <c r="E105" s="8">
        <f>E104*(1+D105)</f>
        <v/>
      </c>
    </row>
    <row r="106">
      <c r="A106" s="8" t="inlineStr">
        <is>
          <t>1879-05-01</t>
        </is>
      </c>
      <c r="B106" s="6" t="n">
        <v>4.1533</v>
      </c>
      <c r="C106" s="8">
        <f>-PV(B106/100,$B$3,B105/100,1)</f>
        <v/>
      </c>
      <c r="D106" s="8">
        <f>B105/100/12+(C106-1)</f>
        <v/>
      </c>
      <c r="E106" s="8">
        <f>E105*(1+D106)</f>
        <v/>
      </c>
    </row>
    <row r="107">
      <c r="A107" s="8" t="inlineStr">
        <is>
          <t>1879-06-01</t>
        </is>
      </c>
      <c r="B107" s="6" t="n">
        <v>4.1367</v>
      </c>
      <c r="C107" s="8">
        <f>-PV(B107/100,$B$3,B106/100,1)</f>
        <v/>
      </c>
      <c r="D107" s="8">
        <f>B106/100/12+(C107-1)</f>
        <v/>
      </c>
      <c r="E107" s="8">
        <f>E106*(1+D107)</f>
        <v/>
      </c>
    </row>
    <row r="108">
      <c r="A108" s="8" t="inlineStr">
        <is>
          <t>1879-07-01</t>
        </is>
      </c>
      <c r="B108" s="6" t="n">
        <v>4.12</v>
      </c>
      <c r="C108" s="8">
        <f>-PV(B108/100,$B$3,B107/100,1)</f>
        <v/>
      </c>
      <c r="D108" s="8">
        <f>B107/100/12+(C108-1)</f>
        <v/>
      </c>
      <c r="E108" s="8">
        <f>E107*(1+D108)</f>
        <v/>
      </c>
    </row>
    <row r="109">
      <c r="A109" s="8" t="inlineStr">
        <is>
          <t>1879-08-01</t>
        </is>
      </c>
      <c r="B109" s="6" t="n">
        <v>4.1033</v>
      </c>
      <c r="C109" s="8">
        <f>-PV(B109/100,$B$3,B108/100,1)</f>
        <v/>
      </c>
      <c r="D109" s="8">
        <f>B108/100/12+(C109-1)</f>
        <v/>
      </c>
      <c r="E109" s="8">
        <f>E108*(1+D109)</f>
        <v/>
      </c>
    </row>
    <row r="110">
      <c r="A110" s="8" t="inlineStr">
        <is>
          <t>1879-09-01</t>
        </is>
      </c>
      <c r="B110" s="6" t="n">
        <v>4.0867</v>
      </c>
      <c r="C110" s="8">
        <f>-PV(B110/100,$B$3,B109/100,1)</f>
        <v/>
      </c>
      <c r="D110" s="8">
        <f>B109/100/12+(C110-1)</f>
        <v/>
      </c>
      <c r="E110" s="8">
        <f>E109*(1+D110)</f>
        <v/>
      </c>
    </row>
    <row r="111">
      <c r="A111" s="8" t="inlineStr">
        <is>
          <t>1879-10-01</t>
        </is>
      </c>
      <c r="B111" s="6" t="n">
        <v>4.07</v>
      </c>
      <c r="C111" s="8">
        <f>-PV(B111/100,$B$3,B110/100,1)</f>
        <v/>
      </c>
      <c r="D111" s="8">
        <f>B110/100/12+(C111-1)</f>
        <v/>
      </c>
      <c r="E111" s="8">
        <f>E110*(1+D111)</f>
        <v/>
      </c>
    </row>
    <row r="112">
      <c r="A112" s="8" t="inlineStr">
        <is>
          <t>1879-11-01</t>
        </is>
      </c>
      <c r="B112" s="6" t="n">
        <v>4.0533</v>
      </c>
      <c r="C112" s="8">
        <f>-PV(B112/100,$B$3,B111/100,1)</f>
        <v/>
      </c>
      <c r="D112" s="8">
        <f>B111/100/12+(C112-1)</f>
        <v/>
      </c>
      <c r="E112" s="8">
        <f>E111*(1+D112)</f>
        <v/>
      </c>
    </row>
    <row r="113">
      <c r="A113" s="8" t="inlineStr">
        <is>
          <t>1879-12-01</t>
        </is>
      </c>
      <c r="B113" s="6" t="n">
        <v>4.0367</v>
      </c>
      <c r="C113" s="8">
        <f>-PV(B113/100,$B$3,B112/100,1)</f>
        <v/>
      </c>
      <c r="D113" s="8">
        <f>B112/100/12+(C113-1)</f>
        <v/>
      </c>
      <c r="E113" s="8">
        <f>E112*(1+D113)</f>
        <v/>
      </c>
    </row>
    <row r="114">
      <c r="A114" s="8" t="inlineStr">
        <is>
          <t>1880-01-01</t>
        </is>
      </c>
      <c r="B114" s="6" t="n">
        <v>4.02</v>
      </c>
      <c r="C114" s="8">
        <f>-PV(B114/100,$B$3,B113/100,1)</f>
        <v/>
      </c>
      <c r="D114" s="8">
        <f>B113/100/12+(C114-1)</f>
        <v/>
      </c>
      <c r="E114" s="8">
        <f>E113*(1+D114)</f>
        <v/>
      </c>
    </row>
    <row r="115">
      <c r="A115" s="8" t="inlineStr">
        <is>
          <t>1880-02-01</t>
        </is>
      </c>
      <c r="B115" s="6" t="n">
        <v>3.9933</v>
      </c>
      <c r="C115" s="8">
        <f>-PV(B115/100,$B$3,B114/100,1)</f>
        <v/>
      </c>
      <c r="D115" s="8">
        <f>B114/100/12+(C115-1)</f>
        <v/>
      </c>
      <c r="E115" s="8">
        <f>E114*(1+D115)</f>
        <v/>
      </c>
    </row>
    <row r="116">
      <c r="A116" s="8" t="inlineStr">
        <is>
          <t>1880-03-01</t>
        </is>
      </c>
      <c r="B116" s="6" t="n">
        <v>3.9667</v>
      </c>
      <c r="C116" s="8">
        <f>-PV(B116/100,$B$3,B115/100,1)</f>
        <v/>
      </c>
      <c r="D116" s="8">
        <f>B115/100/12+(C116-1)</f>
        <v/>
      </c>
      <c r="E116" s="8">
        <f>E115*(1+D116)</f>
        <v/>
      </c>
    </row>
    <row r="117">
      <c r="A117" s="8" t="inlineStr">
        <is>
          <t>1880-04-01</t>
        </is>
      </c>
      <c r="B117" s="6" t="n">
        <v>3.94</v>
      </c>
      <c r="C117" s="8">
        <f>-PV(B117/100,$B$3,B116/100,1)</f>
        <v/>
      </c>
      <c r="D117" s="8">
        <f>B116/100/12+(C117-1)</f>
        <v/>
      </c>
      <c r="E117" s="8">
        <f>E116*(1+D117)</f>
        <v/>
      </c>
    </row>
    <row r="118">
      <c r="A118" s="8" t="inlineStr">
        <is>
          <t>1880-05-01</t>
        </is>
      </c>
      <c r="B118" s="6" t="n">
        <v>3.9133</v>
      </c>
      <c r="C118" s="8">
        <f>-PV(B118/100,$B$3,B117/100,1)</f>
        <v/>
      </c>
      <c r="D118" s="8">
        <f>B117/100/12+(C118-1)</f>
        <v/>
      </c>
      <c r="E118" s="8">
        <f>E117*(1+D118)</f>
        <v/>
      </c>
    </row>
    <row r="119">
      <c r="A119" s="8" t="inlineStr">
        <is>
          <t>1880-06-01</t>
        </is>
      </c>
      <c r="B119" s="6" t="n">
        <v>3.8867</v>
      </c>
      <c r="C119" s="8">
        <f>-PV(B119/100,$B$3,B118/100,1)</f>
        <v/>
      </c>
      <c r="D119" s="8">
        <f>B118/100/12+(C119-1)</f>
        <v/>
      </c>
      <c r="E119" s="8">
        <f>E118*(1+D119)</f>
        <v/>
      </c>
    </row>
    <row r="120">
      <c r="A120" s="8" t="inlineStr">
        <is>
          <t>1880-07-01</t>
        </is>
      </c>
      <c r="B120" s="6" t="n">
        <v>3.86</v>
      </c>
      <c r="C120" s="8">
        <f>-PV(B120/100,$B$3,B119/100,1)</f>
        <v/>
      </c>
      <c r="D120" s="8">
        <f>B119/100/12+(C120-1)</f>
        <v/>
      </c>
      <c r="E120" s="8">
        <f>E119*(1+D120)</f>
        <v/>
      </c>
    </row>
    <row r="121">
      <c r="A121" s="8" t="inlineStr">
        <is>
          <t>1880-08-01</t>
        </is>
      </c>
      <c r="B121" s="6" t="n">
        <v>3.8333</v>
      </c>
      <c r="C121" s="8">
        <f>-PV(B121/100,$B$3,B120/100,1)</f>
        <v/>
      </c>
      <c r="D121" s="8">
        <f>B120/100/12+(C121-1)</f>
        <v/>
      </c>
      <c r="E121" s="8">
        <f>E120*(1+D121)</f>
        <v/>
      </c>
    </row>
    <row r="122">
      <c r="A122" s="8" t="inlineStr">
        <is>
          <t>1880-09-01</t>
        </is>
      </c>
      <c r="B122" s="6" t="n">
        <v>3.8067</v>
      </c>
      <c r="C122" s="8">
        <f>-PV(B122/100,$B$3,B121/100,1)</f>
        <v/>
      </c>
      <c r="D122" s="8">
        <f>B121/100/12+(C122-1)</f>
        <v/>
      </c>
      <c r="E122" s="8">
        <f>E121*(1+D122)</f>
        <v/>
      </c>
    </row>
    <row r="123">
      <c r="A123" s="8" t="inlineStr">
        <is>
          <t>1880-10-01</t>
        </is>
      </c>
      <c r="B123" s="6" t="n">
        <v>3.78</v>
      </c>
      <c r="C123" s="8">
        <f>-PV(B123/100,$B$3,B122/100,1)</f>
        <v/>
      </c>
      <c r="D123" s="8">
        <f>B122/100/12+(C123-1)</f>
        <v/>
      </c>
      <c r="E123" s="8">
        <f>E122*(1+D123)</f>
        <v/>
      </c>
    </row>
    <row r="124">
      <c r="A124" s="8" t="inlineStr">
        <is>
          <t>1880-11-01</t>
        </is>
      </c>
      <c r="B124" s="6" t="n">
        <v>3.7533</v>
      </c>
      <c r="C124" s="8">
        <f>-PV(B124/100,$B$3,B123/100,1)</f>
        <v/>
      </c>
      <c r="D124" s="8">
        <f>B123/100/12+(C124-1)</f>
        <v/>
      </c>
      <c r="E124" s="8">
        <f>E123*(1+D124)</f>
        <v/>
      </c>
    </row>
    <row r="125">
      <c r="A125" s="8" t="inlineStr">
        <is>
          <t>1880-12-01</t>
        </is>
      </c>
      <c r="B125" s="6" t="n">
        <v>3.7267</v>
      </c>
      <c r="C125" s="8">
        <f>-PV(B125/100,$B$3,B124/100,1)</f>
        <v/>
      </c>
      <c r="D125" s="8">
        <f>B124/100/12+(C125-1)</f>
        <v/>
      </c>
      <c r="E125" s="8">
        <f>E124*(1+D125)</f>
        <v/>
      </c>
    </row>
    <row r="126">
      <c r="A126" s="8" t="inlineStr">
        <is>
          <t>1881-01-01</t>
        </is>
      </c>
      <c r="B126" s="6" t="n">
        <v>3.7</v>
      </c>
      <c r="C126" s="8">
        <f>-PV(B126/100,$B$3,B125/100,1)</f>
        <v/>
      </c>
      <c r="D126" s="8">
        <f>B125/100/12+(C126-1)</f>
        <v/>
      </c>
      <c r="E126" s="8">
        <f>E125*(1+D126)</f>
        <v/>
      </c>
    </row>
    <row r="127">
      <c r="A127" s="8" t="inlineStr">
        <is>
          <t>1881-02-01</t>
        </is>
      </c>
      <c r="B127" s="6" t="n">
        <v>3.6933</v>
      </c>
      <c r="C127" s="8">
        <f>-PV(B127/100,$B$3,B126/100,1)</f>
        <v/>
      </c>
      <c r="D127" s="8">
        <f>B126/100/12+(C127-1)</f>
        <v/>
      </c>
      <c r="E127" s="8">
        <f>E126*(1+D127)</f>
        <v/>
      </c>
    </row>
    <row r="128">
      <c r="A128" s="8" t="inlineStr">
        <is>
          <t>1881-03-01</t>
        </is>
      </c>
      <c r="B128" s="6" t="n">
        <v>3.6867</v>
      </c>
      <c r="C128" s="8">
        <f>-PV(B128/100,$B$3,B127/100,1)</f>
        <v/>
      </c>
      <c r="D128" s="8">
        <f>B127/100/12+(C128-1)</f>
        <v/>
      </c>
      <c r="E128" s="8">
        <f>E127*(1+D128)</f>
        <v/>
      </c>
    </row>
    <row r="129">
      <c r="A129" s="8" t="inlineStr">
        <is>
          <t>1881-04-01</t>
        </is>
      </c>
      <c r="B129" s="6" t="n">
        <v>3.68</v>
      </c>
      <c r="C129" s="8">
        <f>-PV(B129/100,$B$3,B128/100,1)</f>
        <v/>
      </c>
      <c r="D129" s="8">
        <f>B128/100/12+(C129-1)</f>
        <v/>
      </c>
      <c r="E129" s="8">
        <f>E128*(1+D129)</f>
        <v/>
      </c>
    </row>
    <row r="130">
      <c r="A130" s="8" t="inlineStr">
        <is>
          <t>1881-05-01</t>
        </is>
      </c>
      <c r="B130" s="6" t="n">
        <v>3.6733</v>
      </c>
      <c r="C130" s="8">
        <f>-PV(B130/100,$B$3,B129/100,1)</f>
        <v/>
      </c>
      <c r="D130" s="8">
        <f>B129/100/12+(C130-1)</f>
        <v/>
      </c>
      <c r="E130" s="8">
        <f>E129*(1+D130)</f>
        <v/>
      </c>
    </row>
    <row r="131">
      <c r="A131" s="8" t="inlineStr">
        <is>
          <t>1881-06-01</t>
        </is>
      </c>
      <c r="B131" s="6" t="n">
        <v>3.6667</v>
      </c>
      <c r="C131" s="8">
        <f>-PV(B131/100,$B$3,B130/100,1)</f>
        <v/>
      </c>
      <c r="D131" s="8">
        <f>B130/100/12+(C131-1)</f>
        <v/>
      </c>
      <c r="E131" s="8">
        <f>E130*(1+D131)</f>
        <v/>
      </c>
    </row>
    <row r="132">
      <c r="A132" s="8" t="inlineStr">
        <is>
          <t>1881-07-01</t>
        </is>
      </c>
      <c r="B132" s="6" t="n">
        <v>3.66</v>
      </c>
      <c r="C132" s="8">
        <f>-PV(B132/100,$B$3,B131/100,1)</f>
        <v/>
      </c>
      <c r="D132" s="8">
        <f>B131/100/12+(C132-1)</f>
        <v/>
      </c>
      <c r="E132" s="8">
        <f>E131*(1+D132)</f>
        <v/>
      </c>
    </row>
    <row r="133">
      <c r="A133" s="8" t="inlineStr">
        <is>
          <t>1881-08-01</t>
        </is>
      </c>
      <c r="B133" s="6" t="n">
        <v>3.6533</v>
      </c>
      <c r="C133" s="8">
        <f>-PV(B133/100,$B$3,B132/100,1)</f>
        <v/>
      </c>
      <c r="D133" s="8">
        <f>B132/100/12+(C133-1)</f>
        <v/>
      </c>
      <c r="E133" s="8">
        <f>E132*(1+D133)</f>
        <v/>
      </c>
    </row>
    <row r="134">
      <c r="A134" s="8" t="inlineStr">
        <is>
          <t>1881-09-01</t>
        </is>
      </c>
      <c r="B134" s="6" t="n">
        <v>3.6467</v>
      </c>
      <c r="C134" s="8">
        <f>-PV(B134/100,$B$3,B133/100,1)</f>
        <v/>
      </c>
      <c r="D134" s="8">
        <f>B133/100/12+(C134-1)</f>
        <v/>
      </c>
      <c r="E134" s="8">
        <f>E133*(1+D134)</f>
        <v/>
      </c>
    </row>
    <row r="135">
      <c r="A135" s="8" t="inlineStr">
        <is>
          <t>1881-10-01</t>
        </is>
      </c>
      <c r="B135" s="6" t="n">
        <v>3.64</v>
      </c>
      <c r="C135" s="8">
        <f>-PV(B135/100,$B$3,B134/100,1)</f>
        <v/>
      </c>
      <c r="D135" s="8">
        <f>B134/100/12+(C135-1)</f>
        <v/>
      </c>
      <c r="E135" s="8">
        <f>E134*(1+D135)</f>
        <v/>
      </c>
    </row>
    <row r="136">
      <c r="A136" s="8" t="inlineStr">
        <is>
          <t>1881-11-01</t>
        </is>
      </c>
      <c r="B136" s="6" t="n">
        <v>3.6333</v>
      </c>
      <c r="C136" s="8">
        <f>-PV(B136/100,$B$3,B135/100,1)</f>
        <v/>
      </c>
      <c r="D136" s="8">
        <f>B135/100/12+(C136-1)</f>
        <v/>
      </c>
      <c r="E136" s="8">
        <f>E135*(1+D136)</f>
        <v/>
      </c>
    </row>
    <row r="137">
      <c r="A137" s="8" t="inlineStr">
        <is>
          <t>1881-12-01</t>
        </is>
      </c>
      <c r="B137" s="6" t="n">
        <v>3.6267</v>
      </c>
      <c r="C137" s="8">
        <f>-PV(B137/100,$B$3,B136/100,1)</f>
        <v/>
      </c>
      <c r="D137" s="8">
        <f>B136/100/12+(C137-1)</f>
        <v/>
      </c>
      <c r="E137" s="8">
        <f>E136*(1+D137)</f>
        <v/>
      </c>
    </row>
    <row r="138">
      <c r="A138" s="8" t="inlineStr">
        <is>
          <t>1882-01-01</t>
        </is>
      </c>
      <c r="B138" s="6" t="n">
        <v>3.62</v>
      </c>
      <c r="C138" s="8">
        <f>-PV(B138/100,$B$3,B137/100,1)</f>
        <v/>
      </c>
      <c r="D138" s="8">
        <f>B137/100/12+(C138-1)</f>
        <v/>
      </c>
      <c r="E138" s="8">
        <f>E137*(1+D138)</f>
        <v/>
      </c>
    </row>
    <row r="139">
      <c r="A139" s="8" t="inlineStr">
        <is>
          <t>1882-02-01</t>
        </is>
      </c>
      <c r="B139" s="6" t="n">
        <v>3.6208</v>
      </c>
      <c r="C139" s="8">
        <f>-PV(B139/100,$B$3,B138/100,1)</f>
        <v/>
      </c>
      <c r="D139" s="8">
        <f>B138/100/12+(C139-1)</f>
        <v/>
      </c>
      <c r="E139" s="8">
        <f>E138*(1+D139)</f>
        <v/>
      </c>
    </row>
    <row r="140">
      <c r="A140" s="8" t="inlineStr">
        <is>
          <t>1882-03-01</t>
        </is>
      </c>
      <c r="B140" s="6" t="n">
        <v>3.6217</v>
      </c>
      <c r="C140" s="8">
        <f>-PV(B140/100,$B$3,B139/100,1)</f>
        <v/>
      </c>
      <c r="D140" s="8">
        <f>B139/100/12+(C140-1)</f>
        <v/>
      </c>
      <c r="E140" s="8">
        <f>E139*(1+D140)</f>
        <v/>
      </c>
    </row>
    <row r="141">
      <c r="A141" s="8" t="inlineStr">
        <is>
          <t>1882-04-01</t>
        </is>
      </c>
      <c r="B141" s="6" t="n">
        <v>3.6225</v>
      </c>
      <c r="C141" s="8">
        <f>-PV(B141/100,$B$3,B140/100,1)</f>
        <v/>
      </c>
      <c r="D141" s="8">
        <f>B140/100/12+(C141-1)</f>
        <v/>
      </c>
      <c r="E141" s="8">
        <f>E140*(1+D141)</f>
        <v/>
      </c>
    </row>
    <row r="142">
      <c r="A142" s="8" t="inlineStr">
        <is>
          <t>1882-05-01</t>
        </is>
      </c>
      <c r="B142" s="6" t="n">
        <v>3.6233</v>
      </c>
      <c r="C142" s="8">
        <f>-PV(B142/100,$B$3,B141/100,1)</f>
        <v/>
      </c>
      <c r="D142" s="8">
        <f>B141/100/12+(C142-1)</f>
        <v/>
      </c>
      <c r="E142" s="8">
        <f>E141*(1+D142)</f>
        <v/>
      </c>
    </row>
    <row r="143">
      <c r="A143" s="8" t="inlineStr">
        <is>
          <t>1882-06-01</t>
        </is>
      </c>
      <c r="B143" s="6" t="n">
        <v>3.6242</v>
      </c>
      <c r="C143" s="8">
        <f>-PV(B143/100,$B$3,B142/100,1)</f>
        <v/>
      </c>
      <c r="D143" s="8">
        <f>B142/100/12+(C143-1)</f>
        <v/>
      </c>
      <c r="E143" s="8">
        <f>E142*(1+D143)</f>
        <v/>
      </c>
    </row>
    <row r="144">
      <c r="A144" s="8" t="inlineStr">
        <is>
          <t>1882-07-01</t>
        </is>
      </c>
      <c r="B144" s="6" t="n">
        <v>3.625</v>
      </c>
      <c r="C144" s="8">
        <f>-PV(B144/100,$B$3,B143/100,1)</f>
        <v/>
      </c>
      <c r="D144" s="8">
        <f>B143/100/12+(C144-1)</f>
        <v/>
      </c>
      <c r="E144" s="8">
        <f>E143*(1+D144)</f>
        <v/>
      </c>
    </row>
    <row r="145">
      <c r="A145" s="8" t="inlineStr">
        <is>
          <t>1882-08-01</t>
        </is>
      </c>
      <c r="B145" s="6" t="n">
        <v>3.6258</v>
      </c>
      <c r="C145" s="8">
        <f>-PV(B145/100,$B$3,B144/100,1)</f>
        <v/>
      </c>
      <c r="D145" s="8">
        <f>B144/100/12+(C145-1)</f>
        <v/>
      </c>
      <c r="E145" s="8">
        <f>E144*(1+D145)</f>
        <v/>
      </c>
    </row>
    <row r="146">
      <c r="A146" s="8" t="inlineStr">
        <is>
          <t>1882-09-01</t>
        </is>
      </c>
      <c r="B146" s="6" t="n">
        <v>3.6267</v>
      </c>
      <c r="C146" s="8">
        <f>-PV(B146/100,$B$3,B145/100,1)</f>
        <v/>
      </c>
      <c r="D146" s="8">
        <f>B145/100/12+(C146-1)</f>
        <v/>
      </c>
      <c r="E146" s="8">
        <f>E145*(1+D146)</f>
        <v/>
      </c>
    </row>
    <row r="147">
      <c r="A147" s="8" t="inlineStr">
        <is>
          <t>1882-10-01</t>
        </is>
      </c>
      <c r="B147" s="6" t="n">
        <v>3.6275</v>
      </c>
      <c r="C147" s="8">
        <f>-PV(B147/100,$B$3,B146/100,1)</f>
        <v/>
      </c>
      <c r="D147" s="8">
        <f>B146/100/12+(C147-1)</f>
        <v/>
      </c>
      <c r="E147" s="8">
        <f>E146*(1+D147)</f>
        <v/>
      </c>
    </row>
    <row r="148">
      <c r="A148" s="8" t="inlineStr">
        <is>
          <t>1882-11-01</t>
        </is>
      </c>
      <c r="B148" s="6" t="n">
        <v>3.6283</v>
      </c>
      <c r="C148" s="8">
        <f>-PV(B148/100,$B$3,B147/100,1)</f>
        <v/>
      </c>
      <c r="D148" s="8">
        <f>B147/100/12+(C148-1)</f>
        <v/>
      </c>
      <c r="E148" s="8">
        <f>E147*(1+D148)</f>
        <v/>
      </c>
    </row>
    <row r="149">
      <c r="A149" s="8" t="inlineStr">
        <is>
          <t>1882-12-01</t>
        </is>
      </c>
      <c r="B149" s="6" t="n">
        <v>3.6292</v>
      </c>
      <c r="C149" s="8">
        <f>-PV(B149/100,$B$3,B148/100,1)</f>
        <v/>
      </c>
      <c r="D149" s="8">
        <f>B148/100/12+(C149-1)</f>
        <v/>
      </c>
      <c r="E149" s="8">
        <f>E148*(1+D149)</f>
        <v/>
      </c>
    </row>
    <row r="150">
      <c r="A150" s="8" t="inlineStr">
        <is>
          <t>1883-01-01</t>
        </is>
      </c>
      <c r="B150" s="6" t="n">
        <v>3.63</v>
      </c>
      <c r="C150" s="8">
        <f>-PV(B150/100,$B$3,B149/100,1)</f>
        <v/>
      </c>
      <c r="D150" s="8">
        <f>B149/100/12+(C150-1)</f>
        <v/>
      </c>
      <c r="E150" s="8">
        <f>E149*(1+D150)</f>
        <v/>
      </c>
    </row>
    <row r="151">
      <c r="A151" s="8" t="inlineStr">
        <is>
          <t>1883-02-01</t>
        </is>
      </c>
      <c r="B151" s="6" t="n">
        <v>3.6292</v>
      </c>
      <c r="C151" s="8">
        <f>-PV(B151/100,$B$3,B150/100,1)</f>
        <v/>
      </c>
      <c r="D151" s="8">
        <f>B150/100/12+(C151-1)</f>
        <v/>
      </c>
      <c r="E151" s="8">
        <f>E150*(1+D151)</f>
        <v/>
      </c>
    </row>
    <row r="152">
      <c r="A152" s="8" t="inlineStr">
        <is>
          <t>1883-03-01</t>
        </is>
      </c>
      <c r="B152" s="6" t="n">
        <v>3.6283</v>
      </c>
      <c r="C152" s="8">
        <f>-PV(B152/100,$B$3,B151/100,1)</f>
        <v/>
      </c>
      <c r="D152" s="8">
        <f>B151/100/12+(C152-1)</f>
        <v/>
      </c>
      <c r="E152" s="8">
        <f>E151*(1+D152)</f>
        <v/>
      </c>
    </row>
    <row r="153">
      <c r="A153" s="8" t="inlineStr">
        <is>
          <t>1883-04-01</t>
        </is>
      </c>
      <c r="B153" s="6" t="n">
        <v>3.6275</v>
      </c>
      <c r="C153" s="8">
        <f>-PV(B153/100,$B$3,B152/100,1)</f>
        <v/>
      </c>
      <c r="D153" s="8">
        <f>B152/100/12+(C153-1)</f>
        <v/>
      </c>
      <c r="E153" s="8">
        <f>E152*(1+D153)</f>
        <v/>
      </c>
    </row>
    <row r="154">
      <c r="A154" s="8" t="inlineStr">
        <is>
          <t>1883-05-01</t>
        </is>
      </c>
      <c r="B154" s="6" t="n">
        <v>3.6267</v>
      </c>
      <c r="C154" s="8">
        <f>-PV(B154/100,$B$3,B153/100,1)</f>
        <v/>
      </c>
      <c r="D154" s="8">
        <f>B153/100/12+(C154-1)</f>
        <v/>
      </c>
      <c r="E154" s="8">
        <f>E153*(1+D154)</f>
        <v/>
      </c>
    </row>
    <row r="155">
      <c r="A155" s="8" t="inlineStr">
        <is>
          <t>1883-06-01</t>
        </is>
      </c>
      <c r="B155" s="6" t="n">
        <v>3.6258</v>
      </c>
      <c r="C155" s="8">
        <f>-PV(B155/100,$B$3,B154/100,1)</f>
        <v/>
      </c>
      <c r="D155" s="8">
        <f>B154/100/12+(C155-1)</f>
        <v/>
      </c>
      <c r="E155" s="8">
        <f>E154*(1+D155)</f>
        <v/>
      </c>
    </row>
    <row r="156">
      <c r="A156" s="8" t="inlineStr">
        <is>
          <t>1883-07-01</t>
        </is>
      </c>
      <c r="B156" s="6" t="n">
        <v>3.625</v>
      </c>
      <c r="C156" s="8">
        <f>-PV(B156/100,$B$3,B155/100,1)</f>
        <v/>
      </c>
      <c r="D156" s="8">
        <f>B155/100/12+(C156-1)</f>
        <v/>
      </c>
      <c r="E156" s="8">
        <f>E155*(1+D156)</f>
        <v/>
      </c>
    </row>
    <row r="157">
      <c r="A157" s="8" t="inlineStr">
        <is>
          <t>1883-08-01</t>
        </is>
      </c>
      <c r="B157" s="6" t="n">
        <v>3.6242</v>
      </c>
      <c r="C157" s="8">
        <f>-PV(B157/100,$B$3,B156/100,1)</f>
        <v/>
      </c>
      <c r="D157" s="8">
        <f>B156/100/12+(C157-1)</f>
        <v/>
      </c>
      <c r="E157" s="8">
        <f>E156*(1+D157)</f>
        <v/>
      </c>
    </row>
    <row r="158">
      <c r="A158" s="8" t="inlineStr">
        <is>
          <t>1883-09-01</t>
        </is>
      </c>
      <c r="B158" s="6" t="n">
        <v>3.6233</v>
      </c>
      <c r="C158" s="8">
        <f>-PV(B158/100,$B$3,B157/100,1)</f>
        <v/>
      </c>
      <c r="D158" s="8">
        <f>B157/100/12+(C158-1)</f>
        <v/>
      </c>
      <c r="E158" s="8">
        <f>E157*(1+D158)</f>
        <v/>
      </c>
    </row>
    <row r="159">
      <c r="A159" s="8" t="inlineStr">
        <is>
          <t>1883-10-01</t>
        </is>
      </c>
      <c r="B159" s="6" t="n">
        <v>3.6225</v>
      </c>
      <c r="C159" s="8">
        <f>-PV(B159/100,$B$3,B158/100,1)</f>
        <v/>
      </c>
      <c r="D159" s="8">
        <f>B158/100/12+(C159-1)</f>
        <v/>
      </c>
      <c r="E159" s="8">
        <f>E158*(1+D159)</f>
        <v/>
      </c>
    </row>
    <row r="160">
      <c r="A160" s="8" t="inlineStr">
        <is>
          <t>1883-11-01</t>
        </is>
      </c>
      <c r="B160" s="6" t="n">
        <v>3.6217</v>
      </c>
      <c r="C160" s="8">
        <f>-PV(B160/100,$B$3,B159/100,1)</f>
        <v/>
      </c>
      <c r="D160" s="8">
        <f>B159/100/12+(C160-1)</f>
        <v/>
      </c>
      <c r="E160" s="8">
        <f>E159*(1+D160)</f>
        <v/>
      </c>
    </row>
    <row r="161">
      <c r="A161" s="8" t="inlineStr">
        <is>
          <t>1883-12-01</t>
        </is>
      </c>
      <c r="B161" s="6" t="n">
        <v>3.6208</v>
      </c>
      <c r="C161" s="8">
        <f>-PV(B161/100,$B$3,B160/100,1)</f>
        <v/>
      </c>
      <c r="D161" s="8">
        <f>B160/100/12+(C161-1)</f>
        <v/>
      </c>
      <c r="E161" s="8">
        <f>E160*(1+D161)</f>
        <v/>
      </c>
    </row>
    <row r="162">
      <c r="A162" s="8" t="inlineStr">
        <is>
          <t>1884-01-01</t>
        </is>
      </c>
      <c r="B162" s="6" t="n">
        <v>3.62</v>
      </c>
      <c r="C162" s="8">
        <f>-PV(B162/100,$B$3,B161/100,1)</f>
        <v/>
      </c>
      <c r="D162" s="8">
        <f>B161/100/12+(C162-1)</f>
        <v/>
      </c>
      <c r="E162" s="8">
        <f>E161*(1+D162)</f>
        <v/>
      </c>
    </row>
    <row r="163">
      <c r="A163" s="8" t="inlineStr">
        <is>
          <t>1884-02-01</t>
        </is>
      </c>
      <c r="B163" s="6" t="n">
        <v>3.6117</v>
      </c>
      <c r="C163" s="8">
        <f>-PV(B163/100,$B$3,B162/100,1)</f>
        <v/>
      </c>
      <c r="D163" s="8">
        <f>B162/100/12+(C163-1)</f>
        <v/>
      </c>
      <c r="E163" s="8">
        <f>E162*(1+D163)</f>
        <v/>
      </c>
    </row>
    <row r="164">
      <c r="A164" s="8" t="inlineStr">
        <is>
          <t>1884-03-01</t>
        </is>
      </c>
      <c r="B164" s="6" t="n">
        <v>3.6033</v>
      </c>
      <c r="C164" s="8">
        <f>-PV(B164/100,$B$3,B163/100,1)</f>
        <v/>
      </c>
      <c r="D164" s="8">
        <f>B163/100/12+(C164-1)</f>
        <v/>
      </c>
      <c r="E164" s="8">
        <f>E163*(1+D164)</f>
        <v/>
      </c>
    </row>
    <row r="165">
      <c r="A165" s="8" t="inlineStr">
        <is>
          <t>1884-04-01</t>
        </is>
      </c>
      <c r="B165" s="6" t="n">
        <v>3.595</v>
      </c>
      <c r="C165" s="8">
        <f>-PV(B165/100,$B$3,B164/100,1)</f>
        <v/>
      </c>
      <c r="D165" s="8">
        <f>B164/100/12+(C165-1)</f>
        <v/>
      </c>
      <c r="E165" s="8">
        <f>E164*(1+D165)</f>
        <v/>
      </c>
    </row>
    <row r="166">
      <c r="A166" s="8" t="inlineStr">
        <is>
          <t>1884-05-01</t>
        </is>
      </c>
      <c r="B166" s="6" t="n">
        <v>3.5867</v>
      </c>
      <c r="C166" s="8">
        <f>-PV(B166/100,$B$3,B165/100,1)</f>
        <v/>
      </c>
      <c r="D166" s="8">
        <f>B165/100/12+(C166-1)</f>
        <v/>
      </c>
      <c r="E166" s="8">
        <f>E165*(1+D166)</f>
        <v/>
      </c>
    </row>
    <row r="167">
      <c r="A167" s="8" t="inlineStr">
        <is>
          <t>1884-06-01</t>
        </is>
      </c>
      <c r="B167" s="6" t="n">
        <v>3.5783</v>
      </c>
      <c r="C167" s="8">
        <f>-PV(B167/100,$B$3,B166/100,1)</f>
        <v/>
      </c>
      <c r="D167" s="8">
        <f>B166/100/12+(C167-1)</f>
        <v/>
      </c>
      <c r="E167" s="8">
        <f>E166*(1+D167)</f>
        <v/>
      </c>
    </row>
    <row r="168">
      <c r="A168" s="8" t="inlineStr">
        <is>
          <t>1884-07-01</t>
        </is>
      </c>
      <c r="B168" s="6" t="n">
        <v>3.57</v>
      </c>
      <c r="C168" s="8">
        <f>-PV(B168/100,$B$3,B167/100,1)</f>
        <v/>
      </c>
      <c r="D168" s="8">
        <f>B167/100/12+(C168-1)</f>
        <v/>
      </c>
      <c r="E168" s="8">
        <f>E167*(1+D168)</f>
        <v/>
      </c>
    </row>
    <row r="169">
      <c r="A169" s="8" t="inlineStr">
        <is>
          <t>1884-08-01</t>
        </is>
      </c>
      <c r="B169" s="6" t="n">
        <v>3.5617</v>
      </c>
      <c r="C169" s="8">
        <f>-PV(B169/100,$B$3,B168/100,1)</f>
        <v/>
      </c>
      <c r="D169" s="8">
        <f>B168/100/12+(C169-1)</f>
        <v/>
      </c>
      <c r="E169" s="8">
        <f>E168*(1+D169)</f>
        <v/>
      </c>
    </row>
    <row r="170">
      <c r="A170" s="8" t="inlineStr">
        <is>
          <t>1884-09-01</t>
        </is>
      </c>
      <c r="B170" s="6" t="n">
        <v>3.5533</v>
      </c>
      <c r="C170" s="8">
        <f>-PV(B170/100,$B$3,B169/100,1)</f>
        <v/>
      </c>
      <c r="D170" s="8">
        <f>B169/100/12+(C170-1)</f>
        <v/>
      </c>
      <c r="E170" s="8">
        <f>E169*(1+D170)</f>
        <v/>
      </c>
    </row>
    <row r="171">
      <c r="A171" s="8" t="inlineStr">
        <is>
          <t>1884-10-01</t>
        </is>
      </c>
      <c r="B171" s="6" t="n">
        <v>3.545</v>
      </c>
      <c r="C171" s="8">
        <f>-PV(B171/100,$B$3,B170/100,1)</f>
        <v/>
      </c>
      <c r="D171" s="8">
        <f>B170/100/12+(C171-1)</f>
        <v/>
      </c>
      <c r="E171" s="8">
        <f>E170*(1+D171)</f>
        <v/>
      </c>
    </row>
    <row r="172">
      <c r="A172" s="8" t="inlineStr">
        <is>
          <t>1884-11-01</t>
        </is>
      </c>
      <c r="B172" s="6" t="n">
        <v>3.5367</v>
      </c>
      <c r="C172" s="8">
        <f>-PV(B172/100,$B$3,B171/100,1)</f>
        <v/>
      </c>
      <c r="D172" s="8">
        <f>B171/100/12+(C172-1)</f>
        <v/>
      </c>
      <c r="E172" s="8">
        <f>E171*(1+D172)</f>
        <v/>
      </c>
    </row>
    <row r="173">
      <c r="A173" s="8" t="inlineStr">
        <is>
          <t>1884-12-01</t>
        </is>
      </c>
      <c r="B173" s="6" t="n">
        <v>3.5283</v>
      </c>
      <c r="C173" s="8">
        <f>-PV(B173/100,$B$3,B172/100,1)</f>
        <v/>
      </c>
      <c r="D173" s="8">
        <f>B172/100/12+(C173-1)</f>
        <v/>
      </c>
      <c r="E173" s="8">
        <f>E172*(1+D173)</f>
        <v/>
      </c>
    </row>
    <row r="174">
      <c r="A174" s="8" t="inlineStr">
        <is>
          <t>1885-01-01</t>
        </is>
      </c>
      <c r="B174" s="6" t="n">
        <v>3.52</v>
      </c>
      <c r="C174" s="8">
        <f>-PV(B174/100,$B$3,B173/100,1)</f>
        <v/>
      </c>
      <c r="D174" s="8">
        <f>B173/100/12+(C174-1)</f>
        <v/>
      </c>
      <c r="E174" s="8">
        <f>E173*(1+D174)</f>
        <v/>
      </c>
    </row>
    <row r="175">
      <c r="A175" s="8" t="inlineStr">
        <is>
          <t>1885-02-01</t>
        </is>
      </c>
      <c r="B175" s="6" t="n">
        <v>3.5075</v>
      </c>
      <c r="C175" s="8">
        <f>-PV(B175/100,$B$3,B174/100,1)</f>
        <v/>
      </c>
      <c r="D175" s="8">
        <f>B174/100/12+(C175-1)</f>
        <v/>
      </c>
      <c r="E175" s="8">
        <f>E174*(1+D175)</f>
        <v/>
      </c>
    </row>
    <row r="176">
      <c r="A176" s="8" t="inlineStr">
        <is>
          <t>1885-03-01</t>
        </is>
      </c>
      <c r="B176" s="6" t="n">
        <v>3.495</v>
      </c>
      <c r="C176" s="8">
        <f>-PV(B176/100,$B$3,B175/100,1)</f>
        <v/>
      </c>
      <c r="D176" s="8">
        <f>B175/100/12+(C176-1)</f>
        <v/>
      </c>
      <c r="E176" s="8">
        <f>E175*(1+D176)</f>
        <v/>
      </c>
    </row>
    <row r="177">
      <c r="A177" s="8" t="inlineStr">
        <is>
          <t>1885-04-01</t>
        </is>
      </c>
      <c r="B177" s="6" t="n">
        <v>3.4825</v>
      </c>
      <c r="C177" s="8">
        <f>-PV(B177/100,$B$3,B176/100,1)</f>
        <v/>
      </c>
      <c r="D177" s="8">
        <f>B176/100/12+(C177-1)</f>
        <v/>
      </c>
      <c r="E177" s="8">
        <f>E176*(1+D177)</f>
        <v/>
      </c>
    </row>
    <row r="178">
      <c r="A178" s="8" t="inlineStr">
        <is>
          <t>1885-05-01</t>
        </is>
      </c>
      <c r="B178" s="6" t="n">
        <v>3.47</v>
      </c>
      <c r="C178" s="8">
        <f>-PV(B178/100,$B$3,B177/100,1)</f>
        <v/>
      </c>
      <c r="D178" s="8">
        <f>B177/100/12+(C178-1)</f>
        <v/>
      </c>
      <c r="E178" s="8">
        <f>E177*(1+D178)</f>
        <v/>
      </c>
    </row>
    <row r="179">
      <c r="A179" s="8" t="inlineStr">
        <is>
          <t>1885-06-01</t>
        </is>
      </c>
      <c r="B179" s="6" t="n">
        <v>3.4575</v>
      </c>
      <c r="C179" s="8">
        <f>-PV(B179/100,$B$3,B178/100,1)</f>
        <v/>
      </c>
      <c r="D179" s="8">
        <f>B178/100/12+(C179-1)</f>
        <v/>
      </c>
      <c r="E179" s="8">
        <f>E178*(1+D179)</f>
        <v/>
      </c>
    </row>
    <row r="180">
      <c r="A180" s="8" t="inlineStr">
        <is>
          <t>1885-07-01</t>
        </is>
      </c>
      <c r="B180" s="6" t="n">
        <v>3.445</v>
      </c>
      <c r="C180" s="8">
        <f>-PV(B180/100,$B$3,B179/100,1)</f>
        <v/>
      </c>
      <c r="D180" s="8">
        <f>B179/100/12+(C180-1)</f>
        <v/>
      </c>
      <c r="E180" s="8">
        <f>E179*(1+D180)</f>
        <v/>
      </c>
    </row>
    <row r="181">
      <c r="A181" s="8" t="inlineStr">
        <is>
          <t>1885-08-01</t>
        </is>
      </c>
      <c r="B181" s="6" t="n">
        <v>3.4325</v>
      </c>
      <c r="C181" s="8">
        <f>-PV(B181/100,$B$3,B180/100,1)</f>
        <v/>
      </c>
      <c r="D181" s="8">
        <f>B180/100/12+(C181-1)</f>
        <v/>
      </c>
      <c r="E181" s="8">
        <f>E180*(1+D181)</f>
        <v/>
      </c>
    </row>
    <row r="182">
      <c r="A182" s="8" t="inlineStr">
        <is>
          <t>1885-09-01</t>
        </is>
      </c>
      <c r="B182" s="6" t="n">
        <v>3.42</v>
      </c>
      <c r="C182" s="8">
        <f>-PV(B182/100,$B$3,B181/100,1)</f>
        <v/>
      </c>
      <c r="D182" s="8">
        <f>B181/100/12+(C182-1)</f>
        <v/>
      </c>
      <c r="E182" s="8">
        <f>E181*(1+D182)</f>
        <v/>
      </c>
    </row>
    <row r="183">
      <c r="A183" s="8" t="inlineStr">
        <is>
          <t>1885-10-01</t>
        </is>
      </c>
      <c r="B183" s="6" t="n">
        <v>3.4075</v>
      </c>
      <c r="C183" s="8">
        <f>-PV(B183/100,$B$3,B182/100,1)</f>
        <v/>
      </c>
      <c r="D183" s="8">
        <f>B182/100/12+(C183-1)</f>
        <v/>
      </c>
      <c r="E183" s="8">
        <f>E182*(1+D183)</f>
        <v/>
      </c>
    </row>
    <row r="184">
      <c r="A184" s="8" t="inlineStr">
        <is>
          <t>1885-11-01</t>
        </is>
      </c>
      <c r="B184" s="6" t="n">
        <v>3.395</v>
      </c>
      <c r="C184" s="8">
        <f>-PV(B184/100,$B$3,B183/100,1)</f>
        <v/>
      </c>
      <c r="D184" s="8">
        <f>B183/100/12+(C184-1)</f>
        <v/>
      </c>
      <c r="E184" s="8">
        <f>E183*(1+D184)</f>
        <v/>
      </c>
    </row>
    <row r="185">
      <c r="A185" s="8" t="inlineStr">
        <is>
          <t>1885-12-01</t>
        </is>
      </c>
      <c r="B185" s="6" t="n">
        <v>3.3825</v>
      </c>
      <c r="C185" s="8">
        <f>-PV(B185/100,$B$3,B184/100,1)</f>
        <v/>
      </c>
      <c r="D185" s="8">
        <f>B184/100/12+(C185-1)</f>
        <v/>
      </c>
      <c r="E185" s="8">
        <f>E184*(1+D185)</f>
        <v/>
      </c>
    </row>
    <row r="186">
      <c r="A186" s="8" t="inlineStr">
        <is>
          <t>1886-01-01</t>
        </is>
      </c>
      <c r="B186" s="6" t="n">
        <v>3.37</v>
      </c>
      <c r="C186" s="8">
        <f>-PV(B186/100,$B$3,B185/100,1)</f>
        <v/>
      </c>
      <c r="D186" s="8">
        <f>B185/100/12+(C186-1)</f>
        <v/>
      </c>
      <c r="E186" s="8">
        <f>E185*(1+D186)</f>
        <v/>
      </c>
    </row>
    <row r="187">
      <c r="A187" s="8" t="inlineStr">
        <is>
          <t>1886-02-01</t>
        </is>
      </c>
      <c r="B187" s="6" t="n">
        <v>3.3825</v>
      </c>
      <c r="C187" s="8">
        <f>-PV(B187/100,$B$3,B186/100,1)</f>
        <v/>
      </c>
      <c r="D187" s="8">
        <f>B186/100/12+(C187-1)</f>
        <v/>
      </c>
      <c r="E187" s="8">
        <f>E186*(1+D187)</f>
        <v/>
      </c>
    </row>
    <row r="188">
      <c r="A188" s="8" t="inlineStr">
        <is>
          <t>1886-03-01</t>
        </is>
      </c>
      <c r="B188" s="6" t="n">
        <v>3.395</v>
      </c>
      <c r="C188" s="8">
        <f>-PV(B188/100,$B$3,B187/100,1)</f>
        <v/>
      </c>
      <c r="D188" s="8">
        <f>B187/100/12+(C188-1)</f>
        <v/>
      </c>
      <c r="E188" s="8">
        <f>E187*(1+D188)</f>
        <v/>
      </c>
    </row>
    <row r="189">
      <c r="A189" s="8" t="inlineStr">
        <is>
          <t>1886-04-01</t>
        </is>
      </c>
      <c r="B189" s="6" t="n">
        <v>3.4075</v>
      </c>
      <c r="C189" s="8">
        <f>-PV(B189/100,$B$3,B188/100,1)</f>
        <v/>
      </c>
      <c r="D189" s="8">
        <f>B188/100/12+(C189-1)</f>
        <v/>
      </c>
      <c r="E189" s="8">
        <f>E188*(1+D189)</f>
        <v/>
      </c>
    </row>
    <row r="190">
      <c r="A190" s="8" t="inlineStr">
        <is>
          <t>1886-05-01</t>
        </is>
      </c>
      <c r="B190" s="6" t="n">
        <v>3.42</v>
      </c>
      <c r="C190" s="8">
        <f>-PV(B190/100,$B$3,B189/100,1)</f>
        <v/>
      </c>
      <c r="D190" s="8">
        <f>B189/100/12+(C190-1)</f>
        <v/>
      </c>
      <c r="E190" s="8">
        <f>E189*(1+D190)</f>
        <v/>
      </c>
    </row>
    <row r="191">
      <c r="A191" s="8" t="inlineStr">
        <is>
          <t>1886-06-01</t>
        </is>
      </c>
      <c r="B191" s="6" t="n">
        <v>3.4325</v>
      </c>
      <c r="C191" s="8">
        <f>-PV(B191/100,$B$3,B190/100,1)</f>
        <v/>
      </c>
      <c r="D191" s="8">
        <f>B190/100/12+(C191-1)</f>
        <v/>
      </c>
      <c r="E191" s="8">
        <f>E190*(1+D191)</f>
        <v/>
      </c>
    </row>
    <row r="192">
      <c r="A192" s="8" t="inlineStr">
        <is>
          <t>1886-07-01</t>
        </is>
      </c>
      <c r="B192" s="6" t="n">
        <v>3.445</v>
      </c>
      <c r="C192" s="8">
        <f>-PV(B192/100,$B$3,B191/100,1)</f>
        <v/>
      </c>
      <c r="D192" s="8">
        <f>B191/100/12+(C192-1)</f>
        <v/>
      </c>
      <c r="E192" s="8">
        <f>E191*(1+D192)</f>
        <v/>
      </c>
    </row>
    <row r="193">
      <c r="A193" s="8" t="inlineStr">
        <is>
          <t>1886-08-01</t>
        </is>
      </c>
      <c r="B193" s="6" t="n">
        <v>3.4575</v>
      </c>
      <c r="C193" s="8">
        <f>-PV(B193/100,$B$3,B192/100,1)</f>
        <v/>
      </c>
      <c r="D193" s="8">
        <f>B192/100/12+(C193-1)</f>
        <v/>
      </c>
      <c r="E193" s="8">
        <f>E192*(1+D193)</f>
        <v/>
      </c>
    </row>
    <row r="194">
      <c r="A194" s="8" t="inlineStr">
        <is>
          <t>1886-09-01</t>
        </is>
      </c>
      <c r="B194" s="6" t="n">
        <v>3.47</v>
      </c>
      <c r="C194" s="8">
        <f>-PV(B194/100,$B$3,B193/100,1)</f>
        <v/>
      </c>
      <c r="D194" s="8">
        <f>B193/100/12+(C194-1)</f>
        <v/>
      </c>
      <c r="E194" s="8">
        <f>E193*(1+D194)</f>
        <v/>
      </c>
    </row>
    <row r="195">
      <c r="A195" s="8" t="inlineStr">
        <is>
          <t>1886-10-01</t>
        </is>
      </c>
      <c r="B195" s="6" t="n">
        <v>3.4825</v>
      </c>
      <c r="C195" s="8">
        <f>-PV(B195/100,$B$3,B194/100,1)</f>
        <v/>
      </c>
      <c r="D195" s="8">
        <f>B194/100/12+(C195-1)</f>
        <v/>
      </c>
      <c r="E195" s="8">
        <f>E194*(1+D195)</f>
        <v/>
      </c>
    </row>
    <row r="196">
      <c r="A196" s="8" t="inlineStr">
        <is>
          <t>1886-11-01</t>
        </is>
      </c>
      <c r="B196" s="6" t="n">
        <v>3.495</v>
      </c>
      <c r="C196" s="8">
        <f>-PV(B196/100,$B$3,B195/100,1)</f>
        <v/>
      </c>
      <c r="D196" s="8">
        <f>B195/100/12+(C196-1)</f>
        <v/>
      </c>
      <c r="E196" s="8">
        <f>E195*(1+D196)</f>
        <v/>
      </c>
    </row>
    <row r="197">
      <c r="A197" s="8" t="inlineStr">
        <is>
          <t>1886-12-01</t>
        </is>
      </c>
      <c r="B197" s="6" t="n">
        <v>3.5075</v>
      </c>
      <c r="C197" s="8">
        <f>-PV(B197/100,$B$3,B196/100,1)</f>
        <v/>
      </c>
      <c r="D197" s="8">
        <f>B196/100/12+(C197-1)</f>
        <v/>
      </c>
      <c r="E197" s="8">
        <f>E196*(1+D197)</f>
        <v/>
      </c>
    </row>
    <row r="198">
      <c r="A198" s="8" t="inlineStr">
        <is>
          <t>1887-01-01</t>
        </is>
      </c>
      <c r="B198" s="6" t="n">
        <v>3.52</v>
      </c>
      <c r="C198" s="8">
        <f>-PV(B198/100,$B$3,B197/100,1)</f>
        <v/>
      </c>
      <c r="D198" s="8">
        <f>B197/100/12+(C198-1)</f>
        <v/>
      </c>
      <c r="E198" s="8">
        <f>E197*(1+D198)</f>
        <v/>
      </c>
    </row>
    <row r="199">
      <c r="A199" s="8" t="inlineStr">
        <is>
          <t>1887-02-01</t>
        </is>
      </c>
      <c r="B199" s="6" t="n">
        <v>3.5325</v>
      </c>
      <c r="C199" s="8">
        <f>-PV(B199/100,$B$3,B198/100,1)</f>
        <v/>
      </c>
      <c r="D199" s="8">
        <f>B198/100/12+(C199-1)</f>
        <v/>
      </c>
      <c r="E199" s="8">
        <f>E198*(1+D199)</f>
        <v/>
      </c>
    </row>
    <row r="200">
      <c r="A200" s="8" t="inlineStr">
        <is>
          <t>1887-03-01</t>
        </is>
      </c>
      <c r="B200" s="6" t="n">
        <v>3.545</v>
      </c>
      <c r="C200" s="8">
        <f>-PV(B200/100,$B$3,B199/100,1)</f>
        <v/>
      </c>
      <c r="D200" s="8">
        <f>B199/100/12+(C200-1)</f>
        <v/>
      </c>
      <c r="E200" s="8">
        <f>E199*(1+D200)</f>
        <v/>
      </c>
    </row>
    <row r="201">
      <c r="A201" s="8" t="inlineStr">
        <is>
          <t>1887-04-01</t>
        </is>
      </c>
      <c r="B201" s="6" t="n">
        <v>3.5575</v>
      </c>
      <c r="C201" s="8">
        <f>-PV(B201/100,$B$3,B200/100,1)</f>
        <v/>
      </c>
      <c r="D201" s="8">
        <f>B200/100/12+(C201-1)</f>
        <v/>
      </c>
      <c r="E201" s="8">
        <f>E200*(1+D201)</f>
        <v/>
      </c>
    </row>
    <row r="202">
      <c r="A202" s="8" t="inlineStr">
        <is>
          <t>1887-05-01</t>
        </is>
      </c>
      <c r="B202" s="6" t="n">
        <v>3.57</v>
      </c>
      <c r="C202" s="8">
        <f>-PV(B202/100,$B$3,B201/100,1)</f>
        <v/>
      </c>
      <c r="D202" s="8">
        <f>B201/100/12+(C202-1)</f>
        <v/>
      </c>
      <c r="E202" s="8">
        <f>E201*(1+D202)</f>
        <v/>
      </c>
    </row>
    <row r="203">
      <c r="A203" s="8" t="inlineStr">
        <is>
          <t>1887-06-01</t>
        </is>
      </c>
      <c r="B203" s="6" t="n">
        <v>3.5825</v>
      </c>
      <c r="C203" s="8">
        <f>-PV(B203/100,$B$3,B202/100,1)</f>
        <v/>
      </c>
      <c r="D203" s="8">
        <f>B202/100/12+(C203-1)</f>
        <v/>
      </c>
      <c r="E203" s="8">
        <f>E202*(1+D203)</f>
        <v/>
      </c>
    </row>
    <row r="204">
      <c r="A204" s="8" t="inlineStr">
        <is>
          <t>1887-07-01</t>
        </is>
      </c>
      <c r="B204" s="6" t="n">
        <v>3.595</v>
      </c>
      <c r="C204" s="8">
        <f>-PV(B204/100,$B$3,B203/100,1)</f>
        <v/>
      </c>
      <c r="D204" s="8">
        <f>B203/100/12+(C204-1)</f>
        <v/>
      </c>
      <c r="E204" s="8">
        <f>E203*(1+D204)</f>
        <v/>
      </c>
    </row>
    <row r="205">
      <c r="A205" s="8" t="inlineStr">
        <is>
          <t>1887-08-01</t>
        </is>
      </c>
      <c r="B205" s="6" t="n">
        <v>3.6075</v>
      </c>
      <c r="C205" s="8">
        <f>-PV(B205/100,$B$3,B204/100,1)</f>
        <v/>
      </c>
      <c r="D205" s="8">
        <f>B204/100/12+(C205-1)</f>
        <v/>
      </c>
      <c r="E205" s="8">
        <f>E204*(1+D205)</f>
        <v/>
      </c>
    </row>
    <row r="206">
      <c r="A206" s="8" t="inlineStr">
        <is>
          <t>1887-09-01</t>
        </is>
      </c>
      <c r="B206" s="6" t="n">
        <v>3.62</v>
      </c>
      <c r="C206" s="8">
        <f>-PV(B206/100,$B$3,B205/100,1)</f>
        <v/>
      </c>
      <c r="D206" s="8">
        <f>B205/100/12+(C206-1)</f>
        <v/>
      </c>
      <c r="E206" s="8">
        <f>E205*(1+D206)</f>
        <v/>
      </c>
    </row>
    <row r="207">
      <c r="A207" s="8" t="inlineStr">
        <is>
          <t>1887-10-01</t>
        </is>
      </c>
      <c r="B207" s="6" t="n">
        <v>3.6325</v>
      </c>
      <c r="C207" s="8">
        <f>-PV(B207/100,$B$3,B206/100,1)</f>
        <v/>
      </c>
      <c r="D207" s="8">
        <f>B206/100/12+(C207-1)</f>
        <v/>
      </c>
      <c r="E207" s="8">
        <f>E206*(1+D207)</f>
        <v/>
      </c>
    </row>
    <row r="208">
      <c r="A208" s="8" t="inlineStr">
        <is>
          <t>1887-11-01</t>
        </is>
      </c>
      <c r="B208" s="6" t="n">
        <v>3.645</v>
      </c>
      <c r="C208" s="8">
        <f>-PV(B208/100,$B$3,B207/100,1)</f>
        <v/>
      </c>
      <c r="D208" s="8">
        <f>B207/100/12+(C208-1)</f>
        <v/>
      </c>
      <c r="E208" s="8">
        <f>E207*(1+D208)</f>
        <v/>
      </c>
    </row>
    <row r="209">
      <c r="A209" s="8" t="inlineStr">
        <is>
          <t>1887-12-01</t>
        </is>
      </c>
      <c r="B209" s="6" t="n">
        <v>3.6575</v>
      </c>
      <c r="C209" s="8">
        <f>-PV(B209/100,$B$3,B208/100,1)</f>
        <v/>
      </c>
      <c r="D209" s="8">
        <f>B208/100/12+(C209-1)</f>
        <v/>
      </c>
      <c r="E209" s="8">
        <f>E208*(1+D209)</f>
        <v/>
      </c>
    </row>
    <row r="210">
      <c r="A210" s="8" t="inlineStr">
        <is>
          <t>1888-01-01</t>
        </is>
      </c>
      <c r="B210" s="6" t="n">
        <v>3.67</v>
      </c>
      <c r="C210" s="8">
        <f>-PV(B210/100,$B$3,B209/100,1)</f>
        <v/>
      </c>
      <c r="D210" s="8">
        <f>B209/100/12+(C210-1)</f>
        <v/>
      </c>
      <c r="E210" s="8">
        <f>E209*(1+D210)</f>
        <v/>
      </c>
    </row>
    <row r="211">
      <c r="A211" s="8" t="inlineStr">
        <is>
          <t>1888-02-01</t>
        </is>
      </c>
      <c r="B211" s="6" t="n">
        <v>3.6517</v>
      </c>
      <c r="C211" s="8">
        <f>-PV(B211/100,$B$3,B210/100,1)</f>
        <v/>
      </c>
      <c r="D211" s="8">
        <f>B210/100/12+(C211-1)</f>
        <v/>
      </c>
      <c r="E211" s="8">
        <f>E210*(1+D211)</f>
        <v/>
      </c>
    </row>
    <row r="212">
      <c r="A212" s="8" t="inlineStr">
        <is>
          <t>1888-03-01</t>
        </is>
      </c>
      <c r="B212" s="6" t="n">
        <v>3.6333</v>
      </c>
      <c r="C212" s="8">
        <f>-PV(B212/100,$B$3,B211/100,1)</f>
        <v/>
      </c>
      <c r="D212" s="8">
        <f>B211/100/12+(C212-1)</f>
        <v/>
      </c>
      <c r="E212" s="8">
        <f>E211*(1+D212)</f>
        <v/>
      </c>
    </row>
    <row r="213">
      <c r="A213" s="8" t="inlineStr">
        <is>
          <t>1888-04-01</t>
        </is>
      </c>
      <c r="B213" s="6" t="n">
        <v>3.615</v>
      </c>
      <c r="C213" s="8">
        <f>-PV(B213/100,$B$3,B212/100,1)</f>
        <v/>
      </c>
      <c r="D213" s="8">
        <f>B212/100/12+(C213-1)</f>
        <v/>
      </c>
      <c r="E213" s="8">
        <f>E212*(1+D213)</f>
        <v/>
      </c>
    </row>
    <row r="214">
      <c r="A214" s="8" t="inlineStr">
        <is>
          <t>1888-05-01</t>
        </is>
      </c>
      <c r="B214" s="6" t="n">
        <v>3.5967</v>
      </c>
      <c r="C214" s="8">
        <f>-PV(B214/100,$B$3,B213/100,1)</f>
        <v/>
      </c>
      <c r="D214" s="8">
        <f>B213/100/12+(C214-1)</f>
        <v/>
      </c>
      <c r="E214" s="8">
        <f>E213*(1+D214)</f>
        <v/>
      </c>
    </row>
    <row r="215">
      <c r="A215" s="8" t="inlineStr">
        <is>
          <t>1888-06-01</t>
        </is>
      </c>
      <c r="B215" s="6" t="n">
        <v>3.5783</v>
      </c>
      <c r="C215" s="8">
        <f>-PV(B215/100,$B$3,B214/100,1)</f>
        <v/>
      </c>
      <c r="D215" s="8">
        <f>B214/100/12+(C215-1)</f>
        <v/>
      </c>
      <c r="E215" s="8">
        <f>E214*(1+D215)</f>
        <v/>
      </c>
    </row>
    <row r="216">
      <c r="A216" s="8" t="inlineStr">
        <is>
          <t>1888-07-01</t>
        </is>
      </c>
      <c r="B216" s="6" t="n">
        <v>3.56</v>
      </c>
      <c r="C216" s="8">
        <f>-PV(B216/100,$B$3,B215/100,1)</f>
        <v/>
      </c>
      <c r="D216" s="8">
        <f>B215/100/12+(C216-1)</f>
        <v/>
      </c>
      <c r="E216" s="8">
        <f>E215*(1+D216)</f>
        <v/>
      </c>
    </row>
    <row r="217">
      <c r="A217" s="8" t="inlineStr">
        <is>
          <t>1888-08-01</t>
        </is>
      </c>
      <c r="B217" s="6" t="n">
        <v>3.5417</v>
      </c>
      <c r="C217" s="8">
        <f>-PV(B217/100,$B$3,B216/100,1)</f>
        <v/>
      </c>
      <c r="D217" s="8">
        <f>B216/100/12+(C217-1)</f>
        <v/>
      </c>
      <c r="E217" s="8">
        <f>E216*(1+D217)</f>
        <v/>
      </c>
    </row>
    <row r="218">
      <c r="A218" s="8" t="inlineStr">
        <is>
          <t>1888-09-01</t>
        </is>
      </c>
      <c r="B218" s="6" t="n">
        <v>3.5233</v>
      </c>
      <c r="C218" s="8">
        <f>-PV(B218/100,$B$3,B217/100,1)</f>
        <v/>
      </c>
      <c r="D218" s="8">
        <f>B217/100/12+(C218-1)</f>
        <v/>
      </c>
      <c r="E218" s="8">
        <f>E217*(1+D218)</f>
        <v/>
      </c>
    </row>
    <row r="219">
      <c r="A219" s="8" t="inlineStr">
        <is>
          <t>1888-10-01</t>
        </is>
      </c>
      <c r="B219" s="6" t="n">
        <v>3.505</v>
      </c>
      <c r="C219" s="8">
        <f>-PV(B219/100,$B$3,B218/100,1)</f>
        <v/>
      </c>
      <c r="D219" s="8">
        <f>B218/100/12+(C219-1)</f>
        <v/>
      </c>
      <c r="E219" s="8">
        <f>E218*(1+D219)</f>
        <v/>
      </c>
    </row>
    <row r="220">
      <c r="A220" s="8" t="inlineStr">
        <is>
          <t>1888-11-01</t>
        </is>
      </c>
      <c r="B220" s="6" t="n">
        <v>3.4867</v>
      </c>
      <c r="C220" s="8">
        <f>-PV(B220/100,$B$3,B219/100,1)</f>
        <v/>
      </c>
      <c r="D220" s="8">
        <f>B219/100/12+(C220-1)</f>
        <v/>
      </c>
      <c r="E220" s="8">
        <f>E219*(1+D220)</f>
        <v/>
      </c>
    </row>
    <row r="221">
      <c r="A221" s="8" t="inlineStr">
        <is>
          <t>1888-12-01</t>
        </is>
      </c>
      <c r="B221" s="6" t="n">
        <v>3.4683</v>
      </c>
      <c r="C221" s="8">
        <f>-PV(B221/100,$B$3,B220/100,1)</f>
        <v/>
      </c>
      <c r="D221" s="8">
        <f>B220/100/12+(C221-1)</f>
        <v/>
      </c>
      <c r="E221" s="8">
        <f>E220*(1+D221)</f>
        <v/>
      </c>
    </row>
    <row r="222">
      <c r="A222" s="8" t="inlineStr">
        <is>
          <t>1889-01-01</t>
        </is>
      </c>
      <c r="B222" s="6" t="n">
        <v>3.45</v>
      </c>
      <c r="C222" s="8">
        <f>-PV(B222/100,$B$3,B221/100,1)</f>
        <v/>
      </c>
      <c r="D222" s="8">
        <f>B221/100/12+(C222-1)</f>
        <v/>
      </c>
      <c r="E222" s="8">
        <f>E221*(1+D222)</f>
        <v/>
      </c>
    </row>
    <row r="223">
      <c r="A223" s="8" t="inlineStr">
        <is>
          <t>1889-02-01</t>
        </is>
      </c>
      <c r="B223" s="6" t="n">
        <v>3.4475</v>
      </c>
      <c r="C223" s="8">
        <f>-PV(B223/100,$B$3,B222/100,1)</f>
        <v/>
      </c>
      <c r="D223" s="8">
        <f>B222/100/12+(C223-1)</f>
        <v/>
      </c>
      <c r="E223" s="8">
        <f>E222*(1+D223)</f>
        <v/>
      </c>
    </row>
    <row r="224">
      <c r="A224" s="8" t="inlineStr">
        <is>
          <t>1889-03-01</t>
        </is>
      </c>
      <c r="B224" s="6" t="n">
        <v>3.445</v>
      </c>
      <c r="C224" s="8">
        <f>-PV(B224/100,$B$3,B223/100,1)</f>
        <v/>
      </c>
      <c r="D224" s="8">
        <f>B223/100/12+(C224-1)</f>
        <v/>
      </c>
      <c r="E224" s="8">
        <f>E223*(1+D224)</f>
        <v/>
      </c>
    </row>
    <row r="225">
      <c r="A225" s="8" t="inlineStr">
        <is>
          <t>1889-04-01</t>
        </is>
      </c>
      <c r="B225" s="6" t="n">
        <v>3.4425</v>
      </c>
      <c r="C225" s="8">
        <f>-PV(B225/100,$B$3,B224/100,1)</f>
        <v/>
      </c>
      <c r="D225" s="8">
        <f>B224/100/12+(C225-1)</f>
        <v/>
      </c>
      <c r="E225" s="8">
        <f>E224*(1+D225)</f>
        <v/>
      </c>
    </row>
    <row r="226">
      <c r="A226" s="8" t="inlineStr">
        <is>
          <t>1889-05-01</t>
        </is>
      </c>
      <c r="B226" s="6" t="n">
        <v>3.44</v>
      </c>
      <c r="C226" s="8">
        <f>-PV(B226/100,$B$3,B225/100,1)</f>
        <v/>
      </c>
      <c r="D226" s="8">
        <f>B225/100/12+(C226-1)</f>
        <v/>
      </c>
      <c r="E226" s="8">
        <f>E225*(1+D226)</f>
        <v/>
      </c>
    </row>
    <row r="227">
      <c r="A227" s="8" t="inlineStr">
        <is>
          <t>1889-06-01</t>
        </is>
      </c>
      <c r="B227" s="6" t="n">
        <v>3.4375</v>
      </c>
      <c r="C227" s="8">
        <f>-PV(B227/100,$B$3,B226/100,1)</f>
        <v/>
      </c>
      <c r="D227" s="8">
        <f>B226/100/12+(C227-1)</f>
        <v/>
      </c>
      <c r="E227" s="8">
        <f>E226*(1+D227)</f>
        <v/>
      </c>
    </row>
    <row r="228">
      <c r="A228" s="8" t="inlineStr">
        <is>
          <t>1889-07-01</t>
        </is>
      </c>
      <c r="B228" s="6" t="n">
        <v>3.435</v>
      </c>
      <c r="C228" s="8">
        <f>-PV(B228/100,$B$3,B227/100,1)</f>
        <v/>
      </c>
      <c r="D228" s="8">
        <f>B227/100/12+(C228-1)</f>
        <v/>
      </c>
      <c r="E228" s="8">
        <f>E227*(1+D228)</f>
        <v/>
      </c>
    </row>
    <row r="229">
      <c r="A229" s="8" t="inlineStr">
        <is>
          <t>1889-08-01</t>
        </is>
      </c>
      <c r="B229" s="6" t="n">
        <v>3.4325</v>
      </c>
      <c r="C229" s="8">
        <f>-PV(B229/100,$B$3,B228/100,1)</f>
        <v/>
      </c>
      <c r="D229" s="8">
        <f>B228/100/12+(C229-1)</f>
        <v/>
      </c>
      <c r="E229" s="8">
        <f>E228*(1+D229)</f>
        <v/>
      </c>
    </row>
    <row r="230">
      <c r="A230" s="8" t="inlineStr">
        <is>
          <t>1889-09-01</t>
        </is>
      </c>
      <c r="B230" s="6" t="n">
        <v>3.43</v>
      </c>
      <c r="C230" s="8">
        <f>-PV(B230/100,$B$3,B229/100,1)</f>
        <v/>
      </c>
      <c r="D230" s="8">
        <f>B229/100/12+(C230-1)</f>
        <v/>
      </c>
      <c r="E230" s="8">
        <f>E229*(1+D230)</f>
        <v/>
      </c>
    </row>
    <row r="231">
      <c r="A231" s="8" t="inlineStr">
        <is>
          <t>1889-10-01</t>
        </is>
      </c>
      <c r="B231" s="6" t="n">
        <v>3.4275</v>
      </c>
      <c r="C231" s="8">
        <f>-PV(B231/100,$B$3,B230/100,1)</f>
        <v/>
      </c>
      <c r="D231" s="8">
        <f>B230/100/12+(C231-1)</f>
        <v/>
      </c>
      <c r="E231" s="8">
        <f>E230*(1+D231)</f>
        <v/>
      </c>
    </row>
    <row r="232">
      <c r="A232" s="8" t="inlineStr">
        <is>
          <t>1889-11-01</t>
        </is>
      </c>
      <c r="B232" s="6" t="n">
        <v>3.425</v>
      </c>
      <c r="C232" s="8">
        <f>-PV(B232/100,$B$3,B231/100,1)</f>
        <v/>
      </c>
      <c r="D232" s="8">
        <f>B231/100/12+(C232-1)</f>
        <v/>
      </c>
      <c r="E232" s="8">
        <f>E231*(1+D232)</f>
        <v/>
      </c>
    </row>
    <row r="233">
      <c r="A233" s="8" t="inlineStr">
        <is>
          <t>1889-12-01</t>
        </is>
      </c>
      <c r="B233" s="6" t="n">
        <v>3.4225</v>
      </c>
      <c r="C233" s="8">
        <f>-PV(B233/100,$B$3,B232/100,1)</f>
        <v/>
      </c>
      <c r="D233" s="8">
        <f>B232/100/12+(C233-1)</f>
        <v/>
      </c>
      <c r="E233" s="8">
        <f>E232*(1+D233)</f>
        <v/>
      </c>
    </row>
    <row r="234">
      <c r="A234" s="8" t="inlineStr">
        <is>
          <t>1890-01-01</t>
        </is>
      </c>
      <c r="B234" s="6" t="n">
        <v>3.42</v>
      </c>
      <c r="C234" s="8">
        <f>-PV(B234/100,$B$3,B233/100,1)</f>
        <v/>
      </c>
      <c r="D234" s="8">
        <f>B233/100/12+(C234-1)</f>
        <v/>
      </c>
      <c r="E234" s="8">
        <f>E233*(1+D234)</f>
        <v/>
      </c>
    </row>
    <row r="235">
      <c r="A235" s="8" t="inlineStr">
        <is>
          <t>1890-02-01</t>
        </is>
      </c>
      <c r="B235" s="6" t="n">
        <v>3.4367</v>
      </c>
      <c r="C235" s="8">
        <f>-PV(B235/100,$B$3,B234/100,1)</f>
        <v/>
      </c>
      <c r="D235" s="8">
        <f>B234/100/12+(C235-1)</f>
        <v/>
      </c>
      <c r="E235" s="8">
        <f>E234*(1+D235)</f>
        <v/>
      </c>
    </row>
    <row r="236">
      <c r="A236" s="8" t="inlineStr">
        <is>
          <t>1890-03-01</t>
        </is>
      </c>
      <c r="B236" s="6" t="n">
        <v>3.4533</v>
      </c>
      <c r="C236" s="8">
        <f>-PV(B236/100,$B$3,B235/100,1)</f>
        <v/>
      </c>
      <c r="D236" s="8">
        <f>B235/100/12+(C236-1)</f>
        <v/>
      </c>
      <c r="E236" s="8">
        <f>E235*(1+D236)</f>
        <v/>
      </c>
    </row>
    <row r="237">
      <c r="A237" s="8" t="inlineStr">
        <is>
          <t>1890-04-01</t>
        </is>
      </c>
      <c r="B237" s="6" t="n">
        <v>3.47</v>
      </c>
      <c r="C237" s="8">
        <f>-PV(B237/100,$B$3,B236/100,1)</f>
        <v/>
      </c>
      <c r="D237" s="8">
        <f>B236/100/12+(C237-1)</f>
        <v/>
      </c>
      <c r="E237" s="8">
        <f>E236*(1+D237)</f>
        <v/>
      </c>
    </row>
    <row r="238">
      <c r="A238" s="8" t="inlineStr">
        <is>
          <t>1890-05-01</t>
        </is>
      </c>
      <c r="B238" s="6" t="n">
        <v>3.4867</v>
      </c>
      <c r="C238" s="8">
        <f>-PV(B238/100,$B$3,B237/100,1)</f>
        <v/>
      </c>
      <c r="D238" s="8">
        <f>B237/100/12+(C238-1)</f>
        <v/>
      </c>
      <c r="E238" s="8">
        <f>E237*(1+D238)</f>
        <v/>
      </c>
    </row>
    <row r="239">
      <c r="A239" s="8" t="inlineStr">
        <is>
          <t>1890-06-01</t>
        </is>
      </c>
      <c r="B239" s="6" t="n">
        <v>3.5033</v>
      </c>
      <c r="C239" s="8">
        <f>-PV(B239/100,$B$3,B238/100,1)</f>
        <v/>
      </c>
      <c r="D239" s="8">
        <f>B238/100/12+(C239-1)</f>
        <v/>
      </c>
      <c r="E239" s="8">
        <f>E238*(1+D239)</f>
        <v/>
      </c>
    </row>
    <row r="240">
      <c r="A240" s="8" t="inlineStr">
        <is>
          <t>1890-07-01</t>
        </is>
      </c>
      <c r="B240" s="6" t="n">
        <v>3.52</v>
      </c>
      <c r="C240" s="8">
        <f>-PV(B240/100,$B$3,B239/100,1)</f>
        <v/>
      </c>
      <c r="D240" s="8">
        <f>B239/100/12+(C240-1)</f>
        <v/>
      </c>
      <c r="E240" s="8">
        <f>E239*(1+D240)</f>
        <v/>
      </c>
    </row>
    <row r="241">
      <c r="A241" s="8" t="inlineStr">
        <is>
          <t>1890-08-01</t>
        </is>
      </c>
      <c r="B241" s="6" t="n">
        <v>3.5367</v>
      </c>
      <c r="C241" s="8">
        <f>-PV(B241/100,$B$3,B240/100,1)</f>
        <v/>
      </c>
      <c r="D241" s="8">
        <f>B240/100/12+(C241-1)</f>
        <v/>
      </c>
      <c r="E241" s="8">
        <f>E240*(1+D241)</f>
        <v/>
      </c>
    </row>
    <row r="242">
      <c r="A242" s="8" t="inlineStr">
        <is>
          <t>1890-09-01</t>
        </is>
      </c>
      <c r="B242" s="6" t="n">
        <v>3.5533</v>
      </c>
      <c r="C242" s="8">
        <f>-PV(B242/100,$B$3,B241/100,1)</f>
        <v/>
      </c>
      <c r="D242" s="8">
        <f>B241/100/12+(C242-1)</f>
        <v/>
      </c>
      <c r="E242" s="8">
        <f>E241*(1+D242)</f>
        <v/>
      </c>
    </row>
    <row r="243">
      <c r="A243" s="8" t="inlineStr">
        <is>
          <t>1890-10-01</t>
        </is>
      </c>
      <c r="B243" s="6" t="n">
        <v>3.57</v>
      </c>
      <c r="C243" s="8">
        <f>-PV(B243/100,$B$3,B242/100,1)</f>
        <v/>
      </c>
      <c r="D243" s="8">
        <f>B242/100/12+(C243-1)</f>
        <v/>
      </c>
      <c r="E243" s="8">
        <f>E242*(1+D243)</f>
        <v/>
      </c>
    </row>
    <row r="244">
      <c r="A244" s="8" t="inlineStr">
        <is>
          <t>1890-11-01</t>
        </is>
      </c>
      <c r="B244" s="6" t="n">
        <v>3.5867</v>
      </c>
      <c r="C244" s="8">
        <f>-PV(B244/100,$B$3,B243/100,1)</f>
        <v/>
      </c>
      <c r="D244" s="8">
        <f>B243/100/12+(C244-1)</f>
        <v/>
      </c>
      <c r="E244" s="8">
        <f>E243*(1+D244)</f>
        <v/>
      </c>
    </row>
    <row r="245">
      <c r="A245" s="8" t="inlineStr">
        <is>
          <t>1890-12-01</t>
        </is>
      </c>
      <c r="B245" s="6" t="n">
        <v>3.6033</v>
      </c>
      <c r="C245" s="8">
        <f>-PV(B245/100,$B$3,B244/100,1)</f>
        <v/>
      </c>
      <c r="D245" s="8">
        <f>B244/100/12+(C245-1)</f>
        <v/>
      </c>
      <c r="E245" s="8">
        <f>E244*(1+D245)</f>
        <v/>
      </c>
    </row>
    <row r="246">
      <c r="A246" s="8" t="inlineStr">
        <is>
          <t>1891-01-01</t>
        </is>
      </c>
      <c r="B246" s="6" t="n">
        <v>3.62</v>
      </c>
      <c r="C246" s="8">
        <f>-PV(B246/100,$B$3,B245/100,1)</f>
        <v/>
      </c>
      <c r="D246" s="8">
        <f>B245/100/12+(C246-1)</f>
        <v/>
      </c>
      <c r="E246" s="8">
        <f>E245*(1+D246)</f>
        <v/>
      </c>
    </row>
    <row r="247">
      <c r="A247" s="8" t="inlineStr">
        <is>
          <t>1891-02-01</t>
        </is>
      </c>
      <c r="B247" s="6" t="n">
        <v>3.6183</v>
      </c>
      <c r="C247" s="8">
        <f>-PV(B247/100,$B$3,B246/100,1)</f>
        <v/>
      </c>
      <c r="D247" s="8">
        <f>B246/100/12+(C247-1)</f>
        <v/>
      </c>
      <c r="E247" s="8">
        <f>E246*(1+D247)</f>
        <v/>
      </c>
    </row>
    <row r="248">
      <c r="A248" s="8" t="inlineStr">
        <is>
          <t>1891-03-01</t>
        </is>
      </c>
      <c r="B248" s="6" t="n">
        <v>3.6167</v>
      </c>
      <c r="C248" s="8">
        <f>-PV(B248/100,$B$3,B247/100,1)</f>
        <v/>
      </c>
      <c r="D248" s="8">
        <f>B247/100/12+(C248-1)</f>
        <v/>
      </c>
      <c r="E248" s="8">
        <f>E247*(1+D248)</f>
        <v/>
      </c>
    </row>
    <row r="249">
      <c r="A249" s="8" t="inlineStr">
        <is>
          <t>1891-04-01</t>
        </is>
      </c>
      <c r="B249" s="6" t="n">
        <v>3.615</v>
      </c>
      <c r="C249" s="8">
        <f>-PV(B249/100,$B$3,B248/100,1)</f>
        <v/>
      </c>
      <c r="D249" s="8">
        <f>B248/100/12+(C249-1)</f>
        <v/>
      </c>
      <c r="E249" s="8">
        <f>E248*(1+D249)</f>
        <v/>
      </c>
    </row>
    <row r="250">
      <c r="A250" s="8" t="inlineStr">
        <is>
          <t>1891-05-01</t>
        </is>
      </c>
      <c r="B250" s="6" t="n">
        <v>3.6133</v>
      </c>
      <c r="C250" s="8">
        <f>-PV(B250/100,$B$3,B249/100,1)</f>
        <v/>
      </c>
      <c r="D250" s="8">
        <f>B249/100/12+(C250-1)</f>
        <v/>
      </c>
      <c r="E250" s="8">
        <f>E249*(1+D250)</f>
        <v/>
      </c>
    </row>
    <row r="251">
      <c r="A251" s="8" t="inlineStr">
        <is>
          <t>1891-06-01</t>
        </is>
      </c>
      <c r="B251" s="6" t="n">
        <v>3.6117</v>
      </c>
      <c r="C251" s="8">
        <f>-PV(B251/100,$B$3,B250/100,1)</f>
        <v/>
      </c>
      <c r="D251" s="8">
        <f>B250/100/12+(C251-1)</f>
        <v/>
      </c>
      <c r="E251" s="8">
        <f>E250*(1+D251)</f>
        <v/>
      </c>
    </row>
    <row r="252">
      <c r="A252" s="8" t="inlineStr">
        <is>
          <t>1891-07-01</t>
        </is>
      </c>
      <c r="B252" s="6" t="n">
        <v>3.61</v>
      </c>
      <c r="C252" s="8">
        <f>-PV(B252/100,$B$3,B251/100,1)</f>
        <v/>
      </c>
      <c r="D252" s="8">
        <f>B251/100/12+(C252-1)</f>
        <v/>
      </c>
      <c r="E252" s="8">
        <f>E251*(1+D252)</f>
        <v/>
      </c>
    </row>
    <row r="253">
      <c r="A253" s="8" t="inlineStr">
        <is>
          <t>1891-08-01</t>
        </is>
      </c>
      <c r="B253" s="6" t="n">
        <v>3.6083</v>
      </c>
      <c r="C253" s="8">
        <f>-PV(B253/100,$B$3,B252/100,1)</f>
        <v/>
      </c>
      <c r="D253" s="8">
        <f>B252/100/12+(C253-1)</f>
        <v/>
      </c>
      <c r="E253" s="8">
        <f>E252*(1+D253)</f>
        <v/>
      </c>
    </row>
    <row r="254">
      <c r="A254" s="8" t="inlineStr">
        <is>
          <t>1891-09-01</t>
        </is>
      </c>
      <c r="B254" s="6" t="n">
        <v>3.6067</v>
      </c>
      <c r="C254" s="8">
        <f>-PV(B254/100,$B$3,B253/100,1)</f>
        <v/>
      </c>
      <c r="D254" s="8">
        <f>B253/100/12+(C254-1)</f>
        <v/>
      </c>
      <c r="E254" s="8">
        <f>E253*(1+D254)</f>
        <v/>
      </c>
    </row>
    <row r="255">
      <c r="A255" s="8" t="inlineStr">
        <is>
          <t>1891-10-01</t>
        </is>
      </c>
      <c r="B255" s="6" t="n">
        <v>3.605</v>
      </c>
      <c r="C255" s="8">
        <f>-PV(B255/100,$B$3,B254/100,1)</f>
        <v/>
      </c>
      <c r="D255" s="8">
        <f>B254/100/12+(C255-1)</f>
        <v/>
      </c>
      <c r="E255" s="8">
        <f>E254*(1+D255)</f>
        <v/>
      </c>
    </row>
    <row r="256">
      <c r="A256" s="8" t="inlineStr">
        <is>
          <t>1891-11-01</t>
        </is>
      </c>
      <c r="B256" s="6" t="n">
        <v>3.6033</v>
      </c>
      <c r="C256" s="8">
        <f>-PV(B256/100,$B$3,B255/100,1)</f>
        <v/>
      </c>
      <c r="D256" s="8">
        <f>B255/100/12+(C256-1)</f>
        <v/>
      </c>
      <c r="E256" s="8">
        <f>E255*(1+D256)</f>
        <v/>
      </c>
    </row>
    <row r="257">
      <c r="A257" s="8" t="inlineStr">
        <is>
          <t>1891-12-01</t>
        </is>
      </c>
      <c r="B257" s="6" t="n">
        <v>3.6017</v>
      </c>
      <c r="C257" s="8">
        <f>-PV(B257/100,$B$3,B256/100,1)</f>
        <v/>
      </c>
      <c r="D257" s="8">
        <f>B256/100/12+(C257-1)</f>
        <v/>
      </c>
      <c r="E257" s="8">
        <f>E256*(1+D257)</f>
        <v/>
      </c>
    </row>
    <row r="258">
      <c r="A258" s="8" t="inlineStr">
        <is>
          <t>1892-01-01</t>
        </is>
      </c>
      <c r="B258" s="6" t="n">
        <v>3.6</v>
      </c>
      <c r="C258" s="8">
        <f>-PV(B258/100,$B$3,B257/100,1)</f>
        <v/>
      </c>
      <c r="D258" s="8">
        <f>B257/100/12+(C258-1)</f>
        <v/>
      </c>
      <c r="E258" s="8">
        <f>E257*(1+D258)</f>
        <v/>
      </c>
    </row>
    <row r="259">
      <c r="A259" s="8" t="inlineStr">
        <is>
          <t>1892-02-01</t>
        </is>
      </c>
      <c r="B259" s="6" t="n">
        <v>3.6125</v>
      </c>
      <c r="C259" s="8">
        <f>-PV(B259/100,$B$3,B258/100,1)</f>
        <v/>
      </c>
      <c r="D259" s="8">
        <f>B258/100/12+(C259-1)</f>
        <v/>
      </c>
      <c r="E259" s="8">
        <f>E258*(1+D259)</f>
        <v/>
      </c>
    </row>
    <row r="260">
      <c r="A260" s="8" t="inlineStr">
        <is>
          <t>1892-03-01</t>
        </is>
      </c>
      <c r="B260" s="6" t="n">
        <v>3.625</v>
      </c>
      <c r="C260" s="8">
        <f>-PV(B260/100,$B$3,B259/100,1)</f>
        <v/>
      </c>
      <c r="D260" s="8">
        <f>B259/100/12+(C260-1)</f>
        <v/>
      </c>
      <c r="E260" s="8">
        <f>E259*(1+D260)</f>
        <v/>
      </c>
    </row>
    <row r="261">
      <c r="A261" s="8" t="inlineStr">
        <is>
          <t>1892-04-01</t>
        </is>
      </c>
      <c r="B261" s="6" t="n">
        <v>3.6375</v>
      </c>
      <c r="C261" s="8">
        <f>-PV(B261/100,$B$3,B260/100,1)</f>
        <v/>
      </c>
      <c r="D261" s="8">
        <f>B260/100/12+(C261-1)</f>
        <v/>
      </c>
      <c r="E261" s="8">
        <f>E260*(1+D261)</f>
        <v/>
      </c>
    </row>
    <row r="262">
      <c r="A262" s="8" t="inlineStr">
        <is>
          <t>1892-05-01</t>
        </is>
      </c>
      <c r="B262" s="6" t="n">
        <v>3.65</v>
      </c>
      <c r="C262" s="8">
        <f>-PV(B262/100,$B$3,B261/100,1)</f>
        <v/>
      </c>
      <c r="D262" s="8">
        <f>B261/100/12+(C262-1)</f>
        <v/>
      </c>
      <c r="E262" s="8">
        <f>E261*(1+D262)</f>
        <v/>
      </c>
    </row>
    <row r="263">
      <c r="A263" s="8" t="inlineStr">
        <is>
          <t>1892-06-01</t>
        </is>
      </c>
      <c r="B263" s="6" t="n">
        <v>3.6625</v>
      </c>
      <c r="C263" s="8">
        <f>-PV(B263/100,$B$3,B262/100,1)</f>
        <v/>
      </c>
      <c r="D263" s="8">
        <f>B262/100/12+(C263-1)</f>
        <v/>
      </c>
      <c r="E263" s="8">
        <f>E262*(1+D263)</f>
        <v/>
      </c>
    </row>
    <row r="264">
      <c r="A264" s="8" t="inlineStr">
        <is>
          <t>1892-07-01</t>
        </is>
      </c>
      <c r="B264" s="6" t="n">
        <v>3.675</v>
      </c>
      <c r="C264" s="8">
        <f>-PV(B264/100,$B$3,B263/100,1)</f>
        <v/>
      </c>
      <c r="D264" s="8">
        <f>B263/100/12+(C264-1)</f>
        <v/>
      </c>
      <c r="E264" s="8">
        <f>E263*(1+D264)</f>
        <v/>
      </c>
    </row>
    <row r="265">
      <c r="A265" s="8" t="inlineStr">
        <is>
          <t>1892-08-01</t>
        </is>
      </c>
      <c r="B265" s="6" t="n">
        <v>3.6875</v>
      </c>
      <c r="C265" s="8">
        <f>-PV(B265/100,$B$3,B264/100,1)</f>
        <v/>
      </c>
      <c r="D265" s="8">
        <f>B264/100/12+(C265-1)</f>
        <v/>
      </c>
      <c r="E265" s="8">
        <f>E264*(1+D265)</f>
        <v/>
      </c>
    </row>
    <row r="266">
      <c r="A266" s="8" t="inlineStr">
        <is>
          <t>1892-09-01</t>
        </is>
      </c>
      <c r="B266" s="6" t="n">
        <v>3.7</v>
      </c>
      <c r="C266" s="8">
        <f>-PV(B266/100,$B$3,B265/100,1)</f>
        <v/>
      </c>
      <c r="D266" s="8">
        <f>B265/100/12+(C266-1)</f>
        <v/>
      </c>
      <c r="E266" s="8">
        <f>E265*(1+D266)</f>
        <v/>
      </c>
    </row>
    <row r="267">
      <c r="A267" s="8" t="inlineStr">
        <is>
          <t>1892-10-01</t>
        </is>
      </c>
      <c r="B267" s="6" t="n">
        <v>3.7125</v>
      </c>
      <c r="C267" s="8">
        <f>-PV(B267/100,$B$3,B266/100,1)</f>
        <v/>
      </c>
      <c r="D267" s="8">
        <f>B266/100/12+(C267-1)</f>
        <v/>
      </c>
      <c r="E267" s="8">
        <f>E266*(1+D267)</f>
        <v/>
      </c>
    </row>
    <row r="268">
      <c r="A268" s="8" t="inlineStr">
        <is>
          <t>1892-11-01</t>
        </is>
      </c>
      <c r="B268" s="6" t="n">
        <v>3.725</v>
      </c>
      <c r="C268" s="8">
        <f>-PV(B268/100,$B$3,B267/100,1)</f>
        <v/>
      </c>
      <c r="D268" s="8">
        <f>B267/100/12+(C268-1)</f>
        <v/>
      </c>
      <c r="E268" s="8">
        <f>E267*(1+D268)</f>
        <v/>
      </c>
    </row>
    <row r="269">
      <c r="A269" s="8" t="inlineStr">
        <is>
          <t>1892-12-01</t>
        </is>
      </c>
      <c r="B269" s="6" t="n">
        <v>3.7375</v>
      </c>
      <c r="C269" s="8">
        <f>-PV(B269/100,$B$3,B268/100,1)</f>
        <v/>
      </c>
      <c r="D269" s="8">
        <f>B268/100/12+(C269-1)</f>
        <v/>
      </c>
      <c r="E269" s="8">
        <f>E268*(1+D269)</f>
        <v/>
      </c>
    </row>
    <row r="270">
      <c r="A270" s="8" t="inlineStr">
        <is>
          <t>1893-01-01</t>
        </is>
      </c>
      <c r="B270" s="6" t="n">
        <v>3.75</v>
      </c>
      <c r="C270" s="8">
        <f>-PV(B270/100,$B$3,B269/100,1)</f>
        <v/>
      </c>
      <c r="D270" s="8">
        <f>B269/100/12+(C270-1)</f>
        <v/>
      </c>
      <c r="E270" s="8">
        <f>E269*(1+D270)</f>
        <v/>
      </c>
    </row>
    <row r="271">
      <c r="A271" s="8" t="inlineStr">
        <is>
          <t>1893-02-01</t>
        </is>
      </c>
      <c r="B271" s="6" t="n">
        <v>3.7458</v>
      </c>
      <c r="C271" s="8">
        <f>-PV(B271/100,$B$3,B270/100,1)</f>
        <v/>
      </c>
      <c r="D271" s="8">
        <f>B270/100/12+(C271-1)</f>
        <v/>
      </c>
      <c r="E271" s="8">
        <f>E270*(1+D271)</f>
        <v/>
      </c>
    </row>
    <row r="272">
      <c r="A272" s="8" t="inlineStr">
        <is>
          <t>1893-03-01</t>
        </is>
      </c>
      <c r="B272" s="6" t="n">
        <v>3.7417</v>
      </c>
      <c r="C272" s="8">
        <f>-PV(B272/100,$B$3,B271/100,1)</f>
        <v/>
      </c>
      <c r="D272" s="8">
        <f>B271/100/12+(C272-1)</f>
        <v/>
      </c>
      <c r="E272" s="8">
        <f>E271*(1+D272)</f>
        <v/>
      </c>
    </row>
    <row r="273">
      <c r="A273" s="8" t="inlineStr">
        <is>
          <t>1893-04-01</t>
        </is>
      </c>
      <c r="B273" s="6" t="n">
        <v>3.7375</v>
      </c>
      <c r="C273" s="8">
        <f>-PV(B273/100,$B$3,B272/100,1)</f>
        <v/>
      </c>
      <c r="D273" s="8">
        <f>B272/100/12+(C273-1)</f>
        <v/>
      </c>
      <c r="E273" s="8">
        <f>E272*(1+D273)</f>
        <v/>
      </c>
    </row>
    <row r="274">
      <c r="A274" s="8" t="inlineStr">
        <is>
          <t>1893-05-01</t>
        </is>
      </c>
      <c r="B274" s="6" t="n">
        <v>3.7333</v>
      </c>
      <c r="C274" s="8">
        <f>-PV(B274/100,$B$3,B273/100,1)</f>
        <v/>
      </c>
      <c r="D274" s="8">
        <f>B273/100/12+(C274-1)</f>
        <v/>
      </c>
      <c r="E274" s="8">
        <f>E273*(1+D274)</f>
        <v/>
      </c>
    </row>
    <row r="275">
      <c r="A275" s="8" t="inlineStr">
        <is>
          <t>1893-06-01</t>
        </is>
      </c>
      <c r="B275" s="6" t="n">
        <v>3.7292</v>
      </c>
      <c r="C275" s="8">
        <f>-PV(B275/100,$B$3,B274/100,1)</f>
        <v/>
      </c>
      <c r="D275" s="8">
        <f>B274/100/12+(C275-1)</f>
        <v/>
      </c>
      <c r="E275" s="8">
        <f>E274*(1+D275)</f>
        <v/>
      </c>
    </row>
    <row r="276">
      <c r="A276" s="8" t="inlineStr">
        <is>
          <t>1893-07-01</t>
        </is>
      </c>
      <c r="B276" s="6" t="n">
        <v>3.725</v>
      </c>
      <c r="C276" s="8">
        <f>-PV(B276/100,$B$3,B275/100,1)</f>
        <v/>
      </c>
      <c r="D276" s="8">
        <f>B275/100/12+(C276-1)</f>
        <v/>
      </c>
      <c r="E276" s="8">
        <f>E275*(1+D276)</f>
        <v/>
      </c>
    </row>
    <row r="277">
      <c r="A277" s="8" t="inlineStr">
        <is>
          <t>1893-08-01</t>
        </is>
      </c>
      <c r="B277" s="6" t="n">
        <v>3.7208</v>
      </c>
      <c r="C277" s="8">
        <f>-PV(B277/100,$B$3,B276/100,1)</f>
        <v/>
      </c>
      <c r="D277" s="8">
        <f>B276/100/12+(C277-1)</f>
        <v/>
      </c>
      <c r="E277" s="8">
        <f>E276*(1+D277)</f>
        <v/>
      </c>
    </row>
    <row r="278">
      <c r="A278" s="8" t="inlineStr">
        <is>
          <t>1893-09-01</t>
        </is>
      </c>
      <c r="B278" s="6" t="n">
        <v>3.7167</v>
      </c>
      <c r="C278" s="8">
        <f>-PV(B278/100,$B$3,B277/100,1)</f>
        <v/>
      </c>
      <c r="D278" s="8">
        <f>B277/100/12+(C278-1)</f>
        <v/>
      </c>
      <c r="E278" s="8">
        <f>E277*(1+D278)</f>
        <v/>
      </c>
    </row>
    <row r="279">
      <c r="A279" s="8" t="inlineStr">
        <is>
          <t>1893-10-01</t>
        </is>
      </c>
      <c r="B279" s="6" t="n">
        <v>3.7125</v>
      </c>
      <c r="C279" s="8">
        <f>-PV(B279/100,$B$3,B278/100,1)</f>
        <v/>
      </c>
      <c r="D279" s="8">
        <f>B278/100/12+(C279-1)</f>
        <v/>
      </c>
      <c r="E279" s="8">
        <f>E278*(1+D279)</f>
        <v/>
      </c>
    </row>
    <row r="280">
      <c r="A280" s="8" t="inlineStr">
        <is>
          <t>1893-11-01</t>
        </is>
      </c>
      <c r="B280" s="6" t="n">
        <v>3.7083</v>
      </c>
      <c r="C280" s="8">
        <f>-PV(B280/100,$B$3,B279/100,1)</f>
        <v/>
      </c>
      <c r="D280" s="8">
        <f>B279/100/12+(C280-1)</f>
        <v/>
      </c>
      <c r="E280" s="8">
        <f>E279*(1+D280)</f>
        <v/>
      </c>
    </row>
    <row r="281">
      <c r="A281" s="8" t="inlineStr">
        <is>
          <t>1893-12-01</t>
        </is>
      </c>
      <c r="B281" s="6" t="n">
        <v>3.7042</v>
      </c>
      <c r="C281" s="8">
        <f>-PV(B281/100,$B$3,B280/100,1)</f>
        <v/>
      </c>
      <c r="D281" s="8">
        <f>B280/100/12+(C281-1)</f>
        <v/>
      </c>
      <c r="E281" s="8">
        <f>E280*(1+D281)</f>
        <v/>
      </c>
    </row>
    <row r="282">
      <c r="A282" s="8" t="inlineStr">
        <is>
          <t>1894-01-01</t>
        </is>
      </c>
      <c r="B282" s="6" t="n">
        <v>3.7</v>
      </c>
      <c r="C282" s="8">
        <f>-PV(B282/100,$B$3,B281/100,1)</f>
        <v/>
      </c>
      <c r="D282" s="8">
        <f>B281/100/12+(C282-1)</f>
        <v/>
      </c>
      <c r="E282" s="8">
        <f>E281*(1+D282)</f>
        <v/>
      </c>
    </row>
    <row r="283">
      <c r="A283" s="8" t="inlineStr">
        <is>
          <t>1894-02-01</t>
        </is>
      </c>
      <c r="B283" s="6" t="n">
        <v>3.68</v>
      </c>
      <c r="C283" s="8">
        <f>-PV(B283/100,$B$3,B282/100,1)</f>
        <v/>
      </c>
      <c r="D283" s="8">
        <f>B282/100/12+(C283-1)</f>
        <v/>
      </c>
      <c r="E283" s="8">
        <f>E282*(1+D283)</f>
        <v/>
      </c>
    </row>
    <row r="284">
      <c r="A284" s="8" t="inlineStr">
        <is>
          <t>1894-03-01</t>
        </is>
      </c>
      <c r="B284" s="6" t="n">
        <v>3.66</v>
      </c>
      <c r="C284" s="8">
        <f>-PV(B284/100,$B$3,B283/100,1)</f>
        <v/>
      </c>
      <c r="D284" s="8">
        <f>B283/100/12+(C284-1)</f>
        <v/>
      </c>
      <c r="E284" s="8">
        <f>E283*(1+D284)</f>
        <v/>
      </c>
    </row>
    <row r="285">
      <c r="A285" s="8" t="inlineStr">
        <is>
          <t>1894-04-01</t>
        </is>
      </c>
      <c r="B285" s="6" t="n">
        <v>3.64</v>
      </c>
      <c r="C285" s="8">
        <f>-PV(B285/100,$B$3,B284/100,1)</f>
        <v/>
      </c>
      <c r="D285" s="8">
        <f>B284/100/12+(C285-1)</f>
        <v/>
      </c>
      <c r="E285" s="8">
        <f>E284*(1+D285)</f>
        <v/>
      </c>
    </row>
    <row r="286">
      <c r="A286" s="8" t="inlineStr">
        <is>
          <t>1894-05-01</t>
        </is>
      </c>
      <c r="B286" s="6" t="n">
        <v>3.62</v>
      </c>
      <c r="C286" s="8">
        <f>-PV(B286/100,$B$3,B285/100,1)</f>
        <v/>
      </c>
      <c r="D286" s="8">
        <f>B285/100/12+(C286-1)</f>
        <v/>
      </c>
      <c r="E286" s="8">
        <f>E285*(1+D286)</f>
        <v/>
      </c>
    </row>
    <row r="287">
      <c r="A287" s="8" t="inlineStr">
        <is>
          <t>1894-06-01</t>
        </is>
      </c>
      <c r="B287" s="6" t="n">
        <v>3.6</v>
      </c>
      <c r="C287" s="8">
        <f>-PV(B287/100,$B$3,B286/100,1)</f>
        <v/>
      </c>
      <c r="D287" s="8">
        <f>B286/100/12+(C287-1)</f>
        <v/>
      </c>
      <c r="E287" s="8">
        <f>E286*(1+D287)</f>
        <v/>
      </c>
    </row>
    <row r="288">
      <c r="A288" s="8" t="inlineStr">
        <is>
          <t>1894-07-01</t>
        </is>
      </c>
      <c r="B288" s="6" t="n">
        <v>3.58</v>
      </c>
      <c r="C288" s="8">
        <f>-PV(B288/100,$B$3,B287/100,1)</f>
        <v/>
      </c>
      <c r="D288" s="8">
        <f>B287/100/12+(C288-1)</f>
        <v/>
      </c>
      <c r="E288" s="8">
        <f>E287*(1+D288)</f>
        <v/>
      </c>
    </row>
    <row r="289">
      <c r="A289" s="8" t="inlineStr">
        <is>
          <t>1894-08-01</t>
        </is>
      </c>
      <c r="B289" s="6" t="n">
        <v>3.56</v>
      </c>
      <c r="C289" s="8">
        <f>-PV(B289/100,$B$3,B288/100,1)</f>
        <v/>
      </c>
      <c r="D289" s="8">
        <f>B288/100/12+(C289-1)</f>
        <v/>
      </c>
      <c r="E289" s="8">
        <f>E288*(1+D289)</f>
        <v/>
      </c>
    </row>
    <row r="290">
      <c r="A290" s="8" t="inlineStr">
        <is>
          <t>1894-09-01</t>
        </is>
      </c>
      <c r="B290" s="6" t="n">
        <v>3.54</v>
      </c>
      <c r="C290" s="8">
        <f>-PV(B290/100,$B$3,B289/100,1)</f>
        <v/>
      </c>
      <c r="D290" s="8">
        <f>B289/100/12+(C290-1)</f>
        <v/>
      </c>
      <c r="E290" s="8">
        <f>E289*(1+D290)</f>
        <v/>
      </c>
    </row>
    <row r="291">
      <c r="A291" s="8" t="inlineStr">
        <is>
          <t>1894-10-01</t>
        </is>
      </c>
      <c r="B291" s="6" t="n">
        <v>3.52</v>
      </c>
      <c r="C291" s="8">
        <f>-PV(B291/100,$B$3,B290/100,1)</f>
        <v/>
      </c>
      <c r="D291" s="8">
        <f>B290/100/12+(C291-1)</f>
        <v/>
      </c>
      <c r="E291" s="8">
        <f>E290*(1+D291)</f>
        <v/>
      </c>
    </row>
    <row r="292">
      <c r="A292" s="8" t="inlineStr">
        <is>
          <t>1894-11-01</t>
        </is>
      </c>
      <c r="B292" s="6" t="n">
        <v>3.5</v>
      </c>
      <c r="C292" s="8">
        <f>-PV(B292/100,$B$3,B291/100,1)</f>
        <v/>
      </c>
      <c r="D292" s="8">
        <f>B291/100/12+(C292-1)</f>
        <v/>
      </c>
      <c r="E292" s="8">
        <f>E291*(1+D292)</f>
        <v/>
      </c>
    </row>
    <row r="293">
      <c r="A293" s="8" t="inlineStr">
        <is>
          <t>1894-12-01</t>
        </is>
      </c>
      <c r="B293" s="6" t="n">
        <v>3.48</v>
      </c>
      <c r="C293" s="8">
        <f>-PV(B293/100,$B$3,B292/100,1)</f>
        <v/>
      </c>
      <c r="D293" s="8">
        <f>B292/100/12+(C293-1)</f>
        <v/>
      </c>
      <c r="E293" s="8">
        <f>E292*(1+D293)</f>
        <v/>
      </c>
    </row>
    <row r="294">
      <c r="A294" s="8" t="inlineStr">
        <is>
          <t>1895-01-01</t>
        </is>
      </c>
      <c r="B294" s="6" t="n">
        <v>3.46</v>
      </c>
      <c r="C294" s="8">
        <f>-PV(B294/100,$B$3,B293/100,1)</f>
        <v/>
      </c>
      <c r="D294" s="8">
        <f>B293/100/12+(C294-1)</f>
        <v/>
      </c>
      <c r="E294" s="8">
        <f>E293*(1+D294)</f>
        <v/>
      </c>
    </row>
    <row r="295">
      <c r="A295" s="8" t="inlineStr">
        <is>
          <t>1895-02-01</t>
        </is>
      </c>
      <c r="B295" s="6" t="n">
        <v>3.4717</v>
      </c>
      <c r="C295" s="8">
        <f>-PV(B295/100,$B$3,B294/100,1)</f>
        <v/>
      </c>
      <c r="D295" s="8">
        <f>B294/100/12+(C295-1)</f>
        <v/>
      </c>
      <c r="E295" s="8">
        <f>E294*(1+D295)</f>
        <v/>
      </c>
    </row>
    <row r="296">
      <c r="A296" s="8" t="inlineStr">
        <is>
          <t>1895-03-01</t>
        </is>
      </c>
      <c r="B296" s="6" t="n">
        <v>3.4833</v>
      </c>
      <c r="C296" s="8">
        <f>-PV(B296/100,$B$3,B295/100,1)</f>
        <v/>
      </c>
      <c r="D296" s="8">
        <f>B295/100/12+(C296-1)</f>
        <v/>
      </c>
      <c r="E296" s="8">
        <f>E295*(1+D296)</f>
        <v/>
      </c>
    </row>
    <row r="297">
      <c r="A297" s="8" t="inlineStr">
        <is>
          <t>1895-04-01</t>
        </is>
      </c>
      <c r="B297" s="6" t="n">
        <v>3.495</v>
      </c>
      <c r="C297" s="8">
        <f>-PV(B297/100,$B$3,B296/100,1)</f>
        <v/>
      </c>
      <c r="D297" s="8">
        <f>B296/100/12+(C297-1)</f>
        <v/>
      </c>
      <c r="E297" s="8">
        <f>E296*(1+D297)</f>
        <v/>
      </c>
    </row>
    <row r="298">
      <c r="A298" s="8" t="inlineStr">
        <is>
          <t>1895-05-01</t>
        </is>
      </c>
      <c r="B298" s="6" t="n">
        <v>3.5067</v>
      </c>
      <c r="C298" s="8">
        <f>-PV(B298/100,$B$3,B297/100,1)</f>
        <v/>
      </c>
      <c r="D298" s="8">
        <f>B297/100/12+(C298-1)</f>
        <v/>
      </c>
      <c r="E298" s="8">
        <f>E297*(1+D298)</f>
        <v/>
      </c>
    </row>
    <row r="299">
      <c r="A299" s="8" t="inlineStr">
        <is>
          <t>1895-06-01</t>
        </is>
      </c>
      <c r="B299" s="6" t="n">
        <v>3.5183</v>
      </c>
      <c r="C299" s="8">
        <f>-PV(B299/100,$B$3,B298/100,1)</f>
        <v/>
      </c>
      <c r="D299" s="8">
        <f>B298/100/12+(C299-1)</f>
        <v/>
      </c>
      <c r="E299" s="8">
        <f>E298*(1+D299)</f>
        <v/>
      </c>
    </row>
    <row r="300">
      <c r="A300" s="8" t="inlineStr">
        <is>
          <t>1895-07-01</t>
        </is>
      </c>
      <c r="B300" s="6" t="n">
        <v>3.53</v>
      </c>
      <c r="C300" s="8">
        <f>-PV(B300/100,$B$3,B299/100,1)</f>
        <v/>
      </c>
      <c r="D300" s="8">
        <f>B299/100/12+(C300-1)</f>
        <v/>
      </c>
      <c r="E300" s="8">
        <f>E299*(1+D300)</f>
        <v/>
      </c>
    </row>
    <row r="301">
      <c r="A301" s="8" t="inlineStr">
        <is>
          <t>1895-08-01</t>
        </is>
      </c>
      <c r="B301" s="6" t="n">
        <v>3.5417</v>
      </c>
      <c r="C301" s="8">
        <f>-PV(B301/100,$B$3,B300/100,1)</f>
        <v/>
      </c>
      <c r="D301" s="8">
        <f>B300/100/12+(C301-1)</f>
        <v/>
      </c>
      <c r="E301" s="8">
        <f>E300*(1+D301)</f>
        <v/>
      </c>
    </row>
    <row r="302">
      <c r="A302" s="8" t="inlineStr">
        <is>
          <t>1895-09-01</t>
        </is>
      </c>
      <c r="B302" s="6" t="n">
        <v>3.5533</v>
      </c>
      <c r="C302" s="8">
        <f>-PV(B302/100,$B$3,B301/100,1)</f>
        <v/>
      </c>
      <c r="D302" s="8">
        <f>B301/100/12+(C302-1)</f>
        <v/>
      </c>
      <c r="E302" s="8">
        <f>E301*(1+D302)</f>
        <v/>
      </c>
    </row>
    <row r="303">
      <c r="A303" s="8" t="inlineStr">
        <is>
          <t>1895-10-01</t>
        </is>
      </c>
      <c r="B303" s="6" t="n">
        <v>3.565</v>
      </c>
      <c r="C303" s="8">
        <f>-PV(B303/100,$B$3,B302/100,1)</f>
        <v/>
      </c>
      <c r="D303" s="8">
        <f>B302/100/12+(C303-1)</f>
        <v/>
      </c>
      <c r="E303" s="8">
        <f>E302*(1+D303)</f>
        <v/>
      </c>
    </row>
    <row r="304">
      <c r="A304" s="8" t="inlineStr">
        <is>
          <t>1895-11-01</t>
        </is>
      </c>
      <c r="B304" s="6" t="n">
        <v>3.5767</v>
      </c>
      <c r="C304" s="8">
        <f>-PV(B304/100,$B$3,B303/100,1)</f>
        <v/>
      </c>
      <c r="D304" s="8">
        <f>B303/100/12+(C304-1)</f>
        <v/>
      </c>
      <c r="E304" s="8">
        <f>E303*(1+D304)</f>
        <v/>
      </c>
    </row>
    <row r="305">
      <c r="A305" s="8" t="inlineStr">
        <is>
          <t>1895-12-01</t>
        </is>
      </c>
      <c r="B305" s="6" t="n">
        <v>3.5883</v>
      </c>
      <c r="C305" s="8">
        <f>-PV(B305/100,$B$3,B304/100,1)</f>
        <v/>
      </c>
      <c r="D305" s="8">
        <f>B304/100/12+(C305-1)</f>
        <v/>
      </c>
      <c r="E305" s="8">
        <f>E304*(1+D305)</f>
        <v/>
      </c>
    </row>
    <row r="306">
      <c r="A306" s="8" t="inlineStr">
        <is>
          <t>1896-01-01</t>
        </is>
      </c>
      <c r="B306" s="6" t="n">
        <v>3.6</v>
      </c>
      <c r="C306" s="8">
        <f>-PV(B306/100,$B$3,B305/100,1)</f>
        <v/>
      </c>
      <c r="D306" s="8">
        <f>B305/100/12+(C306-1)</f>
        <v/>
      </c>
      <c r="E306" s="8">
        <f>E305*(1+D306)</f>
        <v/>
      </c>
    </row>
    <row r="307">
      <c r="A307" s="8" t="inlineStr">
        <is>
          <t>1896-02-01</t>
        </is>
      </c>
      <c r="B307" s="6" t="n">
        <v>3.5833</v>
      </c>
      <c r="C307" s="8">
        <f>-PV(B307/100,$B$3,B306/100,1)</f>
        <v/>
      </c>
      <c r="D307" s="8">
        <f>B306/100/12+(C307-1)</f>
        <v/>
      </c>
      <c r="E307" s="8">
        <f>E306*(1+D307)</f>
        <v/>
      </c>
    </row>
    <row r="308">
      <c r="A308" s="8" t="inlineStr">
        <is>
          <t>1896-03-01</t>
        </is>
      </c>
      <c r="B308" s="6" t="n">
        <v>3.5667</v>
      </c>
      <c r="C308" s="8">
        <f>-PV(B308/100,$B$3,B307/100,1)</f>
        <v/>
      </c>
      <c r="D308" s="8">
        <f>B307/100/12+(C308-1)</f>
        <v/>
      </c>
      <c r="E308" s="8">
        <f>E307*(1+D308)</f>
        <v/>
      </c>
    </row>
    <row r="309">
      <c r="A309" s="8" t="inlineStr">
        <is>
          <t>1896-04-01</t>
        </is>
      </c>
      <c r="B309" s="6" t="n">
        <v>3.55</v>
      </c>
      <c r="C309" s="8">
        <f>-PV(B309/100,$B$3,B308/100,1)</f>
        <v/>
      </c>
      <c r="D309" s="8">
        <f>B308/100/12+(C309-1)</f>
        <v/>
      </c>
      <c r="E309" s="8">
        <f>E308*(1+D309)</f>
        <v/>
      </c>
    </row>
    <row r="310">
      <c r="A310" s="8" t="inlineStr">
        <is>
          <t>1896-05-01</t>
        </is>
      </c>
      <c r="B310" s="6" t="n">
        <v>3.5333</v>
      </c>
      <c r="C310" s="8">
        <f>-PV(B310/100,$B$3,B309/100,1)</f>
        <v/>
      </c>
      <c r="D310" s="8">
        <f>B309/100/12+(C310-1)</f>
        <v/>
      </c>
      <c r="E310" s="8">
        <f>E309*(1+D310)</f>
        <v/>
      </c>
    </row>
    <row r="311">
      <c r="A311" s="8" t="inlineStr">
        <is>
          <t>1896-06-01</t>
        </is>
      </c>
      <c r="B311" s="6" t="n">
        <v>3.5167</v>
      </c>
      <c r="C311" s="8">
        <f>-PV(B311/100,$B$3,B310/100,1)</f>
        <v/>
      </c>
      <c r="D311" s="8">
        <f>B310/100/12+(C311-1)</f>
        <v/>
      </c>
      <c r="E311" s="8">
        <f>E310*(1+D311)</f>
        <v/>
      </c>
    </row>
    <row r="312">
      <c r="A312" s="8" t="inlineStr">
        <is>
          <t>1896-07-01</t>
        </is>
      </c>
      <c r="B312" s="6" t="n">
        <v>3.5</v>
      </c>
      <c r="C312" s="8">
        <f>-PV(B312/100,$B$3,B311/100,1)</f>
        <v/>
      </c>
      <c r="D312" s="8">
        <f>B311/100/12+(C312-1)</f>
        <v/>
      </c>
      <c r="E312" s="8">
        <f>E311*(1+D312)</f>
        <v/>
      </c>
    </row>
    <row r="313">
      <c r="A313" s="8" t="inlineStr">
        <is>
          <t>1896-08-01</t>
        </is>
      </c>
      <c r="B313" s="6" t="n">
        <v>3.4833</v>
      </c>
      <c r="C313" s="8">
        <f>-PV(B313/100,$B$3,B312/100,1)</f>
        <v/>
      </c>
      <c r="D313" s="8">
        <f>B312/100/12+(C313-1)</f>
        <v/>
      </c>
      <c r="E313" s="8">
        <f>E312*(1+D313)</f>
        <v/>
      </c>
    </row>
    <row r="314">
      <c r="A314" s="8" t="inlineStr">
        <is>
          <t>1896-09-01</t>
        </is>
      </c>
      <c r="B314" s="6" t="n">
        <v>3.4667</v>
      </c>
      <c r="C314" s="8">
        <f>-PV(B314/100,$B$3,B313/100,1)</f>
        <v/>
      </c>
      <c r="D314" s="8">
        <f>B313/100/12+(C314-1)</f>
        <v/>
      </c>
      <c r="E314" s="8">
        <f>E313*(1+D314)</f>
        <v/>
      </c>
    </row>
    <row r="315">
      <c r="A315" s="8" t="inlineStr">
        <is>
          <t>1896-10-01</t>
        </is>
      </c>
      <c r="B315" s="6" t="n">
        <v>3.45</v>
      </c>
      <c r="C315" s="8">
        <f>-PV(B315/100,$B$3,B314/100,1)</f>
        <v/>
      </c>
      <c r="D315" s="8">
        <f>B314/100/12+(C315-1)</f>
        <v/>
      </c>
      <c r="E315" s="8">
        <f>E314*(1+D315)</f>
        <v/>
      </c>
    </row>
    <row r="316">
      <c r="A316" s="8" t="inlineStr">
        <is>
          <t>1896-11-01</t>
        </is>
      </c>
      <c r="B316" s="6" t="n">
        <v>3.4333</v>
      </c>
      <c r="C316" s="8">
        <f>-PV(B316/100,$B$3,B315/100,1)</f>
        <v/>
      </c>
      <c r="D316" s="8">
        <f>B315/100/12+(C316-1)</f>
        <v/>
      </c>
      <c r="E316" s="8">
        <f>E315*(1+D316)</f>
        <v/>
      </c>
    </row>
    <row r="317">
      <c r="A317" s="8" t="inlineStr">
        <is>
          <t>1896-12-01</t>
        </is>
      </c>
      <c r="B317" s="6" t="n">
        <v>3.4167</v>
      </c>
      <c r="C317" s="8">
        <f>-PV(B317/100,$B$3,B316/100,1)</f>
        <v/>
      </c>
      <c r="D317" s="8">
        <f>B316/100/12+(C317-1)</f>
        <v/>
      </c>
      <c r="E317" s="8">
        <f>E316*(1+D317)</f>
        <v/>
      </c>
    </row>
    <row r="318">
      <c r="A318" s="8" t="inlineStr">
        <is>
          <t>1897-01-01</t>
        </is>
      </c>
      <c r="B318" s="6" t="n">
        <v>3.4</v>
      </c>
      <c r="C318" s="8">
        <f>-PV(B318/100,$B$3,B317/100,1)</f>
        <v/>
      </c>
      <c r="D318" s="8">
        <f>B317/100/12+(C318-1)</f>
        <v/>
      </c>
      <c r="E318" s="8">
        <f>E317*(1+D318)</f>
        <v/>
      </c>
    </row>
    <row r="319">
      <c r="A319" s="8" t="inlineStr">
        <is>
          <t>1897-02-01</t>
        </is>
      </c>
      <c r="B319" s="6" t="n">
        <v>3.3958</v>
      </c>
      <c r="C319" s="8">
        <f>-PV(B319/100,$B$3,B318/100,1)</f>
        <v/>
      </c>
      <c r="D319" s="8">
        <f>B318/100/12+(C319-1)</f>
        <v/>
      </c>
      <c r="E319" s="8">
        <f>E318*(1+D319)</f>
        <v/>
      </c>
    </row>
    <row r="320">
      <c r="A320" s="8" t="inlineStr">
        <is>
          <t>1897-03-01</t>
        </is>
      </c>
      <c r="B320" s="6" t="n">
        <v>3.3917</v>
      </c>
      <c r="C320" s="8">
        <f>-PV(B320/100,$B$3,B319/100,1)</f>
        <v/>
      </c>
      <c r="D320" s="8">
        <f>B319/100/12+(C320-1)</f>
        <v/>
      </c>
      <c r="E320" s="8">
        <f>E319*(1+D320)</f>
        <v/>
      </c>
    </row>
    <row r="321">
      <c r="A321" s="8" t="inlineStr">
        <is>
          <t>1897-04-01</t>
        </is>
      </c>
      <c r="B321" s="6" t="n">
        <v>3.3875</v>
      </c>
      <c r="C321" s="8">
        <f>-PV(B321/100,$B$3,B320/100,1)</f>
        <v/>
      </c>
      <c r="D321" s="8">
        <f>B320/100/12+(C321-1)</f>
        <v/>
      </c>
      <c r="E321" s="8">
        <f>E320*(1+D321)</f>
        <v/>
      </c>
    </row>
    <row r="322">
      <c r="A322" s="8" t="inlineStr">
        <is>
          <t>1897-05-01</t>
        </is>
      </c>
      <c r="B322" s="6" t="n">
        <v>3.3833</v>
      </c>
      <c r="C322" s="8">
        <f>-PV(B322/100,$B$3,B321/100,1)</f>
        <v/>
      </c>
      <c r="D322" s="8">
        <f>B321/100/12+(C322-1)</f>
        <v/>
      </c>
      <c r="E322" s="8">
        <f>E321*(1+D322)</f>
        <v/>
      </c>
    </row>
    <row r="323">
      <c r="A323" s="8" t="inlineStr">
        <is>
          <t>1897-06-01</t>
        </is>
      </c>
      <c r="B323" s="6" t="n">
        <v>3.3792</v>
      </c>
      <c r="C323" s="8">
        <f>-PV(B323/100,$B$3,B322/100,1)</f>
        <v/>
      </c>
      <c r="D323" s="8">
        <f>B322/100/12+(C323-1)</f>
        <v/>
      </c>
      <c r="E323" s="8">
        <f>E322*(1+D323)</f>
        <v/>
      </c>
    </row>
    <row r="324">
      <c r="A324" s="8" t="inlineStr">
        <is>
          <t>1897-07-01</t>
        </is>
      </c>
      <c r="B324" s="6" t="n">
        <v>3.375</v>
      </c>
      <c r="C324" s="8">
        <f>-PV(B324/100,$B$3,B323/100,1)</f>
        <v/>
      </c>
      <c r="D324" s="8">
        <f>B323/100/12+(C324-1)</f>
        <v/>
      </c>
      <c r="E324" s="8">
        <f>E323*(1+D324)</f>
        <v/>
      </c>
    </row>
    <row r="325">
      <c r="A325" s="8" t="inlineStr">
        <is>
          <t>1897-08-01</t>
        </is>
      </c>
      <c r="B325" s="6" t="n">
        <v>3.3708</v>
      </c>
      <c r="C325" s="8">
        <f>-PV(B325/100,$B$3,B324/100,1)</f>
        <v/>
      </c>
      <c r="D325" s="8">
        <f>B324/100/12+(C325-1)</f>
        <v/>
      </c>
      <c r="E325" s="8">
        <f>E324*(1+D325)</f>
        <v/>
      </c>
    </row>
    <row r="326">
      <c r="A326" s="8" t="inlineStr">
        <is>
          <t>1897-09-01</t>
        </is>
      </c>
      <c r="B326" s="6" t="n">
        <v>3.3667</v>
      </c>
      <c r="C326" s="8">
        <f>-PV(B326/100,$B$3,B325/100,1)</f>
        <v/>
      </c>
      <c r="D326" s="8">
        <f>B325/100/12+(C326-1)</f>
        <v/>
      </c>
      <c r="E326" s="8">
        <f>E325*(1+D326)</f>
        <v/>
      </c>
    </row>
    <row r="327">
      <c r="A327" s="8" t="inlineStr">
        <is>
          <t>1897-10-01</t>
        </is>
      </c>
      <c r="B327" s="6" t="n">
        <v>3.3625</v>
      </c>
      <c r="C327" s="8">
        <f>-PV(B327/100,$B$3,B326/100,1)</f>
        <v/>
      </c>
      <c r="D327" s="8">
        <f>B326/100/12+(C327-1)</f>
        <v/>
      </c>
      <c r="E327" s="8">
        <f>E326*(1+D327)</f>
        <v/>
      </c>
    </row>
    <row r="328">
      <c r="A328" s="8" t="inlineStr">
        <is>
          <t>1897-11-01</t>
        </is>
      </c>
      <c r="B328" s="6" t="n">
        <v>3.3583</v>
      </c>
      <c r="C328" s="8">
        <f>-PV(B328/100,$B$3,B327/100,1)</f>
        <v/>
      </c>
      <c r="D328" s="8">
        <f>B327/100/12+(C328-1)</f>
        <v/>
      </c>
      <c r="E328" s="8">
        <f>E327*(1+D328)</f>
        <v/>
      </c>
    </row>
    <row r="329">
      <c r="A329" s="8" t="inlineStr">
        <is>
          <t>1897-12-01</t>
        </is>
      </c>
      <c r="B329" s="6" t="n">
        <v>3.3542</v>
      </c>
      <c r="C329" s="8">
        <f>-PV(B329/100,$B$3,B328/100,1)</f>
        <v/>
      </c>
      <c r="D329" s="8">
        <f>B328/100/12+(C329-1)</f>
        <v/>
      </c>
      <c r="E329" s="8">
        <f>E328*(1+D329)</f>
        <v/>
      </c>
    </row>
    <row r="330">
      <c r="A330" s="8" t="inlineStr">
        <is>
          <t>1898-01-01</t>
        </is>
      </c>
      <c r="B330" s="6" t="n">
        <v>3.35</v>
      </c>
      <c r="C330" s="8">
        <f>-PV(B330/100,$B$3,B329/100,1)</f>
        <v/>
      </c>
      <c r="D330" s="8">
        <f>B329/100/12+(C330-1)</f>
        <v/>
      </c>
      <c r="E330" s="8">
        <f>E329*(1+D330)</f>
        <v/>
      </c>
    </row>
    <row r="331">
      <c r="A331" s="8" t="inlineStr">
        <is>
          <t>1898-02-01</t>
        </is>
      </c>
      <c r="B331" s="6" t="n">
        <v>3.3292</v>
      </c>
      <c r="C331" s="8">
        <f>-PV(B331/100,$B$3,B330/100,1)</f>
        <v/>
      </c>
      <c r="D331" s="8">
        <f>B330/100/12+(C331-1)</f>
        <v/>
      </c>
      <c r="E331" s="8">
        <f>E330*(1+D331)</f>
        <v/>
      </c>
    </row>
    <row r="332">
      <c r="A332" s="8" t="inlineStr">
        <is>
          <t>1898-03-01</t>
        </is>
      </c>
      <c r="B332" s="6" t="n">
        <v>3.3083</v>
      </c>
      <c r="C332" s="8">
        <f>-PV(B332/100,$B$3,B331/100,1)</f>
        <v/>
      </c>
      <c r="D332" s="8">
        <f>B331/100/12+(C332-1)</f>
        <v/>
      </c>
      <c r="E332" s="8">
        <f>E331*(1+D332)</f>
        <v/>
      </c>
    </row>
    <row r="333">
      <c r="A333" s="8" t="inlineStr">
        <is>
          <t>1898-04-01</t>
        </is>
      </c>
      <c r="B333" s="6" t="n">
        <v>3.2875</v>
      </c>
      <c r="C333" s="8">
        <f>-PV(B333/100,$B$3,B332/100,1)</f>
        <v/>
      </c>
      <c r="D333" s="8">
        <f>B332/100/12+(C333-1)</f>
        <v/>
      </c>
      <c r="E333" s="8">
        <f>E332*(1+D333)</f>
        <v/>
      </c>
    </row>
    <row r="334">
      <c r="A334" s="8" t="inlineStr">
        <is>
          <t>1898-05-01</t>
        </is>
      </c>
      <c r="B334" s="6" t="n">
        <v>3.2667</v>
      </c>
      <c r="C334" s="8">
        <f>-PV(B334/100,$B$3,B333/100,1)</f>
        <v/>
      </c>
      <c r="D334" s="8">
        <f>B333/100/12+(C334-1)</f>
        <v/>
      </c>
      <c r="E334" s="8">
        <f>E333*(1+D334)</f>
        <v/>
      </c>
    </row>
    <row r="335">
      <c r="A335" s="8" t="inlineStr">
        <is>
          <t>1898-06-01</t>
        </is>
      </c>
      <c r="B335" s="6" t="n">
        <v>3.2458</v>
      </c>
      <c r="C335" s="8">
        <f>-PV(B335/100,$B$3,B334/100,1)</f>
        <v/>
      </c>
      <c r="D335" s="8">
        <f>B334/100/12+(C335-1)</f>
        <v/>
      </c>
      <c r="E335" s="8">
        <f>E334*(1+D335)</f>
        <v/>
      </c>
    </row>
    <row r="336">
      <c r="A336" s="8" t="inlineStr">
        <is>
          <t>1898-07-01</t>
        </is>
      </c>
      <c r="B336" s="6" t="n">
        <v>3.225</v>
      </c>
      <c r="C336" s="8">
        <f>-PV(B336/100,$B$3,B335/100,1)</f>
        <v/>
      </c>
      <c r="D336" s="8">
        <f>B335/100/12+(C336-1)</f>
        <v/>
      </c>
      <c r="E336" s="8">
        <f>E335*(1+D336)</f>
        <v/>
      </c>
    </row>
    <row r="337">
      <c r="A337" s="8" t="inlineStr">
        <is>
          <t>1898-08-01</t>
        </is>
      </c>
      <c r="B337" s="6" t="n">
        <v>3.2042</v>
      </c>
      <c r="C337" s="8">
        <f>-PV(B337/100,$B$3,B336/100,1)</f>
        <v/>
      </c>
      <c r="D337" s="8">
        <f>B336/100/12+(C337-1)</f>
        <v/>
      </c>
      <c r="E337" s="8">
        <f>E336*(1+D337)</f>
        <v/>
      </c>
    </row>
    <row r="338">
      <c r="A338" s="8" t="inlineStr">
        <is>
          <t>1898-09-01</t>
        </is>
      </c>
      <c r="B338" s="6" t="n">
        <v>3.1833</v>
      </c>
      <c r="C338" s="8">
        <f>-PV(B338/100,$B$3,B337/100,1)</f>
        <v/>
      </c>
      <c r="D338" s="8">
        <f>B337/100/12+(C338-1)</f>
        <v/>
      </c>
      <c r="E338" s="8">
        <f>E337*(1+D338)</f>
        <v/>
      </c>
    </row>
    <row r="339">
      <c r="A339" s="8" t="inlineStr">
        <is>
          <t>1898-10-01</t>
        </is>
      </c>
      <c r="B339" s="6" t="n">
        <v>3.1625</v>
      </c>
      <c r="C339" s="8">
        <f>-PV(B339/100,$B$3,B338/100,1)</f>
        <v/>
      </c>
      <c r="D339" s="8">
        <f>B338/100/12+(C339-1)</f>
        <v/>
      </c>
      <c r="E339" s="8">
        <f>E338*(1+D339)</f>
        <v/>
      </c>
    </row>
    <row r="340">
      <c r="A340" s="8" t="inlineStr">
        <is>
          <t>1898-11-01</t>
        </is>
      </c>
      <c r="B340" s="6" t="n">
        <v>3.1417</v>
      </c>
      <c r="C340" s="8">
        <f>-PV(B340/100,$B$3,B339/100,1)</f>
        <v/>
      </c>
      <c r="D340" s="8">
        <f>B339/100/12+(C340-1)</f>
        <v/>
      </c>
      <c r="E340" s="8">
        <f>E339*(1+D340)</f>
        <v/>
      </c>
    </row>
    <row r="341">
      <c r="A341" s="8" t="inlineStr">
        <is>
          <t>1898-12-01</t>
        </is>
      </c>
      <c r="B341" s="6" t="n">
        <v>3.1208</v>
      </c>
      <c r="C341" s="8">
        <f>-PV(B341/100,$B$3,B340/100,1)</f>
        <v/>
      </c>
      <c r="D341" s="8">
        <f>B340/100/12+(C341-1)</f>
        <v/>
      </c>
      <c r="E341" s="8">
        <f>E340*(1+D341)</f>
        <v/>
      </c>
    </row>
    <row r="342">
      <c r="A342" s="8" t="inlineStr">
        <is>
          <t>1899-01-01</t>
        </is>
      </c>
      <c r="B342" s="6" t="n">
        <v>3.1</v>
      </c>
      <c r="C342" s="8">
        <f>-PV(B342/100,$B$3,B341/100,1)</f>
        <v/>
      </c>
      <c r="D342" s="8">
        <f>B341/100/12+(C342-1)</f>
        <v/>
      </c>
      <c r="E342" s="8">
        <f>E341*(1+D342)</f>
        <v/>
      </c>
    </row>
    <row r="343">
      <c r="A343" s="8" t="inlineStr">
        <is>
          <t>1899-02-01</t>
        </is>
      </c>
      <c r="B343" s="6" t="n">
        <v>3.1042</v>
      </c>
      <c r="C343" s="8">
        <f>-PV(B343/100,$B$3,B342/100,1)</f>
        <v/>
      </c>
      <c r="D343" s="8">
        <f>B342/100/12+(C343-1)</f>
        <v/>
      </c>
      <c r="E343" s="8">
        <f>E342*(1+D343)</f>
        <v/>
      </c>
    </row>
    <row r="344">
      <c r="A344" s="8" t="inlineStr">
        <is>
          <t>1899-03-01</t>
        </is>
      </c>
      <c r="B344" s="6" t="n">
        <v>3.1083</v>
      </c>
      <c r="C344" s="8">
        <f>-PV(B344/100,$B$3,B343/100,1)</f>
        <v/>
      </c>
      <c r="D344" s="8">
        <f>B343/100/12+(C344-1)</f>
        <v/>
      </c>
      <c r="E344" s="8">
        <f>E343*(1+D344)</f>
        <v/>
      </c>
    </row>
    <row r="345">
      <c r="A345" s="8" t="inlineStr">
        <is>
          <t>1899-04-01</t>
        </is>
      </c>
      <c r="B345" s="6" t="n">
        <v>3.1125</v>
      </c>
      <c r="C345" s="8">
        <f>-PV(B345/100,$B$3,B344/100,1)</f>
        <v/>
      </c>
      <c r="D345" s="8">
        <f>B344/100/12+(C345-1)</f>
        <v/>
      </c>
      <c r="E345" s="8">
        <f>E344*(1+D345)</f>
        <v/>
      </c>
    </row>
    <row r="346">
      <c r="A346" s="8" t="inlineStr">
        <is>
          <t>1899-05-01</t>
        </is>
      </c>
      <c r="B346" s="6" t="n">
        <v>3.1167</v>
      </c>
      <c r="C346" s="8">
        <f>-PV(B346/100,$B$3,B345/100,1)</f>
        <v/>
      </c>
      <c r="D346" s="8">
        <f>B345/100/12+(C346-1)</f>
        <v/>
      </c>
      <c r="E346" s="8">
        <f>E345*(1+D346)</f>
        <v/>
      </c>
    </row>
    <row r="347">
      <c r="A347" s="8" t="inlineStr">
        <is>
          <t>1899-06-01</t>
        </is>
      </c>
      <c r="B347" s="6" t="n">
        <v>3.1208</v>
      </c>
      <c r="C347" s="8">
        <f>-PV(B347/100,$B$3,B346/100,1)</f>
        <v/>
      </c>
      <c r="D347" s="8">
        <f>B346/100/12+(C347-1)</f>
        <v/>
      </c>
      <c r="E347" s="8">
        <f>E346*(1+D347)</f>
        <v/>
      </c>
    </row>
    <row r="348">
      <c r="A348" s="8" t="inlineStr">
        <is>
          <t>1899-07-01</t>
        </is>
      </c>
      <c r="B348" s="6" t="n">
        <v>3.125</v>
      </c>
      <c r="C348" s="8">
        <f>-PV(B348/100,$B$3,B347/100,1)</f>
        <v/>
      </c>
      <c r="D348" s="8">
        <f>B347/100/12+(C348-1)</f>
        <v/>
      </c>
      <c r="E348" s="8">
        <f>E347*(1+D348)</f>
        <v/>
      </c>
    </row>
    <row r="349">
      <c r="A349" s="8" t="inlineStr">
        <is>
          <t>1899-08-01</t>
        </is>
      </c>
      <c r="B349" s="6" t="n">
        <v>3.1292</v>
      </c>
      <c r="C349" s="8">
        <f>-PV(B349/100,$B$3,B348/100,1)</f>
        <v/>
      </c>
      <c r="D349" s="8">
        <f>B348/100/12+(C349-1)</f>
        <v/>
      </c>
      <c r="E349" s="8">
        <f>E348*(1+D349)</f>
        <v/>
      </c>
    </row>
    <row r="350">
      <c r="A350" s="8" t="inlineStr">
        <is>
          <t>1899-09-01</t>
        </is>
      </c>
      <c r="B350" s="6" t="n">
        <v>3.1333</v>
      </c>
      <c r="C350" s="8">
        <f>-PV(B350/100,$B$3,B349/100,1)</f>
        <v/>
      </c>
      <c r="D350" s="8">
        <f>B349/100/12+(C350-1)</f>
        <v/>
      </c>
      <c r="E350" s="8">
        <f>E349*(1+D350)</f>
        <v/>
      </c>
    </row>
    <row r="351">
      <c r="A351" s="8" t="inlineStr">
        <is>
          <t>1899-10-01</t>
        </is>
      </c>
      <c r="B351" s="6" t="n">
        <v>3.1375</v>
      </c>
      <c r="C351" s="8">
        <f>-PV(B351/100,$B$3,B350/100,1)</f>
        <v/>
      </c>
      <c r="D351" s="8">
        <f>B350/100/12+(C351-1)</f>
        <v/>
      </c>
      <c r="E351" s="8">
        <f>E350*(1+D351)</f>
        <v/>
      </c>
    </row>
    <row r="352">
      <c r="A352" s="8" t="inlineStr">
        <is>
          <t>1899-11-01</t>
        </is>
      </c>
      <c r="B352" s="6" t="n">
        <v>3.1417</v>
      </c>
      <c r="C352" s="8">
        <f>-PV(B352/100,$B$3,B351/100,1)</f>
        <v/>
      </c>
      <c r="D352" s="8">
        <f>B351/100/12+(C352-1)</f>
        <v/>
      </c>
      <c r="E352" s="8">
        <f>E351*(1+D352)</f>
        <v/>
      </c>
    </row>
    <row r="353">
      <c r="A353" s="8" t="inlineStr">
        <is>
          <t>1899-12-01</t>
        </is>
      </c>
      <c r="B353" s="6" t="n">
        <v>3.1458</v>
      </c>
      <c r="C353" s="8">
        <f>-PV(B353/100,$B$3,B352/100,1)</f>
        <v/>
      </c>
      <c r="D353" s="8">
        <f>B352/100/12+(C353-1)</f>
        <v/>
      </c>
      <c r="E353" s="8">
        <f>E352*(1+D353)</f>
        <v/>
      </c>
    </row>
    <row r="354">
      <c r="A354" s="8" t="inlineStr">
        <is>
          <t>1900-01-01</t>
        </is>
      </c>
      <c r="B354" s="6" t="n">
        <v>3.15</v>
      </c>
      <c r="C354" s="8">
        <f>-PV(B354/100,$B$3,B353/100,1)</f>
        <v/>
      </c>
      <c r="D354" s="8">
        <f>B353/100/12+(C354-1)</f>
        <v/>
      </c>
      <c r="E354" s="8">
        <f>E353*(1+D354)</f>
        <v/>
      </c>
    </row>
    <row r="355">
      <c r="A355" s="8" t="inlineStr">
        <is>
          <t>1900-02-01</t>
        </is>
      </c>
      <c r="B355" s="6" t="n">
        <v>3.1458</v>
      </c>
      <c r="C355" s="8">
        <f>-PV(B355/100,$B$3,B354/100,1)</f>
        <v/>
      </c>
      <c r="D355" s="8">
        <f>B354/100/12+(C355-1)</f>
        <v/>
      </c>
      <c r="E355" s="8">
        <f>E354*(1+D355)</f>
        <v/>
      </c>
    </row>
    <row r="356">
      <c r="A356" s="8" t="inlineStr">
        <is>
          <t>1900-03-01</t>
        </is>
      </c>
      <c r="B356" s="6" t="n">
        <v>3.1417</v>
      </c>
      <c r="C356" s="8">
        <f>-PV(B356/100,$B$3,B355/100,1)</f>
        <v/>
      </c>
      <c r="D356" s="8">
        <f>B355/100/12+(C356-1)</f>
        <v/>
      </c>
      <c r="E356" s="8">
        <f>E355*(1+D356)</f>
        <v/>
      </c>
    </row>
    <row r="357">
      <c r="A357" s="8" t="inlineStr">
        <is>
          <t>1900-04-01</t>
        </is>
      </c>
      <c r="B357" s="6" t="n">
        <v>3.1375</v>
      </c>
      <c r="C357" s="8">
        <f>-PV(B357/100,$B$3,B356/100,1)</f>
        <v/>
      </c>
      <c r="D357" s="8">
        <f>B356/100/12+(C357-1)</f>
        <v/>
      </c>
      <c r="E357" s="8">
        <f>E356*(1+D357)</f>
        <v/>
      </c>
    </row>
    <row r="358">
      <c r="A358" s="8" t="inlineStr">
        <is>
          <t>1900-05-01</t>
        </is>
      </c>
      <c r="B358" s="6" t="n">
        <v>3.1333</v>
      </c>
      <c r="C358" s="8">
        <f>-PV(B358/100,$B$3,B357/100,1)</f>
        <v/>
      </c>
      <c r="D358" s="8">
        <f>B357/100/12+(C358-1)</f>
        <v/>
      </c>
      <c r="E358" s="8">
        <f>E357*(1+D358)</f>
        <v/>
      </c>
    </row>
    <row r="359">
      <c r="A359" s="8" t="inlineStr">
        <is>
          <t>1900-06-01</t>
        </is>
      </c>
      <c r="B359" s="6" t="n">
        <v>3.1292</v>
      </c>
      <c r="C359" s="8">
        <f>-PV(B359/100,$B$3,B358/100,1)</f>
        <v/>
      </c>
      <c r="D359" s="8">
        <f>B358/100/12+(C359-1)</f>
        <v/>
      </c>
      <c r="E359" s="8">
        <f>E358*(1+D359)</f>
        <v/>
      </c>
    </row>
    <row r="360">
      <c r="A360" s="8" t="inlineStr">
        <is>
          <t>1900-07-01</t>
        </is>
      </c>
      <c r="B360" s="6" t="n">
        <v>3.125</v>
      </c>
      <c r="C360" s="8">
        <f>-PV(B360/100,$B$3,B359/100,1)</f>
        <v/>
      </c>
      <c r="D360" s="8">
        <f>B359/100/12+(C360-1)</f>
        <v/>
      </c>
      <c r="E360" s="8">
        <f>E359*(1+D360)</f>
        <v/>
      </c>
    </row>
    <row r="361">
      <c r="A361" s="8" t="inlineStr">
        <is>
          <t>1900-08-01</t>
        </is>
      </c>
      <c r="B361" s="6" t="n">
        <v>3.1208</v>
      </c>
      <c r="C361" s="8">
        <f>-PV(B361/100,$B$3,B360/100,1)</f>
        <v/>
      </c>
      <c r="D361" s="8">
        <f>B360/100/12+(C361-1)</f>
        <v/>
      </c>
      <c r="E361" s="8">
        <f>E360*(1+D361)</f>
        <v/>
      </c>
    </row>
    <row r="362">
      <c r="A362" s="8" t="inlineStr">
        <is>
          <t>1900-09-01</t>
        </is>
      </c>
      <c r="B362" s="6" t="n">
        <v>3.1167</v>
      </c>
      <c r="C362" s="8">
        <f>-PV(B362/100,$B$3,B361/100,1)</f>
        <v/>
      </c>
      <c r="D362" s="8">
        <f>B361/100/12+(C362-1)</f>
        <v/>
      </c>
      <c r="E362" s="8">
        <f>E361*(1+D362)</f>
        <v/>
      </c>
    </row>
    <row r="363">
      <c r="A363" s="8" t="inlineStr">
        <is>
          <t>1900-10-01</t>
        </is>
      </c>
      <c r="B363" s="6" t="n">
        <v>3.1125</v>
      </c>
      <c r="C363" s="8">
        <f>-PV(B363/100,$B$3,B362/100,1)</f>
        <v/>
      </c>
      <c r="D363" s="8">
        <f>B362/100/12+(C363-1)</f>
        <v/>
      </c>
      <c r="E363" s="8">
        <f>E362*(1+D363)</f>
        <v/>
      </c>
    </row>
    <row r="364">
      <c r="A364" s="8" t="inlineStr">
        <is>
          <t>1900-11-01</t>
        </is>
      </c>
      <c r="B364" s="6" t="n">
        <v>3.1083</v>
      </c>
      <c r="C364" s="8">
        <f>-PV(B364/100,$B$3,B363/100,1)</f>
        <v/>
      </c>
      <c r="D364" s="8">
        <f>B363/100/12+(C364-1)</f>
        <v/>
      </c>
      <c r="E364" s="8">
        <f>E363*(1+D364)</f>
        <v/>
      </c>
    </row>
    <row r="365">
      <c r="A365" s="8" t="inlineStr">
        <is>
          <t>1900-12-01</t>
        </is>
      </c>
      <c r="B365" s="6" t="n">
        <v>3.1042</v>
      </c>
      <c r="C365" s="8">
        <f>-PV(B365/100,$B$3,B364/100,1)</f>
        <v/>
      </c>
      <c r="D365" s="8">
        <f>B364/100/12+(C365-1)</f>
        <v/>
      </c>
      <c r="E365" s="8">
        <f>E364*(1+D365)</f>
        <v/>
      </c>
    </row>
    <row r="366">
      <c r="A366" s="8" t="inlineStr">
        <is>
          <t>1901-01-01</t>
        </is>
      </c>
      <c r="B366" s="6" t="n">
        <v>3.1</v>
      </c>
      <c r="C366" s="8">
        <f>-PV(B366/100,$B$3,B365/100,1)</f>
        <v/>
      </c>
      <c r="D366" s="8">
        <f>B365/100/12+(C366-1)</f>
        <v/>
      </c>
      <c r="E366" s="8">
        <f>E365*(1+D366)</f>
        <v/>
      </c>
    </row>
    <row r="367">
      <c r="A367" s="8" t="inlineStr">
        <is>
          <t>1901-02-01</t>
        </is>
      </c>
      <c r="B367" s="6" t="n">
        <v>3.1067</v>
      </c>
      <c r="C367" s="8">
        <f>-PV(B367/100,$B$3,B366/100,1)</f>
        <v/>
      </c>
      <c r="D367" s="8">
        <f>B366/100/12+(C367-1)</f>
        <v/>
      </c>
      <c r="E367" s="8">
        <f>E366*(1+D367)</f>
        <v/>
      </c>
    </row>
    <row r="368">
      <c r="A368" s="8" t="inlineStr">
        <is>
          <t>1901-03-01</t>
        </is>
      </c>
      <c r="B368" s="6" t="n">
        <v>3.1133</v>
      </c>
      <c r="C368" s="8">
        <f>-PV(B368/100,$B$3,B367/100,1)</f>
        <v/>
      </c>
      <c r="D368" s="8">
        <f>B367/100/12+(C368-1)</f>
        <v/>
      </c>
      <c r="E368" s="8">
        <f>E367*(1+D368)</f>
        <v/>
      </c>
    </row>
    <row r="369">
      <c r="A369" s="8" t="inlineStr">
        <is>
          <t>1901-04-01</t>
        </is>
      </c>
      <c r="B369" s="6" t="n">
        <v>3.12</v>
      </c>
      <c r="C369" s="8">
        <f>-PV(B369/100,$B$3,B368/100,1)</f>
        <v/>
      </c>
      <c r="D369" s="8">
        <f>B368/100/12+(C369-1)</f>
        <v/>
      </c>
      <c r="E369" s="8">
        <f>E368*(1+D369)</f>
        <v/>
      </c>
    </row>
    <row r="370">
      <c r="A370" s="8" t="inlineStr">
        <is>
          <t>1901-05-01</t>
        </is>
      </c>
      <c r="B370" s="6" t="n">
        <v>3.1267</v>
      </c>
      <c r="C370" s="8">
        <f>-PV(B370/100,$B$3,B369/100,1)</f>
        <v/>
      </c>
      <c r="D370" s="8">
        <f>B369/100/12+(C370-1)</f>
        <v/>
      </c>
      <c r="E370" s="8">
        <f>E369*(1+D370)</f>
        <v/>
      </c>
    </row>
    <row r="371">
      <c r="A371" s="8" t="inlineStr">
        <is>
          <t>1901-06-01</t>
        </is>
      </c>
      <c r="B371" s="6" t="n">
        <v>3.1333</v>
      </c>
      <c r="C371" s="8">
        <f>-PV(B371/100,$B$3,B370/100,1)</f>
        <v/>
      </c>
      <c r="D371" s="8">
        <f>B370/100/12+(C371-1)</f>
        <v/>
      </c>
      <c r="E371" s="8">
        <f>E370*(1+D371)</f>
        <v/>
      </c>
    </row>
    <row r="372">
      <c r="A372" s="8" t="inlineStr">
        <is>
          <t>1901-07-01</t>
        </is>
      </c>
      <c r="B372" s="6" t="n">
        <v>3.14</v>
      </c>
      <c r="C372" s="8">
        <f>-PV(B372/100,$B$3,B371/100,1)</f>
        <v/>
      </c>
      <c r="D372" s="8">
        <f>B371/100/12+(C372-1)</f>
        <v/>
      </c>
      <c r="E372" s="8">
        <f>E371*(1+D372)</f>
        <v/>
      </c>
    </row>
    <row r="373">
      <c r="A373" s="8" t="inlineStr">
        <is>
          <t>1901-08-01</t>
        </is>
      </c>
      <c r="B373" s="6" t="n">
        <v>3.1467</v>
      </c>
      <c r="C373" s="8">
        <f>-PV(B373/100,$B$3,B372/100,1)</f>
        <v/>
      </c>
      <c r="D373" s="8">
        <f>B372/100/12+(C373-1)</f>
        <v/>
      </c>
      <c r="E373" s="8">
        <f>E372*(1+D373)</f>
        <v/>
      </c>
    </row>
    <row r="374">
      <c r="A374" s="8" t="inlineStr">
        <is>
          <t>1901-09-01</t>
        </is>
      </c>
      <c r="B374" s="6" t="n">
        <v>3.1533</v>
      </c>
      <c r="C374" s="8">
        <f>-PV(B374/100,$B$3,B373/100,1)</f>
        <v/>
      </c>
      <c r="D374" s="8">
        <f>B373/100/12+(C374-1)</f>
        <v/>
      </c>
      <c r="E374" s="8">
        <f>E373*(1+D374)</f>
        <v/>
      </c>
    </row>
    <row r="375">
      <c r="A375" s="8" t="inlineStr">
        <is>
          <t>1901-10-01</t>
        </is>
      </c>
      <c r="B375" s="6" t="n">
        <v>3.16</v>
      </c>
      <c r="C375" s="8">
        <f>-PV(B375/100,$B$3,B374/100,1)</f>
        <v/>
      </c>
      <c r="D375" s="8">
        <f>B374/100/12+(C375-1)</f>
        <v/>
      </c>
      <c r="E375" s="8">
        <f>E374*(1+D375)</f>
        <v/>
      </c>
    </row>
    <row r="376">
      <c r="A376" s="8" t="inlineStr">
        <is>
          <t>1901-11-01</t>
        </is>
      </c>
      <c r="B376" s="6" t="n">
        <v>3.1667</v>
      </c>
      <c r="C376" s="8">
        <f>-PV(B376/100,$B$3,B375/100,1)</f>
        <v/>
      </c>
      <c r="D376" s="8">
        <f>B375/100/12+(C376-1)</f>
        <v/>
      </c>
      <c r="E376" s="8">
        <f>E375*(1+D376)</f>
        <v/>
      </c>
    </row>
    <row r="377">
      <c r="A377" s="8" t="inlineStr">
        <is>
          <t>1901-12-01</t>
        </is>
      </c>
      <c r="B377" s="6" t="n">
        <v>3.1733</v>
      </c>
      <c r="C377" s="8">
        <f>-PV(B377/100,$B$3,B376/100,1)</f>
        <v/>
      </c>
      <c r="D377" s="8">
        <f>B376/100/12+(C377-1)</f>
        <v/>
      </c>
      <c r="E377" s="8">
        <f>E376*(1+D377)</f>
        <v/>
      </c>
    </row>
    <row r="378">
      <c r="A378" s="8" t="inlineStr">
        <is>
          <t>1902-01-01</t>
        </is>
      </c>
      <c r="B378" s="6" t="n">
        <v>3.18</v>
      </c>
      <c r="C378" s="8">
        <f>-PV(B378/100,$B$3,B377/100,1)</f>
        <v/>
      </c>
      <c r="D378" s="8">
        <f>B377/100/12+(C378-1)</f>
        <v/>
      </c>
      <c r="E378" s="8">
        <f>E377*(1+D378)</f>
        <v/>
      </c>
    </row>
    <row r="379">
      <c r="A379" s="8" t="inlineStr">
        <is>
          <t>1902-02-01</t>
        </is>
      </c>
      <c r="B379" s="6" t="n">
        <v>3.19</v>
      </c>
      <c r="C379" s="8">
        <f>-PV(B379/100,$B$3,B378/100,1)</f>
        <v/>
      </c>
      <c r="D379" s="8">
        <f>B378/100/12+(C379-1)</f>
        <v/>
      </c>
      <c r="E379" s="8">
        <f>E378*(1+D379)</f>
        <v/>
      </c>
    </row>
    <row r="380">
      <c r="A380" s="8" t="inlineStr">
        <is>
          <t>1902-03-01</t>
        </is>
      </c>
      <c r="B380" s="6" t="n">
        <v>3.2</v>
      </c>
      <c r="C380" s="8">
        <f>-PV(B380/100,$B$3,B379/100,1)</f>
        <v/>
      </c>
      <c r="D380" s="8">
        <f>B379/100/12+(C380-1)</f>
        <v/>
      </c>
      <c r="E380" s="8">
        <f>E379*(1+D380)</f>
        <v/>
      </c>
    </row>
    <row r="381">
      <c r="A381" s="8" t="inlineStr">
        <is>
          <t>1902-04-01</t>
        </is>
      </c>
      <c r="B381" s="6" t="n">
        <v>3.21</v>
      </c>
      <c r="C381" s="8">
        <f>-PV(B381/100,$B$3,B380/100,1)</f>
        <v/>
      </c>
      <c r="D381" s="8">
        <f>B380/100/12+(C381-1)</f>
        <v/>
      </c>
      <c r="E381" s="8">
        <f>E380*(1+D381)</f>
        <v/>
      </c>
    </row>
    <row r="382">
      <c r="A382" s="8" t="inlineStr">
        <is>
          <t>1902-05-01</t>
        </is>
      </c>
      <c r="B382" s="6" t="n">
        <v>3.22</v>
      </c>
      <c r="C382" s="8">
        <f>-PV(B382/100,$B$3,B381/100,1)</f>
        <v/>
      </c>
      <c r="D382" s="8">
        <f>B381/100/12+(C382-1)</f>
        <v/>
      </c>
      <c r="E382" s="8">
        <f>E381*(1+D382)</f>
        <v/>
      </c>
    </row>
    <row r="383">
      <c r="A383" s="8" t="inlineStr">
        <is>
          <t>1902-06-01</t>
        </is>
      </c>
      <c r="B383" s="6" t="n">
        <v>3.23</v>
      </c>
      <c r="C383" s="8">
        <f>-PV(B383/100,$B$3,B382/100,1)</f>
        <v/>
      </c>
      <c r="D383" s="8">
        <f>B382/100/12+(C383-1)</f>
        <v/>
      </c>
      <c r="E383" s="8">
        <f>E382*(1+D383)</f>
        <v/>
      </c>
    </row>
    <row r="384">
      <c r="A384" s="8" t="inlineStr">
        <is>
          <t>1902-07-01</t>
        </is>
      </c>
      <c r="B384" s="6" t="n">
        <v>3.24</v>
      </c>
      <c r="C384" s="8">
        <f>-PV(B384/100,$B$3,B383/100,1)</f>
        <v/>
      </c>
      <c r="D384" s="8">
        <f>B383/100/12+(C384-1)</f>
        <v/>
      </c>
      <c r="E384" s="8">
        <f>E383*(1+D384)</f>
        <v/>
      </c>
    </row>
    <row r="385">
      <c r="A385" s="8" t="inlineStr">
        <is>
          <t>1902-08-01</t>
        </is>
      </c>
      <c r="B385" s="6" t="n">
        <v>3.25</v>
      </c>
      <c r="C385" s="8">
        <f>-PV(B385/100,$B$3,B384/100,1)</f>
        <v/>
      </c>
      <c r="D385" s="8">
        <f>B384/100/12+(C385-1)</f>
        <v/>
      </c>
      <c r="E385" s="8">
        <f>E384*(1+D385)</f>
        <v/>
      </c>
    </row>
    <row r="386">
      <c r="A386" s="8" t="inlineStr">
        <is>
          <t>1902-09-01</t>
        </is>
      </c>
      <c r="B386" s="6" t="n">
        <v>3.26</v>
      </c>
      <c r="C386" s="8">
        <f>-PV(B386/100,$B$3,B385/100,1)</f>
        <v/>
      </c>
      <c r="D386" s="8">
        <f>B385/100/12+(C386-1)</f>
        <v/>
      </c>
      <c r="E386" s="8">
        <f>E385*(1+D386)</f>
        <v/>
      </c>
    </row>
    <row r="387">
      <c r="A387" s="8" t="inlineStr">
        <is>
          <t>1902-10-01</t>
        </is>
      </c>
      <c r="B387" s="6" t="n">
        <v>3.27</v>
      </c>
      <c r="C387" s="8">
        <f>-PV(B387/100,$B$3,B386/100,1)</f>
        <v/>
      </c>
      <c r="D387" s="8">
        <f>B386/100/12+(C387-1)</f>
        <v/>
      </c>
      <c r="E387" s="8">
        <f>E386*(1+D387)</f>
        <v/>
      </c>
    </row>
    <row r="388">
      <c r="A388" s="8" t="inlineStr">
        <is>
          <t>1902-11-01</t>
        </is>
      </c>
      <c r="B388" s="6" t="n">
        <v>3.28</v>
      </c>
      <c r="C388" s="8">
        <f>-PV(B388/100,$B$3,B387/100,1)</f>
        <v/>
      </c>
      <c r="D388" s="8">
        <f>B387/100/12+(C388-1)</f>
        <v/>
      </c>
      <c r="E388" s="8">
        <f>E387*(1+D388)</f>
        <v/>
      </c>
    </row>
    <row r="389">
      <c r="A389" s="8" t="inlineStr">
        <is>
          <t>1902-12-01</t>
        </is>
      </c>
      <c r="B389" s="6" t="n">
        <v>3.29</v>
      </c>
      <c r="C389" s="8">
        <f>-PV(B389/100,$B$3,B388/100,1)</f>
        <v/>
      </c>
      <c r="D389" s="8">
        <f>B388/100/12+(C389-1)</f>
        <v/>
      </c>
      <c r="E389" s="8">
        <f>E388*(1+D389)</f>
        <v/>
      </c>
    </row>
    <row r="390">
      <c r="A390" s="8" t="inlineStr">
        <is>
          <t>1903-01-01</t>
        </is>
      </c>
      <c r="B390" s="6" t="n">
        <v>3.3</v>
      </c>
      <c r="C390" s="8">
        <f>-PV(B390/100,$B$3,B389/100,1)</f>
        <v/>
      </c>
      <c r="D390" s="8">
        <f>B389/100/12+(C390-1)</f>
        <v/>
      </c>
      <c r="E390" s="8">
        <f>E389*(1+D390)</f>
        <v/>
      </c>
    </row>
    <row r="391">
      <c r="A391" s="8" t="inlineStr">
        <is>
          <t>1903-02-01</t>
        </is>
      </c>
      <c r="B391" s="6" t="n">
        <v>3.3083</v>
      </c>
      <c r="C391" s="8">
        <f>-PV(B391/100,$B$3,B390/100,1)</f>
        <v/>
      </c>
      <c r="D391" s="8">
        <f>B390/100/12+(C391-1)</f>
        <v/>
      </c>
      <c r="E391" s="8">
        <f>E390*(1+D391)</f>
        <v/>
      </c>
    </row>
    <row r="392">
      <c r="A392" s="8" t="inlineStr">
        <is>
          <t>1903-03-01</t>
        </is>
      </c>
      <c r="B392" s="6" t="n">
        <v>3.3167</v>
      </c>
      <c r="C392" s="8">
        <f>-PV(B392/100,$B$3,B391/100,1)</f>
        <v/>
      </c>
      <c r="D392" s="8">
        <f>B391/100/12+(C392-1)</f>
        <v/>
      </c>
      <c r="E392" s="8">
        <f>E391*(1+D392)</f>
        <v/>
      </c>
    </row>
    <row r="393">
      <c r="A393" s="8" t="inlineStr">
        <is>
          <t>1903-04-01</t>
        </is>
      </c>
      <c r="B393" s="6" t="n">
        <v>3.325</v>
      </c>
      <c r="C393" s="8">
        <f>-PV(B393/100,$B$3,B392/100,1)</f>
        <v/>
      </c>
      <c r="D393" s="8">
        <f>B392/100/12+(C393-1)</f>
        <v/>
      </c>
      <c r="E393" s="8">
        <f>E392*(1+D393)</f>
        <v/>
      </c>
    </row>
    <row r="394">
      <c r="A394" s="8" t="inlineStr">
        <is>
          <t>1903-05-01</t>
        </is>
      </c>
      <c r="B394" s="6" t="n">
        <v>3.3333</v>
      </c>
      <c r="C394" s="8">
        <f>-PV(B394/100,$B$3,B393/100,1)</f>
        <v/>
      </c>
      <c r="D394" s="8">
        <f>B393/100/12+(C394-1)</f>
        <v/>
      </c>
      <c r="E394" s="8">
        <f>E393*(1+D394)</f>
        <v/>
      </c>
    </row>
    <row r="395">
      <c r="A395" s="8" t="inlineStr">
        <is>
          <t>1903-06-01</t>
        </is>
      </c>
      <c r="B395" s="6" t="n">
        <v>3.3417</v>
      </c>
      <c r="C395" s="8">
        <f>-PV(B395/100,$B$3,B394/100,1)</f>
        <v/>
      </c>
      <c r="D395" s="8">
        <f>B394/100/12+(C395-1)</f>
        <v/>
      </c>
      <c r="E395" s="8">
        <f>E394*(1+D395)</f>
        <v/>
      </c>
    </row>
    <row r="396">
      <c r="A396" s="8" t="inlineStr">
        <is>
          <t>1903-07-01</t>
        </is>
      </c>
      <c r="B396" s="6" t="n">
        <v>3.35</v>
      </c>
      <c r="C396" s="8">
        <f>-PV(B396/100,$B$3,B395/100,1)</f>
        <v/>
      </c>
      <c r="D396" s="8">
        <f>B395/100/12+(C396-1)</f>
        <v/>
      </c>
      <c r="E396" s="8">
        <f>E395*(1+D396)</f>
        <v/>
      </c>
    </row>
    <row r="397">
      <c r="A397" s="8" t="inlineStr">
        <is>
          <t>1903-08-01</t>
        </is>
      </c>
      <c r="B397" s="6" t="n">
        <v>3.3583</v>
      </c>
      <c r="C397" s="8">
        <f>-PV(B397/100,$B$3,B396/100,1)</f>
        <v/>
      </c>
      <c r="D397" s="8">
        <f>B396/100/12+(C397-1)</f>
        <v/>
      </c>
      <c r="E397" s="8">
        <f>E396*(1+D397)</f>
        <v/>
      </c>
    </row>
    <row r="398">
      <c r="A398" s="8" t="inlineStr">
        <is>
          <t>1903-09-01</t>
        </is>
      </c>
      <c r="B398" s="6" t="n">
        <v>3.3667</v>
      </c>
      <c r="C398" s="8">
        <f>-PV(B398/100,$B$3,B397/100,1)</f>
        <v/>
      </c>
      <c r="D398" s="8">
        <f>B397/100/12+(C398-1)</f>
        <v/>
      </c>
      <c r="E398" s="8">
        <f>E397*(1+D398)</f>
        <v/>
      </c>
    </row>
    <row r="399">
      <c r="A399" s="8" t="inlineStr">
        <is>
          <t>1903-10-01</t>
        </is>
      </c>
      <c r="B399" s="6" t="n">
        <v>3.375</v>
      </c>
      <c r="C399" s="8">
        <f>-PV(B399/100,$B$3,B398/100,1)</f>
        <v/>
      </c>
      <c r="D399" s="8">
        <f>B398/100/12+(C399-1)</f>
        <v/>
      </c>
      <c r="E399" s="8">
        <f>E398*(1+D399)</f>
        <v/>
      </c>
    </row>
    <row r="400">
      <c r="A400" s="8" t="inlineStr">
        <is>
          <t>1903-11-01</t>
        </is>
      </c>
      <c r="B400" s="6" t="n">
        <v>3.3833</v>
      </c>
      <c r="C400" s="8">
        <f>-PV(B400/100,$B$3,B399/100,1)</f>
        <v/>
      </c>
      <c r="D400" s="8">
        <f>B399/100/12+(C400-1)</f>
        <v/>
      </c>
      <c r="E400" s="8">
        <f>E399*(1+D400)</f>
        <v/>
      </c>
    </row>
    <row r="401">
      <c r="A401" s="8" t="inlineStr">
        <is>
          <t>1903-12-01</t>
        </is>
      </c>
      <c r="B401" s="6" t="n">
        <v>3.3917</v>
      </c>
      <c r="C401" s="8">
        <f>-PV(B401/100,$B$3,B400/100,1)</f>
        <v/>
      </c>
      <c r="D401" s="8">
        <f>B400/100/12+(C401-1)</f>
        <v/>
      </c>
      <c r="E401" s="8">
        <f>E400*(1+D401)</f>
        <v/>
      </c>
    </row>
    <row r="402">
      <c r="A402" s="8" t="inlineStr">
        <is>
          <t>1904-01-01</t>
        </is>
      </c>
      <c r="B402" s="6" t="n">
        <v>3.4</v>
      </c>
      <c r="C402" s="8">
        <f>-PV(B402/100,$B$3,B401/100,1)</f>
        <v/>
      </c>
      <c r="D402" s="8">
        <f>B401/100/12+(C402-1)</f>
        <v/>
      </c>
      <c r="E402" s="8">
        <f>E401*(1+D402)</f>
        <v/>
      </c>
    </row>
    <row r="403">
      <c r="A403" s="8" t="inlineStr">
        <is>
          <t>1904-02-01</t>
        </is>
      </c>
      <c r="B403" s="6" t="n">
        <v>3.4067</v>
      </c>
      <c r="C403" s="8">
        <f>-PV(B403/100,$B$3,B402/100,1)</f>
        <v/>
      </c>
      <c r="D403" s="8">
        <f>B402/100/12+(C403-1)</f>
        <v/>
      </c>
      <c r="E403" s="8">
        <f>E402*(1+D403)</f>
        <v/>
      </c>
    </row>
    <row r="404">
      <c r="A404" s="8" t="inlineStr">
        <is>
          <t>1904-03-01</t>
        </is>
      </c>
      <c r="B404" s="6" t="n">
        <v>3.4133</v>
      </c>
      <c r="C404" s="8">
        <f>-PV(B404/100,$B$3,B403/100,1)</f>
        <v/>
      </c>
      <c r="D404" s="8">
        <f>B403/100/12+(C404-1)</f>
        <v/>
      </c>
      <c r="E404" s="8">
        <f>E403*(1+D404)</f>
        <v/>
      </c>
    </row>
    <row r="405">
      <c r="A405" s="8" t="inlineStr">
        <is>
          <t>1904-04-01</t>
        </is>
      </c>
      <c r="B405" s="6" t="n">
        <v>3.42</v>
      </c>
      <c r="C405" s="8">
        <f>-PV(B405/100,$B$3,B404/100,1)</f>
        <v/>
      </c>
      <c r="D405" s="8">
        <f>B404/100/12+(C405-1)</f>
        <v/>
      </c>
      <c r="E405" s="8">
        <f>E404*(1+D405)</f>
        <v/>
      </c>
    </row>
    <row r="406">
      <c r="A406" s="8" t="inlineStr">
        <is>
          <t>1904-05-01</t>
        </is>
      </c>
      <c r="B406" s="6" t="n">
        <v>3.4267</v>
      </c>
      <c r="C406" s="8">
        <f>-PV(B406/100,$B$3,B405/100,1)</f>
        <v/>
      </c>
      <c r="D406" s="8">
        <f>B405/100/12+(C406-1)</f>
        <v/>
      </c>
      <c r="E406" s="8">
        <f>E405*(1+D406)</f>
        <v/>
      </c>
    </row>
    <row r="407">
      <c r="A407" s="8" t="inlineStr">
        <is>
          <t>1904-06-01</t>
        </is>
      </c>
      <c r="B407" s="6" t="n">
        <v>3.4333</v>
      </c>
      <c r="C407" s="8">
        <f>-PV(B407/100,$B$3,B406/100,1)</f>
        <v/>
      </c>
      <c r="D407" s="8">
        <f>B406/100/12+(C407-1)</f>
        <v/>
      </c>
      <c r="E407" s="8">
        <f>E406*(1+D407)</f>
        <v/>
      </c>
    </row>
    <row r="408">
      <c r="A408" s="8" t="inlineStr">
        <is>
          <t>1904-07-01</t>
        </is>
      </c>
      <c r="B408" s="6" t="n">
        <v>3.44</v>
      </c>
      <c r="C408" s="8">
        <f>-PV(B408/100,$B$3,B407/100,1)</f>
        <v/>
      </c>
      <c r="D408" s="8">
        <f>B407/100/12+(C408-1)</f>
        <v/>
      </c>
      <c r="E408" s="8">
        <f>E407*(1+D408)</f>
        <v/>
      </c>
    </row>
    <row r="409">
      <c r="A409" s="8" t="inlineStr">
        <is>
          <t>1904-08-01</t>
        </is>
      </c>
      <c r="B409" s="6" t="n">
        <v>3.4467</v>
      </c>
      <c r="C409" s="8">
        <f>-PV(B409/100,$B$3,B408/100,1)</f>
        <v/>
      </c>
      <c r="D409" s="8">
        <f>B408/100/12+(C409-1)</f>
        <v/>
      </c>
      <c r="E409" s="8">
        <f>E408*(1+D409)</f>
        <v/>
      </c>
    </row>
    <row r="410">
      <c r="A410" s="8" t="inlineStr">
        <is>
          <t>1904-09-01</t>
        </is>
      </c>
      <c r="B410" s="6" t="n">
        <v>3.4533</v>
      </c>
      <c r="C410" s="8">
        <f>-PV(B410/100,$B$3,B409/100,1)</f>
        <v/>
      </c>
      <c r="D410" s="8">
        <f>B409/100/12+(C410-1)</f>
        <v/>
      </c>
      <c r="E410" s="8">
        <f>E409*(1+D410)</f>
        <v/>
      </c>
    </row>
    <row r="411">
      <c r="A411" s="8" t="inlineStr">
        <is>
          <t>1904-10-01</t>
        </is>
      </c>
      <c r="B411" s="6" t="n">
        <v>3.46</v>
      </c>
      <c r="C411" s="8">
        <f>-PV(B411/100,$B$3,B410/100,1)</f>
        <v/>
      </c>
      <c r="D411" s="8">
        <f>B410/100/12+(C411-1)</f>
        <v/>
      </c>
      <c r="E411" s="8">
        <f>E410*(1+D411)</f>
        <v/>
      </c>
    </row>
    <row r="412">
      <c r="A412" s="8" t="inlineStr">
        <is>
          <t>1904-11-01</t>
        </is>
      </c>
      <c r="B412" s="6" t="n">
        <v>3.4667</v>
      </c>
      <c r="C412" s="8">
        <f>-PV(B412/100,$B$3,B411/100,1)</f>
        <v/>
      </c>
      <c r="D412" s="8">
        <f>B411/100/12+(C412-1)</f>
        <v/>
      </c>
      <c r="E412" s="8">
        <f>E411*(1+D412)</f>
        <v/>
      </c>
    </row>
    <row r="413">
      <c r="A413" s="8" t="inlineStr">
        <is>
          <t>1904-12-01</t>
        </is>
      </c>
      <c r="B413" s="6" t="n">
        <v>3.4733</v>
      </c>
      <c r="C413" s="8">
        <f>-PV(B413/100,$B$3,B412/100,1)</f>
        <v/>
      </c>
      <c r="D413" s="8">
        <f>B412/100/12+(C413-1)</f>
        <v/>
      </c>
      <c r="E413" s="8">
        <f>E412*(1+D413)</f>
        <v/>
      </c>
    </row>
    <row r="414">
      <c r="A414" s="8" t="inlineStr">
        <is>
          <t>1905-01-01</t>
        </is>
      </c>
      <c r="B414" s="6" t="n">
        <v>3.48</v>
      </c>
      <c r="C414" s="8">
        <f>-PV(B414/100,$B$3,B413/100,1)</f>
        <v/>
      </c>
      <c r="D414" s="8">
        <f>B413/100/12+(C414-1)</f>
        <v/>
      </c>
      <c r="E414" s="8">
        <f>E413*(1+D414)</f>
        <v/>
      </c>
    </row>
    <row r="415">
      <c r="A415" s="8" t="inlineStr">
        <is>
          <t>1905-02-01</t>
        </is>
      </c>
      <c r="B415" s="6" t="n">
        <v>3.4758</v>
      </c>
      <c r="C415" s="8">
        <f>-PV(B415/100,$B$3,B414/100,1)</f>
        <v/>
      </c>
      <c r="D415" s="8">
        <f>B414/100/12+(C415-1)</f>
        <v/>
      </c>
      <c r="E415" s="8">
        <f>E414*(1+D415)</f>
        <v/>
      </c>
    </row>
    <row r="416">
      <c r="A416" s="8" t="inlineStr">
        <is>
          <t>1905-03-01</t>
        </is>
      </c>
      <c r="B416" s="6" t="n">
        <v>3.4717</v>
      </c>
      <c r="C416" s="8">
        <f>-PV(B416/100,$B$3,B415/100,1)</f>
        <v/>
      </c>
      <c r="D416" s="8">
        <f>B415/100/12+(C416-1)</f>
        <v/>
      </c>
      <c r="E416" s="8">
        <f>E415*(1+D416)</f>
        <v/>
      </c>
    </row>
    <row r="417">
      <c r="A417" s="8" t="inlineStr">
        <is>
          <t>1905-04-01</t>
        </is>
      </c>
      <c r="B417" s="6" t="n">
        <v>3.4675</v>
      </c>
      <c r="C417" s="8">
        <f>-PV(B417/100,$B$3,B416/100,1)</f>
        <v/>
      </c>
      <c r="D417" s="8">
        <f>B416/100/12+(C417-1)</f>
        <v/>
      </c>
      <c r="E417" s="8">
        <f>E416*(1+D417)</f>
        <v/>
      </c>
    </row>
    <row r="418">
      <c r="A418" s="8" t="inlineStr">
        <is>
          <t>1905-05-01</t>
        </is>
      </c>
      <c r="B418" s="6" t="n">
        <v>3.4633</v>
      </c>
      <c r="C418" s="8">
        <f>-PV(B418/100,$B$3,B417/100,1)</f>
        <v/>
      </c>
      <c r="D418" s="8">
        <f>B417/100/12+(C418-1)</f>
        <v/>
      </c>
      <c r="E418" s="8">
        <f>E417*(1+D418)</f>
        <v/>
      </c>
    </row>
    <row r="419">
      <c r="A419" s="8" t="inlineStr">
        <is>
          <t>1905-06-01</t>
        </is>
      </c>
      <c r="B419" s="6" t="n">
        <v>3.4592</v>
      </c>
      <c r="C419" s="8">
        <f>-PV(B419/100,$B$3,B418/100,1)</f>
        <v/>
      </c>
      <c r="D419" s="8">
        <f>B418/100/12+(C419-1)</f>
        <v/>
      </c>
      <c r="E419" s="8">
        <f>E418*(1+D419)</f>
        <v/>
      </c>
    </row>
    <row r="420">
      <c r="A420" s="8" t="inlineStr">
        <is>
          <t>1905-07-01</t>
        </is>
      </c>
      <c r="B420" s="6" t="n">
        <v>3.455</v>
      </c>
      <c r="C420" s="8">
        <f>-PV(B420/100,$B$3,B419/100,1)</f>
        <v/>
      </c>
      <c r="D420" s="8">
        <f>B419/100/12+(C420-1)</f>
        <v/>
      </c>
      <c r="E420" s="8">
        <f>E419*(1+D420)</f>
        <v/>
      </c>
    </row>
    <row r="421">
      <c r="A421" s="8" t="inlineStr">
        <is>
          <t>1905-08-01</t>
        </is>
      </c>
      <c r="B421" s="6" t="n">
        <v>3.4508</v>
      </c>
      <c r="C421" s="8">
        <f>-PV(B421/100,$B$3,B420/100,1)</f>
        <v/>
      </c>
      <c r="D421" s="8">
        <f>B420/100/12+(C421-1)</f>
        <v/>
      </c>
      <c r="E421" s="8">
        <f>E420*(1+D421)</f>
        <v/>
      </c>
    </row>
    <row r="422">
      <c r="A422" s="8" t="inlineStr">
        <is>
          <t>1905-09-01</t>
        </is>
      </c>
      <c r="B422" s="6" t="n">
        <v>3.4467</v>
      </c>
      <c r="C422" s="8">
        <f>-PV(B422/100,$B$3,B421/100,1)</f>
        <v/>
      </c>
      <c r="D422" s="8">
        <f>B421/100/12+(C422-1)</f>
        <v/>
      </c>
      <c r="E422" s="8">
        <f>E421*(1+D422)</f>
        <v/>
      </c>
    </row>
    <row r="423">
      <c r="A423" s="8" t="inlineStr">
        <is>
          <t>1905-10-01</t>
        </is>
      </c>
      <c r="B423" s="6" t="n">
        <v>3.4425</v>
      </c>
      <c r="C423" s="8">
        <f>-PV(B423/100,$B$3,B422/100,1)</f>
        <v/>
      </c>
      <c r="D423" s="8">
        <f>B422/100/12+(C423-1)</f>
        <v/>
      </c>
      <c r="E423" s="8">
        <f>E422*(1+D423)</f>
        <v/>
      </c>
    </row>
    <row r="424">
      <c r="A424" s="8" t="inlineStr">
        <is>
          <t>1905-11-01</t>
        </is>
      </c>
      <c r="B424" s="6" t="n">
        <v>3.4383</v>
      </c>
      <c r="C424" s="8">
        <f>-PV(B424/100,$B$3,B423/100,1)</f>
        <v/>
      </c>
      <c r="D424" s="8">
        <f>B423/100/12+(C424-1)</f>
        <v/>
      </c>
      <c r="E424" s="8">
        <f>E423*(1+D424)</f>
        <v/>
      </c>
    </row>
    <row r="425">
      <c r="A425" s="8" t="inlineStr">
        <is>
          <t>1905-12-01</t>
        </is>
      </c>
      <c r="B425" s="6" t="n">
        <v>3.4342</v>
      </c>
      <c r="C425" s="8">
        <f>-PV(B425/100,$B$3,B424/100,1)</f>
        <v/>
      </c>
      <c r="D425" s="8">
        <f>B424/100/12+(C425-1)</f>
        <v/>
      </c>
      <c r="E425" s="8">
        <f>E424*(1+D425)</f>
        <v/>
      </c>
    </row>
    <row r="426">
      <c r="A426" s="8" t="inlineStr">
        <is>
          <t>1906-01-01</t>
        </is>
      </c>
      <c r="B426" s="6" t="n">
        <v>3.43</v>
      </c>
      <c r="C426" s="8">
        <f>-PV(B426/100,$B$3,B425/100,1)</f>
        <v/>
      </c>
      <c r="D426" s="8">
        <f>B425/100/12+(C426-1)</f>
        <v/>
      </c>
      <c r="E426" s="8">
        <f>E425*(1+D426)</f>
        <v/>
      </c>
    </row>
    <row r="427">
      <c r="A427" s="8" t="inlineStr">
        <is>
          <t>1906-02-01</t>
        </is>
      </c>
      <c r="B427" s="6" t="n">
        <v>3.45</v>
      </c>
      <c r="C427" s="8">
        <f>-PV(B427/100,$B$3,B426/100,1)</f>
        <v/>
      </c>
      <c r="D427" s="8">
        <f>B426/100/12+(C427-1)</f>
        <v/>
      </c>
      <c r="E427" s="8">
        <f>E426*(1+D427)</f>
        <v/>
      </c>
    </row>
    <row r="428">
      <c r="A428" s="8" t="inlineStr">
        <is>
          <t>1906-03-01</t>
        </is>
      </c>
      <c r="B428" s="6" t="n">
        <v>3.47</v>
      </c>
      <c r="C428" s="8">
        <f>-PV(B428/100,$B$3,B427/100,1)</f>
        <v/>
      </c>
      <c r="D428" s="8">
        <f>B427/100/12+(C428-1)</f>
        <v/>
      </c>
      <c r="E428" s="8">
        <f>E427*(1+D428)</f>
        <v/>
      </c>
    </row>
    <row r="429">
      <c r="A429" s="8" t="inlineStr">
        <is>
          <t>1906-04-01</t>
        </is>
      </c>
      <c r="B429" s="6" t="n">
        <v>3.49</v>
      </c>
      <c r="C429" s="8">
        <f>-PV(B429/100,$B$3,B428/100,1)</f>
        <v/>
      </c>
      <c r="D429" s="8">
        <f>B428/100/12+(C429-1)</f>
        <v/>
      </c>
      <c r="E429" s="8">
        <f>E428*(1+D429)</f>
        <v/>
      </c>
    </row>
    <row r="430">
      <c r="A430" s="8" t="inlineStr">
        <is>
          <t>1906-05-01</t>
        </is>
      </c>
      <c r="B430" s="6" t="n">
        <v>3.51</v>
      </c>
      <c r="C430" s="8">
        <f>-PV(B430/100,$B$3,B429/100,1)</f>
        <v/>
      </c>
      <c r="D430" s="8">
        <f>B429/100/12+(C430-1)</f>
        <v/>
      </c>
      <c r="E430" s="8">
        <f>E429*(1+D430)</f>
        <v/>
      </c>
    </row>
    <row r="431">
      <c r="A431" s="8" t="inlineStr">
        <is>
          <t>1906-06-01</t>
        </is>
      </c>
      <c r="B431" s="6" t="n">
        <v>3.53</v>
      </c>
      <c r="C431" s="8">
        <f>-PV(B431/100,$B$3,B430/100,1)</f>
        <v/>
      </c>
      <c r="D431" s="8">
        <f>B430/100/12+(C431-1)</f>
        <v/>
      </c>
      <c r="E431" s="8">
        <f>E430*(1+D431)</f>
        <v/>
      </c>
    </row>
    <row r="432">
      <c r="A432" s="8" t="inlineStr">
        <is>
          <t>1906-07-01</t>
        </is>
      </c>
      <c r="B432" s="6" t="n">
        <v>3.55</v>
      </c>
      <c r="C432" s="8">
        <f>-PV(B432/100,$B$3,B431/100,1)</f>
        <v/>
      </c>
      <c r="D432" s="8">
        <f>B431/100/12+(C432-1)</f>
        <v/>
      </c>
      <c r="E432" s="8">
        <f>E431*(1+D432)</f>
        <v/>
      </c>
    </row>
    <row r="433">
      <c r="A433" s="8" t="inlineStr">
        <is>
          <t>1906-08-01</t>
        </is>
      </c>
      <c r="B433" s="6" t="n">
        <v>3.57</v>
      </c>
      <c r="C433" s="8">
        <f>-PV(B433/100,$B$3,B432/100,1)</f>
        <v/>
      </c>
      <c r="D433" s="8">
        <f>B432/100/12+(C433-1)</f>
        <v/>
      </c>
      <c r="E433" s="8">
        <f>E432*(1+D433)</f>
        <v/>
      </c>
    </row>
    <row r="434">
      <c r="A434" s="8" t="inlineStr">
        <is>
          <t>1906-09-01</t>
        </is>
      </c>
      <c r="B434" s="6" t="n">
        <v>3.59</v>
      </c>
      <c r="C434" s="8">
        <f>-PV(B434/100,$B$3,B433/100,1)</f>
        <v/>
      </c>
      <c r="D434" s="8">
        <f>B433/100/12+(C434-1)</f>
        <v/>
      </c>
      <c r="E434" s="8">
        <f>E433*(1+D434)</f>
        <v/>
      </c>
    </row>
    <row r="435">
      <c r="A435" s="8" t="inlineStr">
        <is>
          <t>1906-10-01</t>
        </is>
      </c>
      <c r="B435" s="6" t="n">
        <v>3.61</v>
      </c>
      <c r="C435" s="8">
        <f>-PV(B435/100,$B$3,B434/100,1)</f>
        <v/>
      </c>
      <c r="D435" s="8">
        <f>B434/100/12+(C435-1)</f>
        <v/>
      </c>
      <c r="E435" s="8">
        <f>E434*(1+D435)</f>
        <v/>
      </c>
    </row>
    <row r="436">
      <c r="A436" s="8" t="inlineStr">
        <is>
          <t>1906-11-01</t>
        </is>
      </c>
      <c r="B436" s="6" t="n">
        <v>3.63</v>
      </c>
      <c r="C436" s="8">
        <f>-PV(B436/100,$B$3,B435/100,1)</f>
        <v/>
      </c>
      <c r="D436" s="8">
        <f>B435/100/12+(C436-1)</f>
        <v/>
      </c>
      <c r="E436" s="8">
        <f>E435*(1+D436)</f>
        <v/>
      </c>
    </row>
    <row r="437">
      <c r="A437" s="8" t="inlineStr">
        <is>
          <t>1906-12-01</t>
        </is>
      </c>
      <c r="B437" s="6" t="n">
        <v>3.65</v>
      </c>
      <c r="C437" s="8">
        <f>-PV(B437/100,$B$3,B436/100,1)</f>
        <v/>
      </c>
      <c r="D437" s="8">
        <f>B436/100/12+(C437-1)</f>
        <v/>
      </c>
      <c r="E437" s="8">
        <f>E436*(1+D437)</f>
        <v/>
      </c>
    </row>
    <row r="438">
      <c r="A438" s="8" t="inlineStr">
        <is>
          <t>1907-01-01</t>
        </is>
      </c>
      <c r="B438" s="6" t="n">
        <v>3.67</v>
      </c>
      <c r="C438" s="8">
        <f>-PV(B438/100,$B$3,B437/100,1)</f>
        <v/>
      </c>
      <c r="D438" s="8">
        <f>B437/100/12+(C438-1)</f>
        <v/>
      </c>
      <c r="E438" s="8">
        <f>E437*(1+D438)</f>
        <v/>
      </c>
    </row>
    <row r="439">
      <c r="A439" s="8" t="inlineStr">
        <is>
          <t>1907-02-01</t>
        </is>
      </c>
      <c r="B439" s="6" t="n">
        <v>3.6867</v>
      </c>
      <c r="C439" s="8">
        <f>-PV(B439/100,$B$3,B438/100,1)</f>
        <v/>
      </c>
      <c r="D439" s="8">
        <f>B438/100/12+(C439-1)</f>
        <v/>
      </c>
      <c r="E439" s="8">
        <f>E438*(1+D439)</f>
        <v/>
      </c>
    </row>
    <row r="440">
      <c r="A440" s="8" t="inlineStr">
        <is>
          <t>1907-03-01</t>
        </is>
      </c>
      <c r="B440" s="6" t="n">
        <v>3.7033</v>
      </c>
      <c r="C440" s="8">
        <f>-PV(B440/100,$B$3,B439/100,1)</f>
        <v/>
      </c>
      <c r="D440" s="8">
        <f>B439/100/12+(C440-1)</f>
        <v/>
      </c>
      <c r="E440" s="8">
        <f>E439*(1+D440)</f>
        <v/>
      </c>
    </row>
    <row r="441">
      <c r="A441" s="8" t="inlineStr">
        <is>
          <t>1907-04-01</t>
        </is>
      </c>
      <c r="B441" s="6" t="n">
        <v>3.72</v>
      </c>
      <c r="C441" s="8">
        <f>-PV(B441/100,$B$3,B440/100,1)</f>
        <v/>
      </c>
      <c r="D441" s="8">
        <f>B440/100/12+(C441-1)</f>
        <v/>
      </c>
      <c r="E441" s="8">
        <f>E440*(1+D441)</f>
        <v/>
      </c>
    </row>
    <row r="442">
      <c r="A442" s="8" t="inlineStr">
        <is>
          <t>1907-05-01</t>
        </is>
      </c>
      <c r="B442" s="6" t="n">
        <v>3.7367</v>
      </c>
      <c r="C442" s="8">
        <f>-PV(B442/100,$B$3,B441/100,1)</f>
        <v/>
      </c>
      <c r="D442" s="8">
        <f>B441/100/12+(C442-1)</f>
        <v/>
      </c>
      <c r="E442" s="8">
        <f>E441*(1+D442)</f>
        <v/>
      </c>
    </row>
    <row r="443">
      <c r="A443" s="8" t="inlineStr">
        <is>
          <t>1907-06-01</t>
        </is>
      </c>
      <c r="B443" s="6" t="n">
        <v>3.7533</v>
      </c>
      <c r="C443" s="8">
        <f>-PV(B443/100,$B$3,B442/100,1)</f>
        <v/>
      </c>
      <c r="D443" s="8">
        <f>B442/100/12+(C443-1)</f>
        <v/>
      </c>
      <c r="E443" s="8">
        <f>E442*(1+D443)</f>
        <v/>
      </c>
    </row>
    <row r="444">
      <c r="A444" s="8" t="inlineStr">
        <is>
          <t>1907-07-01</t>
        </is>
      </c>
      <c r="B444" s="6" t="n">
        <v>3.77</v>
      </c>
      <c r="C444" s="8">
        <f>-PV(B444/100,$B$3,B443/100,1)</f>
        <v/>
      </c>
      <c r="D444" s="8">
        <f>B443/100/12+(C444-1)</f>
        <v/>
      </c>
      <c r="E444" s="8">
        <f>E443*(1+D444)</f>
        <v/>
      </c>
    </row>
    <row r="445">
      <c r="A445" s="8" t="inlineStr">
        <is>
          <t>1907-08-01</t>
        </is>
      </c>
      <c r="B445" s="6" t="n">
        <v>3.7867</v>
      </c>
      <c r="C445" s="8">
        <f>-PV(B445/100,$B$3,B444/100,1)</f>
        <v/>
      </c>
      <c r="D445" s="8">
        <f>B444/100/12+(C445-1)</f>
        <v/>
      </c>
      <c r="E445" s="8">
        <f>E444*(1+D445)</f>
        <v/>
      </c>
    </row>
    <row r="446">
      <c r="A446" s="8" t="inlineStr">
        <is>
          <t>1907-09-01</t>
        </is>
      </c>
      <c r="B446" s="6" t="n">
        <v>3.8033</v>
      </c>
      <c r="C446" s="8">
        <f>-PV(B446/100,$B$3,B445/100,1)</f>
        <v/>
      </c>
      <c r="D446" s="8">
        <f>B445/100/12+(C446-1)</f>
        <v/>
      </c>
      <c r="E446" s="8">
        <f>E445*(1+D446)</f>
        <v/>
      </c>
    </row>
    <row r="447">
      <c r="A447" s="8" t="inlineStr">
        <is>
          <t>1907-10-01</t>
        </is>
      </c>
      <c r="B447" s="6" t="n">
        <v>3.82</v>
      </c>
      <c r="C447" s="8">
        <f>-PV(B447/100,$B$3,B446/100,1)</f>
        <v/>
      </c>
      <c r="D447" s="8">
        <f>B446/100/12+(C447-1)</f>
        <v/>
      </c>
      <c r="E447" s="8">
        <f>E446*(1+D447)</f>
        <v/>
      </c>
    </row>
    <row r="448">
      <c r="A448" s="8" t="inlineStr">
        <is>
          <t>1907-11-01</t>
        </is>
      </c>
      <c r="B448" s="6" t="n">
        <v>3.8367</v>
      </c>
      <c r="C448" s="8">
        <f>-PV(B448/100,$B$3,B447/100,1)</f>
        <v/>
      </c>
      <c r="D448" s="8">
        <f>B447/100/12+(C448-1)</f>
        <v/>
      </c>
      <c r="E448" s="8">
        <f>E447*(1+D448)</f>
        <v/>
      </c>
    </row>
    <row r="449">
      <c r="A449" s="8" t="inlineStr">
        <is>
          <t>1907-12-01</t>
        </is>
      </c>
      <c r="B449" s="6" t="n">
        <v>3.8533</v>
      </c>
      <c r="C449" s="8">
        <f>-PV(B449/100,$B$3,B448/100,1)</f>
        <v/>
      </c>
      <c r="D449" s="8">
        <f>B448/100/12+(C449-1)</f>
        <v/>
      </c>
      <c r="E449" s="8">
        <f>E448*(1+D449)</f>
        <v/>
      </c>
    </row>
    <row r="450">
      <c r="A450" s="8" t="inlineStr">
        <is>
          <t>1908-01-01</t>
        </is>
      </c>
      <c r="B450" s="6" t="n">
        <v>3.87</v>
      </c>
      <c r="C450" s="8">
        <f>-PV(B450/100,$B$3,B449/100,1)</f>
        <v/>
      </c>
      <c r="D450" s="8">
        <f>B449/100/12+(C450-1)</f>
        <v/>
      </c>
      <c r="E450" s="8">
        <f>E449*(1+D450)</f>
        <v/>
      </c>
    </row>
    <row r="451">
      <c r="A451" s="8" t="inlineStr">
        <is>
          <t>1908-02-01</t>
        </is>
      </c>
      <c r="B451" s="6" t="n">
        <v>3.8608</v>
      </c>
      <c r="C451" s="8">
        <f>-PV(B451/100,$B$3,B450/100,1)</f>
        <v/>
      </c>
      <c r="D451" s="8">
        <f>B450/100/12+(C451-1)</f>
        <v/>
      </c>
      <c r="E451" s="8">
        <f>E450*(1+D451)</f>
        <v/>
      </c>
    </row>
    <row r="452">
      <c r="A452" s="8" t="inlineStr">
        <is>
          <t>1908-03-01</t>
        </is>
      </c>
      <c r="B452" s="6" t="n">
        <v>3.8517</v>
      </c>
      <c r="C452" s="8">
        <f>-PV(B452/100,$B$3,B451/100,1)</f>
        <v/>
      </c>
      <c r="D452" s="8">
        <f>B451/100/12+(C452-1)</f>
        <v/>
      </c>
      <c r="E452" s="8">
        <f>E451*(1+D452)</f>
        <v/>
      </c>
    </row>
    <row r="453">
      <c r="A453" s="8" t="inlineStr">
        <is>
          <t>1908-04-01</t>
        </is>
      </c>
      <c r="B453" s="6" t="n">
        <v>3.8425</v>
      </c>
      <c r="C453" s="8">
        <f>-PV(B453/100,$B$3,B452/100,1)</f>
        <v/>
      </c>
      <c r="D453" s="8">
        <f>B452/100/12+(C453-1)</f>
        <v/>
      </c>
      <c r="E453" s="8">
        <f>E452*(1+D453)</f>
        <v/>
      </c>
    </row>
    <row r="454">
      <c r="A454" s="8" t="inlineStr">
        <is>
          <t>1908-05-01</t>
        </is>
      </c>
      <c r="B454" s="6" t="n">
        <v>3.8333</v>
      </c>
      <c r="C454" s="8">
        <f>-PV(B454/100,$B$3,B453/100,1)</f>
        <v/>
      </c>
      <c r="D454" s="8">
        <f>B453/100/12+(C454-1)</f>
        <v/>
      </c>
      <c r="E454" s="8">
        <f>E453*(1+D454)</f>
        <v/>
      </c>
    </row>
    <row r="455">
      <c r="A455" s="8" t="inlineStr">
        <is>
          <t>1908-06-01</t>
        </is>
      </c>
      <c r="B455" s="6" t="n">
        <v>3.8242</v>
      </c>
      <c r="C455" s="8">
        <f>-PV(B455/100,$B$3,B454/100,1)</f>
        <v/>
      </c>
      <c r="D455" s="8">
        <f>B454/100/12+(C455-1)</f>
        <v/>
      </c>
      <c r="E455" s="8">
        <f>E454*(1+D455)</f>
        <v/>
      </c>
    </row>
    <row r="456">
      <c r="A456" s="8" t="inlineStr">
        <is>
          <t>1908-07-01</t>
        </is>
      </c>
      <c r="B456" s="6" t="n">
        <v>3.815</v>
      </c>
      <c r="C456" s="8">
        <f>-PV(B456/100,$B$3,B455/100,1)</f>
        <v/>
      </c>
      <c r="D456" s="8">
        <f>B455/100/12+(C456-1)</f>
        <v/>
      </c>
      <c r="E456" s="8">
        <f>E455*(1+D456)</f>
        <v/>
      </c>
    </row>
    <row r="457">
      <c r="A457" s="8" t="inlineStr">
        <is>
          <t>1908-08-01</t>
        </is>
      </c>
      <c r="B457" s="6" t="n">
        <v>3.8058</v>
      </c>
      <c r="C457" s="8">
        <f>-PV(B457/100,$B$3,B456/100,1)</f>
        <v/>
      </c>
      <c r="D457" s="8">
        <f>B456/100/12+(C457-1)</f>
        <v/>
      </c>
      <c r="E457" s="8">
        <f>E456*(1+D457)</f>
        <v/>
      </c>
    </row>
    <row r="458">
      <c r="A458" s="8" t="inlineStr">
        <is>
          <t>1908-09-01</t>
        </is>
      </c>
      <c r="B458" s="6" t="n">
        <v>3.7967</v>
      </c>
      <c r="C458" s="8">
        <f>-PV(B458/100,$B$3,B457/100,1)</f>
        <v/>
      </c>
      <c r="D458" s="8">
        <f>B457/100/12+(C458-1)</f>
        <v/>
      </c>
      <c r="E458" s="8">
        <f>E457*(1+D458)</f>
        <v/>
      </c>
    </row>
    <row r="459">
      <c r="A459" s="8" t="inlineStr">
        <is>
          <t>1908-10-01</t>
        </is>
      </c>
      <c r="B459" s="6" t="n">
        <v>3.7875</v>
      </c>
      <c r="C459" s="8">
        <f>-PV(B459/100,$B$3,B458/100,1)</f>
        <v/>
      </c>
      <c r="D459" s="8">
        <f>B458/100/12+(C459-1)</f>
        <v/>
      </c>
      <c r="E459" s="8">
        <f>E458*(1+D459)</f>
        <v/>
      </c>
    </row>
    <row r="460">
      <c r="A460" s="8" t="inlineStr">
        <is>
          <t>1908-11-01</t>
        </is>
      </c>
      <c r="B460" s="6" t="n">
        <v>3.7783</v>
      </c>
      <c r="C460" s="8">
        <f>-PV(B460/100,$B$3,B459/100,1)</f>
        <v/>
      </c>
      <c r="D460" s="8">
        <f>B459/100/12+(C460-1)</f>
        <v/>
      </c>
      <c r="E460" s="8">
        <f>E459*(1+D460)</f>
        <v/>
      </c>
    </row>
    <row r="461">
      <c r="A461" s="8" t="inlineStr">
        <is>
          <t>1908-12-01</t>
        </is>
      </c>
      <c r="B461" s="6" t="n">
        <v>3.7692</v>
      </c>
      <c r="C461" s="8">
        <f>-PV(B461/100,$B$3,B460/100,1)</f>
        <v/>
      </c>
      <c r="D461" s="8">
        <f>B460/100/12+(C461-1)</f>
        <v/>
      </c>
      <c r="E461" s="8">
        <f>E460*(1+D461)</f>
        <v/>
      </c>
    </row>
    <row r="462">
      <c r="A462" s="8" t="inlineStr">
        <is>
          <t>1909-01-01</t>
        </is>
      </c>
      <c r="B462" s="6" t="n">
        <v>3.76</v>
      </c>
      <c r="C462" s="8">
        <f>-PV(B462/100,$B$3,B461/100,1)</f>
        <v/>
      </c>
      <c r="D462" s="8">
        <f>B461/100/12+(C462-1)</f>
        <v/>
      </c>
      <c r="E462" s="8">
        <f>E461*(1+D462)</f>
        <v/>
      </c>
    </row>
    <row r="463">
      <c r="A463" s="8" t="inlineStr">
        <is>
          <t>1909-02-01</t>
        </is>
      </c>
      <c r="B463" s="6" t="n">
        <v>3.7725</v>
      </c>
      <c r="C463" s="8">
        <f>-PV(B463/100,$B$3,B462/100,1)</f>
        <v/>
      </c>
      <c r="D463" s="8">
        <f>B462/100/12+(C463-1)</f>
        <v/>
      </c>
      <c r="E463" s="8">
        <f>E462*(1+D463)</f>
        <v/>
      </c>
    </row>
    <row r="464">
      <c r="A464" s="8" t="inlineStr">
        <is>
          <t>1909-03-01</t>
        </is>
      </c>
      <c r="B464" s="6" t="n">
        <v>3.785</v>
      </c>
      <c r="C464" s="8">
        <f>-PV(B464/100,$B$3,B463/100,1)</f>
        <v/>
      </c>
      <c r="D464" s="8">
        <f>B463/100/12+(C464-1)</f>
        <v/>
      </c>
      <c r="E464" s="8">
        <f>E463*(1+D464)</f>
        <v/>
      </c>
    </row>
    <row r="465">
      <c r="A465" s="8" t="inlineStr">
        <is>
          <t>1909-04-01</t>
        </is>
      </c>
      <c r="B465" s="6" t="n">
        <v>3.7975</v>
      </c>
      <c r="C465" s="8">
        <f>-PV(B465/100,$B$3,B464/100,1)</f>
        <v/>
      </c>
      <c r="D465" s="8">
        <f>B464/100/12+(C465-1)</f>
        <v/>
      </c>
      <c r="E465" s="8">
        <f>E464*(1+D465)</f>
        <v/>
      </c>
    </row>
    <row r="466">
      <c r="A466" s="8" t="inlineStr">
        <is>
          <t>1909-05-01</t>
        </is>
      </c>
      <c r="B466" s="6" t="n">
        <v>3.81</v>
      </c>
      <c r="C466" s="8">
        <f>-PV(B466/100,$B$3,B465/100,1)</f>
        <v/>
      </c>
      <c r="D466" s="8">
        <f>B465/100/12+(C466-1)</f>
        <v/>
      </c>
      <c r="E466" s="8">
        <f>E465*(1+D466)</f>
        <v/>
      </c>
    </row>
    <row r="467">
      <c r="A467" s="8" t="inlineStr">
        <is>
          <t>1909-06-01</t>
        </is>
      </c>
      <c r="B467" s="6" t="n">
        <v>3.8225</v>
      </c>
      <c r="C467" s="8">
        <f>-PV(B467/100,$B$3,B466/100,1)</f>
        <v/>
      </c>
      <c r="D467" s="8">
        <f>B466/100/12+(C467-1)</f>
        <v/>
      </c>
      <c r="E467" s="8">
        <f>E466*(1+D467)</f>
        <v/>
      </c>
    </row>
    <row r="468">
      <c r="A468" s="8" t="inlineStr">
        <is>
          <t>1909-07-01</t>
        </is>
      </c>
      <c r="B468" s="6" t="n">
        <v>3.835</v>
      </c>
      <c r="C468" s="8">
        <f>-PV(B468/100,$B$3,B467/100,1)</f>
        <v/>
      </c>
      <c r="D468" s="8">
        <f>B467/100/12+(C468-1)</f>
        <v/>
      </c>
      <c r="E468" s="8">
        <f>E467*(1+D468)</f>
        <v/>
      </c>
    </row>
    <row r="469">
      <c r="A469" s="8" t="inlineStr">
        <is>
          <t>1909-08-01</t>
        </is>
      </c>
      <c r="B469" s="6" t="n">
        <v>3.8475</v>
      </c>
      <c r="C469" s="8">
        <f>-PV(B469/100,$B$3,B468/100,1)</f>
        <v/>
      </c>
      <c r="D469" s="8">
        <f>B468/100/12+(C469-1)</f>
        <v/>
      </c>
      <c r="E469" s="8">
        <f>E468*(1+D469)</f>
        <v/>
      </c>
    </row>
    <row r="470">
      <c r="A470" s="8" t="inlineStr">
        <is>
          <t>1909-09-01</t>
        </is>
      </c>
      <c r="B470" s="6" t="n">
        <v>3.86</v>
      </c>
      <c r="C470" s="8">
        <f>-PV(B470/100,$B$3,B469/100,1)</f>
        <v/>
      </c>
      <c r="D470" s="8">
        <f>B469/100/12+(C470-1)</f>
        <v/>
      </c>
      <c r="E470" s="8">
        <f>E469*(1+D470)</f>
        <v/>
      </c>
    </row>
    <row r="471">
      <c r="A471" s="8" t="inlineStr">
        <is>
          <t>1909-10-01</t>
        </is>
      </c>
      <c r="B471" s="6" t="n">
        <v>3.8725</v>
      </c>
      <c r="C471" s="8">
        <f>-PV(B471/100,$B$3,B470/100,1)</f>
        <v/>
      </c>
      <c r="D471" s="8">
        <f>B470/100/12+(C471-1)</f>
        <v/>
      </c>
      <c r="E471" s="8">
        <f>E470*(1+D471)</f>
        <v/>
      </c>
    </row>
    <row r="472">
      <c r="A472" s="8" t="inlineStr">
        <is>
          <t>1909-11-01</t>
        </is>
      </c>
      <c r="B472" s="6" t="n">
        <v>3.885</v>
      </c>
      <c r="C472" s="8">
        <f>-PV(B472/100,$B$3,B471/100,1)</f>
        <v/>
      </c>
      <c r="D472" s="8">
        <f>B471/100/12+(C472-1)</f>
        <v/>
      </c>
      <c r="E472" s="8">
        <f>E471*(1+D472)</f>
        <v/>
      </c>
    </row>
    <row r="473">
      <c r="A473" s="8" t="inlineStr">
        <is>
          <t>1909-12-01</t>
        </is>
      </c>
      <c r="B473" s="6" t="n">
        <v>3.8975</v>
      </c>
      <c r="C473" s="8">
        <f>-PV(B473/100,$B$3,B472/100,1)</f>
        <v/>
      </c>
      <c r="D473" s="8">
        <f>B472/100/12+(C473-1)</f>
        <v/>
      </c>
      <c r="E473" s="8">
        <f>E472*(1+D473)</f>
        <v/>
      </c>
    </row>
    <row r="474">
      <c r="A474" s="8" t="inlineStr">
        <is>
          <t>1910-01-01</t>
        </is>
      </c>
      <c r="B474" s="6" t="n">
        <v>3.91</v>
      </c>
      <c r="C474" s="8">
        <f>-PV(B474/100,$B$3,B473/100,1)</f>
        <v/>
      </c>
      <c r="D474" s="8">
        <f>B473/100/12+(C474-1)</f>
        <v/>
      </c>
      <c r="E474" s="8">
        <f>E473*(1+D474)</f>
        <v/>
      </c>
    </row>
    <row r="475">
      <c r="A475" s="8" t="inlineStr">
        <is>
          <t>1910-02-01</t>
        </is>
      </c>
      <c r="B475" s="6" t="n">
        <v>3.9158</v>
      </c>
      <c r="C475" s="8">
        <f>-PV(B475/100,$B$3,B474/100,1)</f>
        <v/>
      </c>
      <c r="D475" s="8">
        <f>B474/100/12+(C475-1)</f>
        <v/>
      </c>
      <c r="E475" s="8">
        <f>E474*(1+D475)</f>
        <v/>
      </c>
    </row>
    <row r="476">
      <c r="A476" s="8" t="inlineStr">
        <is>
          <t>1910-03-01</t>
        </is>
      </c>
      <c r="B476" s="6" t="n">
        <v>3.9217</v>
      </c>
      <c r="C476" s="8">
        <f>-PV(B476/100,$B$3,B475/100,1)</f>
        <v/>
      </c>
      <c r="D476" s="8">
        <f>B475/100/12+(C476-1)</f>
        <v/>
      </c>
      <c r="E476" s="8">
        <f>E475*(1+D476)</f>
        <v/>
      </c>
    </row>
    <row r="477">
      <c r="A477" s="8" t="inlineStr">
        <is>
          <t>1910-04-01</t>
        </is>
      </c>
      <c r="B477" s="6" t="n">
        <v>3.9275</v>
      </c>
      <c r="C477" s="8">
        <f>-PV(B477/100,$B$3,B476/100,1)</f>
        <v/>
      </c>
      <c r="D477" s="8">
        <f>B476/100/12+(C477-1)</f>
        <v/>
      </c>
      <c r="E477" s="8">
        <f>E476*(1+D477)</f>
        <v/>
      </c>
    </row>
    <row r="478">
      <c r="A478" s="8" t="inlineStr">
        <is>
          <t>1910-05-01</t>
        </is>
      </c>
      <c r="B478" s="6" t="n">
        <v>3.9333</v>
      </c>
      <c r="C478" s="8">
        <f>-PV(B478/100,$B$3,B477/100,1)</f>
        <v/>
      </c>
      <c r="D478" s="8">
        <f>B477/100/12+(C478-1)</f>
        <v/>
      </c>
      <c r="E478" s="8">
        <f>E477*(1+D478)</f>
        <v/>
      </c>
    </row>
    <row r="479">
      <c r="A479" s="8" t="inlineStr">
        <is>
          <t>1910-06-01</t>
        </is>
      </c>
      <c r="B479" s="6" t="n">
        <v>3.9392</v>
      </c>
      <c r="C479" s="8">
        <f>-PV(B479/100,$B$3,B478/100,1)</f>
        <v/>
      </c>
      <c r="D479" s="8">
        <f>B478/100/12+(C479-1)</f>
        <v/>
      </c>
      <c r="E479" s="8">
        <f>E478*(1+D479)</f>
        <v/>
      </c>
    </row>
    <row r="480">
      <c r="A480" s="8" t="inlineStr">
        <is>
          <t>1910-07-01</t>
        </is>
      </c>
      <c r="B480" s="6" t="n">
        <v>3.945</v>
      </c>
      <c r="C480" s="8">
        <f>-PV(B480/100,$B$3,B479/100,1)</f>
        <v/>
      </c>
      <c r="D480" s="8">
        <f>B479/100/12+(C480-1)</f>
        <v/>
      </c>
      <c r="E480" s="8">
        <f>E479*(1+D480)</f>
        <v/>
      </c>
    </row>
    <row r="481">
      <c r="A481" s="8" t="inlineStr">
        <is>
          <t>1910-08-01</t>
        </is>
      </c>
      <c r="B481" s="6" t="n">
        <v>3.9508</v>
      </c>
      <c r="C481" s="8">
        <f>-PV(B481/100,$B$3,B480/100,1)</f>
        <v/>
      </c>
      <c r="D481" s="8">
        <f>B480/100/12+(C481-1)</f>
        <v/>
      </c>
      <c r="E481" s="8">
        <f>E480*(1+D481)</f>
        <v/>
      </c>
    </row>
    <row r="482">
      <c r="A482" s="8" t="inlineStr">
        <is>
          <t>1910-09-01</t>
        </is>
      </c>
      <c r="B482" s="6" t="n">
        <v>3.9567</v>
      </c>
      <c r="C482" s="8">
        <f>-PV(B482/100,$B$3,B481/100,1)</f>
        <v/>
      </c>
      <c r="D482" s="8">
        <f>B481/100/12+(C482-1)</f>
        <v/>
      </c>
      <c r="E482" s="8">
        <f>E481*(1+D482)</f>
        <v/>
      </c>
    </row>
    <row r="483">
      <c r="A483" s="8" t="inlineStr">
        <is>
          <t>1910-10-01</t>
        </is>
      </c>
      <c r="B483" s="6" t="n">
        <v>3.9625</v>
      </c>
      <c r="C483" s="8">
        <f>-PV(B483/100,$B$3,B482/100,1)</f>
        <v/>
      </c>
      <c r="D483" s="8">
        <f>B482/100/12+(C483-1)</f>
        <v/>
      </c>
      <c r="E483" s="8">
        <f>E482*(1+D483)</f>
        <v/>
      </c>
    </row>
    <row r="484">
      <c r="A484" s="8" t="inlineStr">
        <is>
          <t>1910-11-01</t>
        </is>
      </c>
      <c r="B484" s="6" t="n">
        <v>3.9683</v>
      </c>
      <c r="C484" s="8">
        <f>-PV(B484/100,$B$3,B483/100,1)</f>
        <v/>
      </c>
      <c r="D484" s="8">
        <f>B483/100/12+(C484-1)</f>
        <v/>
      </c>
      <c r="E484" s="8">
        <f>E483*(1+D484)</f>
        <v/>
      </c>
    </row>
    <row r="485">
      <c r="A485" s="8" t="inlineStr">
        <is>
          <t>1910-12-01</t>
        </is>
      </c>
      <c r="B485" s="6" t="n">
        <v>3.9742</v>
      </c>
      <c r="C485" s="8">
        <f>-PV(B485/100,$B$3,B484/100,1)</f>
        <v/>
      </c>
      <c r="D485" s="8">
        <f>B484/100/12+(C485-1)</f>
        <v/>
      </c>
      <c r="E485" s="8">
        <f>E484*(1+D485)</f>
        <v/>
      </c>
    </row>
    <row r="486">
      <c r="A486" s="8" t="inlineStr">
        <is>
          <t>1911-01-01</t>
        </is>
      </c>
      <c r="B486" s="6" t="n">
        <v>3.98</v>
      </c>
      <c r="C486" s="8">
        <f>-PV(B486/100,$B$3,B485/100,1)</f>
        <v/>
      </c>
      <c r="D486" s="8">
        <f>B485/100/12+(C486-1)</f>
        <v/>
      </c>
      <c r="E486" s="8">
        <f>E485*(1+D486)</f>
        <v/>
      </c>
    </row>
    <row r="487">
      <c r="A487" s="8" t="inlineStr">
        <is>
          <t>1911-02-01</t>
        </is>
      </c>
      <c r="B487" s="6" t="n">
        <v>3.9825</v>
      </c>
      <c r="C487" s="8">
        <f>-PV(B487/100,$B$3,B486/100,1)</f>
        <v/>
      </c>
      <c r="D487" s="8">
        <f>B486/100/12+(C487-1)</f>
        <v/>
      </c>
      <c r="E487" s="8">
        <f>E486*(1+D487)</f>
        <v/>
      </c>
    </row>
    <row r="488">
      <c r="A488" s="8" t="inlineStr">
        <is>
          <t>1911-03-01</t>
        </is>
      </c>
      <c r="B488" s="6" t="n">
        <v>3.985</v>
      </c>
      <c r="C488" s="8">
        <f>-PV(B488/100,$B$3,B487/100,1)</f>
        <v/>
      </c>
      <c r="D488" s="8">
        <f>B487/100/12+(C488-1)</f>
        <v/>
      </c>
      <c r="E488" s="8">
        <f>E487*(1+D488)</f>
        <v/>
      </c>
    </row>
    <row r="489">
      <c r="A489" s="8" t="inlineStr">
        <is>
          <t>1911-04-01</t>
        </is>
      </c>
      <c r="B489" s="6" t="n">
        <v>3.9875</v>
      </c>
      <c r="C489" s="8">
        <f>-PV(B489/100,$B$3,B488/100,1)</f>
        <v/>
      </c>
      <c r="D489" s="8">
        <f>B488/100/12+(C489-1)</f>
        <v/>
      </c>
      <c r="E489" s="8">
        <f>E488*(1+D489)</f>
        <v/>
      </c>
    </row>
    <row r="490">
      <c r="A490" s="8" t="inlineStr">
        <is>
          <t>1911-05-01</t>
        </is>
      </c>
      <c r="B490" s="6" t="n">
        <v>3.99</v>
      </c>
      <c r="C490" s="8">
        <f>-PV(B490/100,$B$3,B489/100,1)</f>
        <v/>
      </c>
      <c r="D490" s="8">
        <f>B489/100/12+(C490-1)</f>
        <v/>
      </c>
      <c r="E490" s="8">
        <f>E489*(1+D490)</f>
        <v/>
      </c>
    </row>
    <row r="491">
      <c r="A491" s="8" t="inlineStr">
        <is>
          <t>1911-06-01</t>
        </is>
      </c>
      <c r="B491" s="6" t="n">
        <v>3.9925</v>
      </c>
      <c r="C491" s="8">
        <f>-PV(B491/100,$B$3,B490/100,1)</f>
        <v/>
      </c>
      <c r="D491" s="8">
        <f>B490/100/12+(C491-1)</f>
        <v/>
      </c>
      <c r="E491" s="8">
        <f>E490*(1+D491)</f>
        <v/>
      </c>
    </row>
    <row r="492">
      <c r="A492" s="8" t="inlineStr">
        <is>
          <t>1911-07-01</t>
        </is>
      </c>
      <c r="B492" s="6" t="n">
        <v>3.995</v>
      </c>
      <c r="C492" s="8">
        <f>-PV(B492/100,$B$3,B491/100,1)</f>
        <v/>
      </c>
      <c r="D492" s="8">
        <f>B491/100/12+(C492-1)</f>
        <v/>
      </c>
      <c r="E492" s="8">
        <f>E491*(1+D492)</f>
        <v/>
      </c>
    </row>
    <row r="493">
      <c r="A493" s="8" t="inlineStr">
        <is>
          <t>1911-08-01</t>
        </is>
      </c>
      <c r="B493" s="6" t="n">
        <v>3.9975</v>
      </c>
      <c r="C493" s="8">
        <f>-PV(B493/100,$B$3,B492/100,1)</f>
        <v/>
      </c>
      <c r="D493" s="8">
        <f>B492/100/12+(C493-1)</f>
        <v/>
      </c>
      <c r="E493" s="8">
        <f>E492*(1+D493)</f>
        <v/>
      </c>
    </row>
    <row r="494">
      <c r="A494" s="8" t="inlineStr">
        <is>
          <t>1911-09-01</t>
        </is>
      </c>
      <c r="B494" s="6" t="n">
        <v>4</v>
      </c>
      <c r="C494" s="8">
        <f>-PV(B494/100,$B$3,B493/100,1)</f>
        <v/>
      </c>
      <c r="D494" s="8">
        <f>B493/100/12+(C494-1)</f>
        <v/>
      </c>
      <c r="E494" s="8">
        <f>E493*(1+D494)</f>
        <v/>
      </c>
    </row>
    <row r="495">
      <c r="A495" s="8" t="inlineStr">
        <is>
          <t>1911-10-01</t>
        </is>
      </c>
      <c r="B495" s="6" t="n">
        <v>4.0025</v>
      </c>
      <c r="C495" s="8">
        <f>-PV(B495/100,$B$3,B494/100,1)</f>
        <v/>
      </c>
      <c r="D495" s="8">
        <f>B494/100/12+(C495-1)</f>
        <v/>
      </c>
      <c r="E495" s="8">
        <f>E494*(1+D495)</f>
        <v/>
      </c>
    </row>
    <row r="496">
      <c r="A496" s="8" t="inlineStr">
        <is>
          <t>1911-11-01</t>
        </is>
      </c>
      <c r="B496" s="6" t="n">
        <v>4.005</v>
      </c>
      <c r="C496" s="8">
        <f>-PV(B496/100,$B$3,B495/100,1)</f>
        <v/>
      </c>
      <c r="D496" s="8">
        <f>B495/100/12+(C496-1)</f>
        <v/>
      </c>
      <c r="E496" s="8">
        <f>E495*(1+D496)</f>
        <v/>
      </c>
    </row>
    <row r="497">
      <c r="A497" s="8" t="inlineStr">
        <is>
          <t>1911-12-01</t>
        </is>
      </c>
      <c r="B497" s="6" t="n">
        <v>4.0075</v>
      </c>
      <c r="C497" s="8">
        <f>-PV(B497/100,$B$3,B496/100,1)</f>
        <v/>
      </c>
      <c r="D497" s="8">
        <f>B496/100/12+(C497-1)</f>
        <v/>
      </c>
      <c r="E497" s="8">
        <f>E496*(1+D497)</f>
        <v/>
      </c>
    </row>
    <row r="498">
      <c r="A498" s="8" t="inlineStr">
        <is>
          <t>1912-01-01</t>
        </is>
      </c>
      <c r="B498" s="6" t="n">
        <v>4.01</v>
      </c>
      <c r="C498" s="8">
        <f>-PV(B498/100,$B$3,B497/100,1)</f>
        <v/>
      </c>
      <c r="D498" s="8">
        <f>B497/100/12+(C498-1)</f>
        <v/>
      </c>
      <c r="E498" s="8">
        <f>E497*(1+D498)</f>
        <v/>
      </c>
    </row>
    <row r="499">
      <c r="A499" s="8" t="inlineStr">
        <is>
          <t>1912-02-01</t>
        </is>
      </c>
      <c r="B499" s="6" t="n">
        <v>4.0467</v>
      </c>
      <c r="C499" s="8">
        <f>-PV(B499/100,$B$3,B498/100,1)</f>
        <v/>
      </c>
      <c r="D499" s="8">
        <f>B498/100/12+(C499-1)</f>
        <v/>
      </c>
      <c r="E499" s="8">
        <f>E498*(1+D499)</f>
        <v/>
      </c>
    </row>
    <row r="500">
      <c r="A500" s="8" t="inlineStr">
        <is>
          <t>1912-03-01</t>
        </is>
      </c>
      <c r="B500" s="6" t="n">
        <v>4.0833</v>
      </c>
      <c r="C500" s="8">
        <f>-PV(B500/100,$B$3,B499/100,1)</f>
        <v/>
      </c>
      <c r="D500" s="8">
        <f>B499/100/12+(C500-1)</f>
        <v/>
      </c>
      <c r="E500" s="8">
        <f>E499*(1+D500)</f>
        <v/>
      </c>
    </row>
    <row r="501">
      <c r="A501" s="8" t="inlineStr">
        <is>
          <t>1912-04-01</t>
        </is>
      </c>
      <c r="B501" s="6" t="n">
        <v>4.12</v>
      </c>
      <c r="C501" s="8">
        <f>-PV(B501/100,$B$3,B500/100,1)</f>
        <v/>
      </c>
      <c r="D501" s="8">
        <f>B500/100/12+(C501-1)</f>
        <v/>
      </c>
      <c r="E501" s="8">
        <f>E500*(1+D501)</f>
        <v/>
      </c>
    </row>
    <row r="502">
      <c r="A502" s="8" t="inlineStr">
        <is>
          <t>1912-05-01</t>
        </is>
      </c>
      <c r="B502" s="6" t="n">
        <v>4.1567</v>
      </c>
      <c r="C502" s="8">
        <f>-PV(B502/100,$B$3,B501/100,1)</f>
        <v/>
      </c>
      <c r="D502" s="8">
        <f>B501/100/12+(C502-1)</f>
        <v/>
      </c>
      <c r="E502" s="8">
        <f>E501*(1+D502)</f>
        <v/>
      </c>
    </row>
    <row r="503">
      <c r="A503" s="8" t="inlineStr">
        <is>
          <t>1912-06-01</t>
        </is>
      </c>
      <c r="B503" s="6" t="n">
        <v>4.1933</v>
      </c>
      <c r="C503" s="8">
        <f>-PV(B503/100,$B$3,B502/100,1)</f>
        <v/>
      </c>
      <c r="D503" s="8">
        <f>B502/100/12+(C503-1)</f>
        <v/>
      </c>
      <c r="E503" s="8">
        <f>E502*(1+D503)</f>
        <v/>
      </c>
    </row>
    <row r="504">
      <c r="A504" s="8" t="inlineStr">
        <is>
          <t>1912-07-01</t>
        </is>
      </c>
      <c r="B504" s="6" t="n">
        <v>4.23</v>
      </c>
      <c r="C504" s="8">
        <f>-PV(B504/100,$B$3,B503/100,1)</f>
        <v/>
      </c>
      <c r="D504" s="8">
        <f>B503/100/12+(C504-1)</f>
        <v/>
      </c>
      <c r="E504" s="8">
        <f>E503*(1+D504)</f>
        <v/>
      </c>
    </row>
    <row r="505">
      <c r="A505" s="8" t="inlineStr">
        <is>
          <t>1912-08-01</t>
        </is>
      </c>
      <c r="B505" s="6" t="n">
        <v>4.2667</v>
      </c>
      <c r="C505" s="8">
        <f>-PV(B505/100,$B$3,B504/100,1)</f>
        <v/>
      </c>
      <c r="D505" s="8">
        <f>B504/100/12+(C505-1)</f>
        <v/>
      </c>
      <c r="E505" s="8">
        <f>E504*(1+D505)</f>
        <v/>
      </c>
    </row>
    <row r="506">
      <c r="A506" s="8" t="inlineStr">
        <is>
          <t>1912-09-01</t>
        </is>
      </c>
      <c r="B506" s="6" t="n">
        <v>4.3033</v>
      </c>
      <c r="C506" s="8">
        <f>-PV(B506/100,$B$3,B505/100,1)</f>
        <v/>
      </c>
      <c r="D506" s="8">
        <f>B505/100/12+(C506-1)</f>
        <v/>
      </c>
      <c r="E506" s="8">
        <f>E505*(1+D506)</f>
        <v/>
      </c>
    </row>
    <row r="507">
      <c r="A507" s="8" t="inlineStr">
        <is>
          <t>1912-10-01</t>
        </is>
      </c>
      <c r="B507" s="6" t="n">
        <v>4.34</v>
      </c>
      <c r="C507" s="8">
        <f>-PV(B507/100,$B$3,B506/100,1)</f>
        <v/>
      </c>
      <c r="D507" s="8">
        <f>B506/100/12+(C507-1)</f>
        <v/>
      </c>
      <c r="E507" s="8">
        <f>E506*(1+D507)</f>
        <v/>
      </c>
    </row>
    <row r="508">
      <c r="A508" s="8" t="inlineStr">
        <is>
          <t>1912-11-01</t>
        </is>
      </c>
      <c r="B508" s="6" t="n">
        <v>4.3767</v>
      </c>
      <c r="C508" s="8">
        <f>-PV(B508/100,$B$3,B507/100,1)</f>
        <v/>
      </c>
      <c r="D508" s="8">
        <f>B507/100/12+(C508-1)</f>
        <v/>
      </c>
      <c r="E508" s="8">
        <f>E507*(1+D508)</f>
        <v/>
      </c>
    </row>
    <row r="509">
      <c r="A509" s="8" t="inlineStr">
        <is>
          <t>1912-12-01</t>
        </is>
      </c>
      <c r="B509" s="6" t="n">
        <v>4.4133</v>
      </c>
      <c r="C509" s="8">
        <f>-PV(B509/100,$B$3,B508/100,1)</f>
        <v/>
      </c>
      <c r="D509" s="8">
        <f>B508/100/12+(C509-1)</f>
        <v/>
      </c>
      <c r="E509" s="8">
        <f>E508*(1+D509)</f>
        <v/>
      </c>
    </row>
    <row r="510">
      <c r="A510" s="8" t="inlineStr">
        <is>
          <t>1913-01-01</t>
        </is>
      </c>
      <c r="B510" s="6" t="n">
        <v>4.45</v>
      </c>
      <c r="C510" s="8">
        <f>-PV(B510/100,$B$3,B509/100,1)</f>
        <v/>
      </c>
      <c r="D510" s="8">
        <f>B509/100/12+(C510-1)</f>
        <v/>
      </c>
      <c r="E510" s="8">
        <f>E509*(1+D510)</f>
        <v/>
      </c>
    </row>
    <row r="511">
      <c r="A511" s="8" t="inlineStr">
        <is>
          <t>1913-02-01</t>
        </is>
      </c>
      <c r="B511" s="6" t="n">
        <v>4.4258</v>
      </c>
      <c r="C511" s="8">
        <f>-PV(B511/100,$B$3,B510/100,1)</f>
        <v/>
      </c>
      <c r="D511" s="8">
        <f>B510/100/12+(C511-1)</f>
        <v/>
      </c>
      <c r="E511" s="8">
        <f>E510*(1+D511)</f>
        <v/>
      </c>
    </row>
    <row r="512">
      <c r="A512" s="8" t="inlineStr">
        <is>
          <t>1913-03-01</t>
        </is>
      </c>
      <c r="B512" s="6" t="n">
        <v>4.4017</v>
      </c>
      <c r="C512" s="8">
        <f>-PV(B512/100,$B$3,B511/100,1)</f>
        <v/>
      </c>
      <c r="D512" s="8">
        <f>B511/100/12+(C512-1)</f>
        <v/>
      </c>
      <c r="E512" s="8">
        <f>E511*(1+D512)</f>
        <v/>
      </c>
    </row>
    <row r="513">
      <c r="A513" s="8" t="inlineStr">
        <is>
          <t>1913-04-01</t>
        </is>
      </c>
      <c r="B513" s="6" t="n">
        <v>4.3775</v>
      </c>
      <c r="C513" s="8">
        <f>-PV(B513/100,$B$3,B512/100,1)</f>
        <v/>
      </c>
      <c r="D513" s="8">
        <f>B512/100/12+(C513-1)</f>
        <v/>
      </c>
      <c r="E513" s="8">
        <f>E512*(1+D513)</f>
        <v/>
      </c>
    </row>
    <row r="514">
      <c r="A514" s="8" t="inlineStr">
        <is>
          <t>1913-05-01</t>
        </is>
      </c>
      <c r="B514" s="6" t="n">
        <v>4.3533</v>
      </c>
      <c r="C514" s="8">
        <f>-PV(B514/100,$B$3,B513/100,1)</f>
        <v/>
      </c>
      <c r="D514" s="8">
        <f>B513/100/12+(C514-1)</f>
        <v/>
      </c>
      <c r="E514" s="8">
        <f>E513*(1+D514)</f>
        <v/>
      </c>
    </row>
    <row r="515">
      <c r="A515" s="8" t="inlineStr">
        <is>
          <t>1913-06-01</t>
        </is>
      </c>
      <c r="B515" s="6" t="n">
        <v>4.3292</v>
      </c>
      <c r="C515" s="8">
        <f>-PV(B515/100,$B$3,B514/100,1)</f>
        <v/>
      </c>
      <c r="D515" s="8">
        <f>B514/100/12+(C515-1)</f>
        <v/>
      </c>
      <c r="E515" s="8">
        <f>E514*(1+D515)</f>
        <v/>
      </c>
    </row>
    <row r="516">
      <c r="A516" s="8" t="inlineStr">
        <is>
          <t>1913-07-01</t>
        </is>
      </c>
      <c r="B516" s="6" t="n">
        <v>4.305</v>
      </c>
      <c r="C516" s="8">
        <f>-PV(B516/100,$B$3,B515/100,1)</f>
        <v/>
      </c>
      <c r="D516" s="8">
        <f>B515/100/12+(C516-1)</f>
        <v/>
      </c>
      <c r="E516" s="8">
        <f>E515*(1+D516)</f>
        <v/>
      </c>
    </row>
    <row r="517">
      <c r="A517" s="8" t="inlineStr">
        <is>
          <t>1913-08-01</t>
        </is>
      </c>
      <c r="B517" s="6" t="n">
        <v>4.2808</v>
      </c>
      <c r="C517" s="8">
        <f>-PV(B517/100,$B$3,B516/100,1)</f>
        <v/>
      </c>
      <c r="D517" s="8">
        <f>B516/100/12+(C517-1)</f>
        <v/>
      </c>
      <c r="E517" s="8">
        <f>E516*(1+D517)</f>
        <v/>
      </c>
    </row>
    <row r="518">
      <c r="A518" s="8" t="inlineStr">
        <is>
          <t>1913-09-01</t>
        </is>
      </c>
      <c r="B518" s="6" t="n">
        <v>4.2567</v>
      </c>
      <c r="C518" s="8">
        <f>-PV(B518/100,$B$3,B517/100,1)</f>
        <v/>
      </c>
      <c r="D518" s="8">
        <f>B517/100/12+(C518-1)</f>
        <v/>
      </c>
      <c r="E518" s="8">
        <f>E517*(1+D518)</f>
        <v/>
      </c>
    </row>
    <row r="519">
      <c r="A519" s="8" t="inlineStr">
        <is>
          <t>1913-10-01</t>
        </is>
      </c>
      <c r="B519" s="6" t="n">
        <v>4.2325</v>
      </c>
      <c r="C519" s="8">
        <f>-PV(B519/100,$B$3,B518/100,1)</f>
        <v/>
      </c>
      <c r="D519" s="8">
        <f>B518/100/12+(C519-1)</f>
        <v/>
      </c>
      <c r="E519" s="8">
        <f>E518*(1+D519)</f>
        <v/>
      </c>
    </row>
    <row r="520">
      <c r="A520" s="8" t="inlineStr">
        <is>
          <t>1913-11-01</t>
        </is>
      </c>
      <c r="B520" s="6" t="n">
        <v>4.2083</v>
      </c>
      <c r="C520" s="8">
        <f>-PV(B520/100,$B$3,B519/100,1)</f>
        <v/>
      </c>
      <c r="D520" s="8">
        <f>B519/100/12+(C520-1)</f>
        <v/>
      </c>
      <c r="E520" s="8">
        <f>E519*(1+D520)</f>
        <v/>
      </c>
    </row>
    <row r="521">
      <c r="A521" s="8" t="inlineStr">
        <is>
          <t>1913-12-01</t>
        </is>
      </c>
      <c r="B521" s="6" t="n">
        <v>4.1842</v>
      </c>
      <c r="C521" s="8">
        <f>-PV(B521/100,$B$3,B520/100,1)</f>
        <v/>
      </c>
      <c r="D521" s="8">
        <f>B520/100/12+(C521-1)</f>
        <v/>
      </c>
      <c r="E521" s="8">
        <f>E520*(1+D521)</f>
        <v/>
      </c>
    </row>
    <row r="522">
      <c r="A522" s="8" t="inlineStr">
        <is>
          <t>1914-01-01</t>
        </is>
      </c>
      <c r="B522" s="6" t="n">
        <v>4.16</v>
      </c>
      <c r="C522" s="8">
        <f>-PV(B522/100,$B$3,B521/100,1)</f>
        <v/>
      </c>
      <c r="D522" s="8">
        <f>B521/100/12+(C522-1)</f>
        <v/>
      </c>
      <c r="E522" s="8">
        <f>E521*(1+D522)</f>
        <v/>
      </c>
    </row>
    <row r="523">
      <c r="A523" s="8" t="inlineStr">
        <is>
          <t>1914-02-01</t>
        </is>
      </c>
      <c r="B523" s="6" t="n">
        <v>4.1667</v>
      </c>
      <c r="C523" s="8">
        <f>-PV(B523/100,$B$3,B522/100,1)</f>
        <v/>
      </c>
      <c r="D523" s="8">
        <f>B522/100/12+(C523-1)</f>
        <v/>
      </c>
      <c r="E523" s="8">
        <f>E522*(1+D523)</f>
        <v/>
      </c>
    </row>
    <row r="524">
      <c r="A524" s="8" t="inlineStr">
        <is>
          <t>1914-03-01</t>
        </is>
      </c>
      <c r="B524" s="6" t="n">
        <v>4.1733</v>
      </c>
      <c r="C524" s="8">
        <f>-PV(B524/100,$B$3,B523/100,1)</f>
        <v/>
      </c>
      <c r="D524" s="8">
        <f>B523/100/12+(C524-1)</f>
        <v/>
      </c>
      <c r="E524" s="8">
        <f>E523*(1+D524)</f>
        <v/>
      </c>
    </row>
    <row r="525">
      <c r="A525" s="8" t="inlineStr">
        <is>
          <t>1914-04-01</t>
        </is>
      </c>
      <c r="B525" s="6" t="n">
        <v>4.18</v>
      </c>
      <c r="C525" s="8">
        <f>-PV(B525/100,$B$3,B524/100,1)</f>
        <v/>
      </c>
      <c r="D525" s="8">
        <f>B524/100/12+(C525-1)</f>
        <v/>
      </c>
      <c r="E525" s="8">
        <f>E524*(1+D525)</f>
        <v/>
      </c>
    </row>
    <row r="526">
      <c r="A526" s="8" t="inlineStr">
        <is>
          <t>1914-05-01</t>
        </is>
      </c>
      <c r="B526" s="6" t="n">
        <v>4.1867</v>
      </c>
      <c r="C526" s="8">
        <f>-PV(B526/100,$B$3,B525/100,1)</f>
        <v/>
      </c>
      <c r="D526" s="8">
        <f>B525/100/12+(C526-1)</f>
        <v/>
      </c>
      <c r="E526" s="8">
        <f>E525*(1+D526)</f>
        <v/>
      </c>
    </row>
    <row r="527">
      <c r="A527" s="8" t="inlineStr">
        <is>
          <t>1914-06-01</t>
        </is>
      </c>
      <c r="B527" s="6" t="n">
        <v>4.1933</v>
      </c>
      <c r="C527" s="8">
        <f>-PV(B527/100,$B$3,B526/100,1)</f>
        <v/>
      </c>
      <c r="D527" s="8">
        <f>B526/100/12+(C527-1)</f>
        <v/>
      </c>
      <c r="E527" s="8">
        <f>E526*(1+D527)</f>
        <v/>
      </c>
    </row>
    <row r="528">
      <c r="A528" s="8" t="inlineStr">
        <is>
          <t>1914-07-01</t>
        </is>
      </c>
      <c r="B528" s="6" t="n">
        <v>4.2</v>
      </c>
      <c r="C528" s="8">
        <f>-PV(B528/100,$B$3,B527/100,1)</f>
        <v/>
      </c>
      <c r="D528" s="8">
        <f>B527/100/12+(C528-1)</f>
        <v/>
      </c>
      <c r="E528" s="8">
        <f>E527*(1+D528)</f>
        <v/>
      </c>
    </row>
    <row r="529">
      <c r="A529" s="8" t="inlineStr">
        <is>
          <t>1914-08-01</t>
        </is>
      </c>
      <c r="B529" s="6" t="n">
        <v>4.2067</v>
      </c>
      <c r="C529" s="8">
        <f>-PV(B529/100,$B$3,B528/100,1)</f>
        <v/>
      </c>
      <c r="D529" s="8">
        <f>B528/100/12+(C529-1)</f>
        <v/>
      </c>
      <c r="E529" s="8">
        <f>E528*(1+D529)</f>
        <v/>
      </c>
    </row>
    <row r="530">
      <c r="A530" s="8" t="inlineStr">
        <is>
          <t>1914-09-01</t>
        </is>
      </c>
      <c r="B530" s="6" t="n">
        <v>4.2133</v>
      </c>
      <c r="C530" s="8">
        <f>-PV(B530/100,$B$3,B529/100,1)</f>
        <v/>
      </c>
      <c r="D530" s="8">
        <f>B529/100/12+(C530-1)</f>
        <v/>
      </c>
      <c r="E530" s="8">
        <f>E529*(1+D530)</f>
        <v/>
      </c>
    </row>
    <row r="531">
      <c r="A531" s="8" t="inlineStr">
        <is>
          <t>1914-10-01</t>
        </is>
      </c>
      <c r="B531" s="6" t="n">
        <v>4.22</v>
      </c>
      <c r="C531" s="8">
        <f>-PV(B531/100,$B$3,B530/100,1)</f>
        <v/>
      </c>
      <c r="D531" s="8">
        <f>B530/100/12+(C531-1)</f>
        <v/>
      </c>
      <c r="E531" s="8">
        <f>E530*(1+D531)</f>
        <v/>
      </c>
    </row>
    <row r="532">
      <c r="A532" s="8" t="inlineStr">
        <is>
          <t>1914-11-01</t>
        </is>
      </c>
      <c r="B532" s="6" t="n">
        <v>4.2267</v>
      </c>
      <c r="C532" s="8">
        <f>-PV(B532/100,$B$3,B531/100,1)</f>
        <v/>
      </c>
      <c r="D532" s="8">
        <f>B531/100/12+(C532-1)</f>
        <v/>
      </c>
      <c r="E532" s="8">
        <f>E531*(1+D532)</f>
        <v/>
      </c>
    </row>
    <row r="533">
      <c r="A533" s="8" t="inlineStr">
        <is>
          <t>1914-12-01</t>
        </is>
      </c>
      <c r="B533" s="6" t="n">
        <v>4.2333</v>
      </c>
      <c r="C533" s="8">
        <f>-PV(B533/100,$B$3,B532/100,1)</f>
        <v/>
      </c>
      <c r="D533" s="8">
        <f>B532/100/12+(C533-1)</f>
        <v/>
      </c>
      <c r="E533" s="8">
        <f>E532*(1+D533)</f>
        <v/>
      </c>
    </row>
    <row r="534">
      <c r="A534" s="8" t="inlineStr">
        <is>
          <t>1915-01-01</t>
        </is>
      </c>
      <c r="B534" s="6" t="n">
        <v>4.24</v>
      </c>
      <c r="C534" s="8">
        <f>-PV(B534/100,$B$3,B533/100,1)</f>
        <v/>
      </c>
      <c r="D534" s="8">
        <f>B533/100/12+(C534-1)</f>
        <v/>
      </c>
      <c r="E534" s="8">
        <f>E533*(1+D534)</f>
        <v/>
      </c>
    </row>
    <row r="535">
      <c r="A535" s="8" t="inlineStr">
        <is>
          <t>1915-02-01</t>
        </is>
      </c>
      <c r="B535" s="6" t="n">
        <v>4.2242</v>
      </c>
      <c r="C535" s="8">
        <f>-PV(B535/100,$B$3,B534/100,1)</f>
        <v/>
      </c>
      <c r="D535" s="8">
        <f>B534/100/12+(C535-1)</f>
        <v/>
      </c>
      <c r="E535" s="8">
        <f>E534*(1+D535)</f>
        <v/>
      </c>
    </row>
    <row r="536">
      <c r="A536" s="8" t="inlineStr">
        <is>
          <t>1915-03-01</t>
        </is>
      </c>
      <c r="B536" s="6" t="n">
        <v>4.2083</v>
      </c>
      <c r="C536" s="8">
        <f>-PV(B536/100,$B$3,B535/100,1)</f>
        <v/>
      </c>
      <c r="D536" s="8">
        <f>B535/100/12+(C536-1)</f>
        <v/>
      </c>
      <c r="E536" s="8">
        <f>E535*(1+D536)</f>
        <v/>
      </c>
    </row>
    <row r="537">
      <c r="A537" s="8" t="inlineStr">
        <is>
          <t>1915-04-01</t>
        </is>
      </c>
      <c r="B537" s="6" t="n">
        <v>4.1925</v>
      </c>
      <c r="C537" s="8">
        <f>-PV(B537/100,$B$3,B536/100,1)</f>
        <v/>
      </c>
      <c r="D537" s="8">
        <f>B536/100/12+(C537-1)</f>
        <v/>
      </c>
      <c r="E537" s="8">
        <f>E536*(1+D537)</f>
        <v/>
      </c>
    </row>
    <row r="538">
      <c r="A538" s="8" t="inlineStr">
        <is>
          <t>1915-05-01</t>
        </is>
      </c>
      <c r="B538" s="6" t="n">
        <v>4.1767</v>
      </c>
      <c r="C538" s="8">
        <f>-PV(B538/100,$B$3,B537/100,1)</f>
        <v/>
      </c>
      <c r="D538" s="8">
        <f>B537/100/12+(C538-1)</f>
        <v/>
      </c>
      <c r="E538" s="8">
        <f>E537*(1+D538)</f>
        <v/>
      </c>
    </row>
    <row r="539">
      <c r="A539" s="8" t="inlineStr">
        <is>
          <t>1915-06-01</t>
        </is>
      </c>
      <c r="B539" s="6" t="n">
        <v>4.1608</v>
      </c>
      <c r="C539" s="8">
        <f>-PV(B539/100,$B$3,B538/100,1)</f>
        <v/>
      </c>
      <c r="D539" s="8">
        <f>B538/100/12+(C539-1)</f>
        <v/>
      </c>
      <c r="E539" s="8">
        <f>E538*(1+D539)</f>
        <v/>
      </c>
    </row>
    <row r="540">
      <c r="A540" s="8" t="inlineStr">
        <is>
          <t>1915-07-01</t>
        </is>
      </c>
      <c r="B540" s="6" t="n">
        <v>4.145</v>
      </c>
      <c r="C540" s="8">
        <f>-PV(B540/100,$B$3,B539/100,1)</f>
        <v/>
      </c>
      <c r="D540" s="8">
        <f>B539/100/12+(C540-1)</f>
        <v/>
      </c>
      <c r="E540" s="8">
        <f>E539*(1+D540)</f>
        <v/>
      </c>
    </row>
    <row r="541">
      <c r="A541" s="8" t="inlineStr">
        <is>
          <t>1915-08-01</t>
        </is>
      </c>
      <c r="B541" s="6" t="n">
        <v>4.1292</v>
      </c>
      <c r="C541" s="8">
        <f>-PV(B541/100,$B$3,B540/100,1)</f>
        <v/>
      </c>
      <c r="D541" s="8">
        <f>B540/100/12+(C541-1)</f>
        <v/>
      </c>
      <c r="E541" s="8">
        <f>E540*(1+D541)</f>
        <v/>
      </c>
    </row>
    <row r="542">
      <c r="A542" s="8" t="inlineStr">
        <is>
          <t>1915-09-01</t>
        </is>
      </c>
      <c r="B542" s="6" t="n">
        <v>4.1133</v>
      </c>
      <c r="C542" s="8">
        <f>-PV(B542/100,$B$3,B541/100,1)</f>
        <v/>
      </c>
      <c r="D542" s="8">
        <f>B541/100/12+(C542-1)</f>
        <v/>
      </c>
      <c r="E542" s="8">
        <f>E541*(1+D542)</f>
        <v/>
      </c>
    </row>
    <row r="543">
      <c r="A543" s="8" t="inlineStr">
        <is>
          <t>1915-10-01</t>
        </is>
      </c>
      <c r="B543" s="6" t="n">
        <v>4.0975</v>
      </c>
      <c r="C543" s="8">
        <f>-PV(B543/100,$B$3,B542/100,1)</f>
        <v/>
      </c>
      <c r="D543" s="8">
        <f>B542/100/12+(C543-1)</f>
        <v/>
      </c>
      <c r="E543" s="8">
        <f>E542*(1+D543)</f>
        <v/>
      </c>
    </row>
    <row r="544">
      <c r="A544" s="8" t="inlineStr">
        <is>
          <t>1915-11-01</t>
        </is>
      </c>
      <c r="B544" s="6" t="n">
        <v>4.0817</v>
      </c>
      <c r="C544" s="8">
        <f>-PV(B544/100,$B$3,B543/100,1)</f>
        <v/>
      </c>
      <c r="D544" s="8">
        <f>B543/100/12+(C544-1)</f>
        <v/>
      </c>
      <c r="E544" s="8">
        <f>E543*(1+D544)</f>
        <v/>
      </c>
    </row>
    <row r="545">
      <c r="A545" s="8" t="inlineStr">
        <is>
          <t>1915-12-01</t>
        </is>
      </c>
      <c r="B545" s="6" t="n">
        <v>4.0658</v>
      </c>
      <c r="C545" s="8">
        <f>-PV(B545/100,$B$3,B544/100,1)</f>
        <v/>
      </c>
      <c r="D545" s="8">
        <f>B544/100/12+(C545-1)</f>
        <v/>
      </c>
      <c r="E545" s="8">
        <f>E544*(1+D545)</f>
        <v/>
      </c>
    </row>
    <row r="546">
      <c r="A546" s="8" t="inlineStr">
        <is>
          <t>1916-01-01</t>
        </is>
      </c>
      <c r="B546" s="6" t="n">
        <v>4.05</v>
      </c>
      <c r="C546" s="8">
        <f>-PV(B546/100,$B$3,B545/100,1)</f>
        <v/>
      </c>
      <c r="D546" s="8">
        <f>B545/100/12+(C546-1)</f>
        <v/>
      </c>
      <c r="E546" s="8">
        <f>E545*(1+D546)</f>
        <v/>
      </c>
    </row>
    <row r="547">
      <c r="A547" s="8" t="inlineStr">
        <is>
          <t>1916-02-01</t>
        </is>
      </c>
      <c r="B547" s="6" t="n">
        <v>4.065</v>
      </c>
      <c r="C547" s="8">
        <f>-PV(B547/100,$B$3,B546/100,1)</f>
        <v/>
      </c>
      <c r="D547" s="8">
        <f>B546/100/12+(C547-1)</f>
        <v/>
      </c>
      <c r="E547" s="8">
        <f>E546*(1+D547)</f>
        <v/>
      </c>
    </row>
    <row r="548">
      <c r="A548" s="8" t="inlineStr">
        <is>
          <t>1916-03-01</t>
        </is>
      </c>
      <c r="B548" s="6" t="n">
        <v>4.08</v>
      </c>
      <c r="C548" s="8">
        <f>-PV(B548/100,$B$3,B547/100,1)</f>
        <v/>
      </c>
      <c r="D548" s="8">
        <f>B547/100/12+(C548-1)</f>
        <v/>
      </c>
      <c r="E548" s="8">
        <f>E547*(1+D548)</f>
        <v/>
      </c>
    </row>
    <row r="549">
      <c r="A549" s="8" t="inlineStr">
        <is>
          <t>1916-04-01</t>
        </is>
      </c>
      <c r="B549" s="6" t="n">
        <v>4.095</v>
      </c>
      <c r="C549" s="8">
        <f>-PV(B549/100,$B$3,B548/100,1)</f>
        <v/>
      </c>
      <c r="D549" s="8">
        <f>B548/100/12+(C549-1)</f>
        <v/>
      </c>
      <c r="E549" s="8">
        <f>E548*(1+D549)</f>
        <v/>
      </c>
    </row>
    <row r="550">
      <c r="A550" s="8" t="inlineStr">
        <is>
          <t>1916-05-01</t>
        </is>
      </c>
      <c r="B550" s="6" t="n">
        <v>4.11</v>
      </c>
      <c r="C550" s="8">
        <f>-PV(B550/100,$B$3,B549/100,1)</f>
        <v/>
      </c>
      <c r="D550" s="8">
        <f>B549/100/12+(C550-1)</f>
        <v/>
      </c>
      <c r="E550" s="8">
        <f>E549*(1+D550)</f>
        <v/>
      </c>
    </row>
    <row r="551">
      <c r="A551" s="8" t="inlineStr">
        <is>
          <t>1916-06-01</t>
        </is>
      </c>
      <c r="B551" s="6" t="n">
        <v>4.125</v>
      </c>
      <c r="C551" s="8">
        <f>-PV(B551/100,$B$3,B550/100,1)</f>
        <v/>
      </c>
      <c r="D551" s="8">
        <f>B550/100/12+(C551-1)</f>
        <v/>
      </c>
      <c r="E551" s="8">
        <f>E550*(1+D551)</f>
        <v/>
      </c>
    </row>
    <row r="552">
      <c r="A552" s="8" t="inlineStr">
        <is>
          <t>1916-07-01</t>
        </is>
      </c>
      <c r="B552" s="6" t="n">
        <v>4.14</v>
      </c>
      <c r="C552" s="8">
        <f>-PV(B552/100,$B$3,B551/100,1)</f>
        <v/>
      </c>
      <c r="D552" s="8">
        <f>B551/100/12+(C552-1)</f>
        <v/>
      </c>
      <c r="E552" s="8">
        <f>E551*(1+D552)</f>
        <v/>
      </c>
    </row>
    <row r="553">
      <c r="A553" s="8" t="inlineStr">
        <is>
          <t>1916-08-01</t>
        </is>
      </c>
      <c r="B553" s="6" t="n">
        <v>4.155</v>
      </c>
      <c r="C553" s="8">
        <f>-PV(B553/100,$B$3,B552/100,1)</f>
        <v/>
      </c>
      <c r="D553" s="8">
        <f>B552/100/12+(C553-1)</f>
        <v/>
      </c>
      <c r="E553" s="8">
        <f>E552*(1+D553)</f>
        <v/>
      </c>
    </row>
    <row r="554">
      <c r="A554" s="8" t="inlineStr">
        <is>
          <t>1916-09-01</t>
        </is>
      </c>
      <c r="B554" s="6" t="n">
        <v>4.17</v>
      </c>
      <c r="C554" s="8">
        <f>-PV(B554/100,$B$3,B553/100,1)</f>
        <v/>
      </c>
      <c r="D554" s="8">
        <f>B553/100/12+(C554-1)</f>
        <v/>
      </c>
      <c r="E554" s="8">
        <f>E553*(1+D554)</f>
        <v/>
      </c>
    </row>
    <row r="555">
      <c r="A555" s="8" t="inlineStr">
        <is>
          <t>1916-10-01</t>
        </is>
      </c>
      <c r="B555" s="6" t="n">
        <v>4.185</v>
      </c>
      <c r="C555" s="8">
        <f>-PV(B555/100,$B$3,B554/100,1)</f>
        <v/>
      </c>
      <c r="D555" s="8">
        <f>B554/100/12+(C555-1)</f>
        <v/>
      </c>
      <c r="E555" s="8">
        <f>E554*(1+D555)</f>
        <v/>
      </c>
    </row>
    <row r="556">
      <c r="A556" s="8" t="inlineStr">
        <is>
          <t>1916-11-01</t>
        </is>
      </c>
      <c r="B556" s="6" t="n">
        <v>4.2</v>
      </c>
      <c r="C556" s="8">
        <f>-PV(B556/100,$B$3,B555/100,1)</f>
        <v/>
      </c>
      <c r="D556" s="8">
        <f>B555/100/12+(C556-1)</f>
        <v/>
      </c>
      <c r="E556" s="8">
        <f>E555*(1+D556)</f>
        <v/>
      </c>
    </row>
    <row r="557">
      <c r="A557" s="8" t="inlineStr">
        <is>
          <t>1916-12-01</t>
        </is>
      </c>
      <c r="B557" s="6" t="n">
        <v>4.215</v>
      </c>
      <c r="C557" s="8">
        <f>-PV(B557/100,$B$3,B556/100,1)</f>
        <v/>
      </c>
      <c r="D557" s="8">
        <f>B556/100/12+(C557-1)</f>
        <v/>
      </c>
      <c r="E557" s="8">
        <f>E556*(1+D557)</f>
        <v/>
      </c>
    </row>
    <row r="558">
      <c r="A558" s="8" t="inlineStr">
        <is>
          <t>1917-01-01</t>
        </is>
      </c>
      <c r="B558" s="6" t="n">
        <v>4.23</v>
      </c>
      <c r="C558" s="8">
        <f>-PV(B558/100,$B$3,B557/100,1)</f>
        <v/>
      </c>
      <c r="D558" s="8">
        <f>B557/100/12+(C558-1)</f>
        <v/>
      </c>
      <c r="E558" s="8">
        <f>E557*(1+D558)</f>
        <v/>
      </c>
    </row>
    <row r="559">
      <c r="A559" s="8" t="inlineStr">
        <is>
          <t>1917-02-01</t>
        </is>
      </c>
      <c r="B559" s="6" t="n">
        <v>4.2583</v>
      </c>
      <c r="C559" s="8">
        <f>-PV(B559/100,$B$3,B558/100,1)</f>
        <v/>
      </c>
      <c r="D559" s="8">
        <f>B558/100/12+(C559-1)</f>
        <v/>
      </c>
      <c r="E559" s="8">
        <f>E558*(1+D559)</f>
        <v/>
      </c>
    </row>
    <row r="560">
      <c r="A560" s="8" t="inlineStr">
        <is>
          <t>1917-03-01</t>
        </is>
      </c>
      <c r="B560" s="6" t="n">
        <v>4.2867</v>
      </c>
      <c r="C560" s="8">
        <f>-PV(B560/100,$B$3,B559/100,1)</f>
        <v/>
      </c>
      <c r="D560" s="8">
        <f>B559/100/12+(C560-1)</f>
        <v/>
      </c>
      <c r="E560" s="8">
        <f>E559*(1+D560)</f>
        <v/>
      </c>
    </row>
    <row r="561">
      <c r="A561" s="8" t="inlineStr">
        <is>
          <t>1917-04-01</t>
        </is>
      </c>
      <c r="B561" s="6" t="n">
        <v>4.315</v>
      </c>
      <c r="C561" s="8">
        <f>-PV(B561/100,$B$3,B560/100,1)</f>
        <v/>
      </c>
      <c r="D561" s="8">
        <f>B560/100/12+(C561-1)</f>
        <v/>
      </c>
      <c r="E561" s="8">
        <f>E560*(1+D561)</f>
        <v/>
      </c>
    </row>
    <row r="562">
      <c r="A562" s="8" t="inlineStr">
        <is>
          <t>1917-05-01</t>
        </is>
      </c>
      <c r="B562" s="6" t="n">
        <v>4.3433</v>
      </c>
      <c r="C562" s="8">
        <f>-PV(B562/100,$B$3,B561/100,1)</f>
        <v/>
      </c>
      <c r="D562" s="8">
        <f>B561/100/12+(C562-1)</f>
        <v/>
      </c>
      <c r="E562" s="8">
        <f>E561*(1+D562)</f>
        <v/>
      </c>
    </row>
    <row r="563">
      <c r="A563" s="8" t="inlineStr">
        <is>
          <t>1917-06-01</t>
        </is>
      </c>
      <c r="B563" s="6" t="n">
        <v>4.3717</v>
      </c>
      <c r="C563" s="8">
        <f>-PV(B563/100,$B$3,B562/100,1)</f>
        <v/>
      </c>
      <c r="D563" s="8">
        <f>B562/100/12+(C563-1)</f>
        <v/>
      </c>
      <c r="E563" s="8">
        <f>E562*(1+D563)</f>
        <v/>
      </c>
    </row>
    <row r="564">
      <c r="A564" s="8" t="inlineStr">
        <is>
          <t>1917-07-01</t>
        </is>
      </c>
      <c r="B564" s="6" t="n">
        <v>4.4</v>
      </c>
      <c r="C564" s="8">
        <f>-PV(B564/100,$B$3,B563/100,1)</f>
        <v/>
      </c>
      <c r="D564" s="8">
        <f>B563/100/12+(C564-1)</f>
        <v/>
      </c>
      <c r="E564" s="8">
        <f>E563*(1+D564)</f>
        <v/>
      </c>
    </row>
    <row r="565">
      <c r="A565" s="8" t="inlineStr">
        <is>
          <t>1917-08-01</t>
        </is>
      </c>
      <c r="B565" s="6" t="n">
        <v>4.4283</v>
      </c>
      <c r="C565" s="8">
        <f>-PV(B565/100,$B$3,B564/100,1)</f>
        <v/>
      </c>
      <c r="D565" s="8">
        <f>B564/100/12+(C565-1)</f>
        <v/>
      </c>
      <c r="E565" s="8">
        <f>E564*(1+D565)</f>
        <v/>
      </c>
    </row>
    <row r="566">
      <c r="A566" s="8" t="inlineStr">
        <is>
          <t>1917-09-01</t>
        </is>
      </c>
      <c r="B566" s="6" t="n">
        <v>4.4567</v>
      </c>
      <c r="C566" s="8">
        <f>-PV(B566/100,$B$3,B565/100,1)</f>
        <v/>
      </c>
      <c r="D566" s="8">
        <f>B565/100/12+(C566-1)</f>
        <v/>
      </c>
      <c r="E566" s="8">
        <f>E565*(1+D566)</f>
        <v/>
      </c>
    </row>
    <row r="567">
      <c r="A567" s="8" t="inlineStr">
        <is>
          <t>1917-10-01</t>
        </is>
      </c>
      <c r="B567" s="6" t="n">
        <v>4.485</v>
      </c>
      <c r="C567" s="8">
        <f>-PV(B567/100,$B$3,B566/100,1)</f>
        <v/>
      </c>
      <c r="D567" s="8">
        <f>B566/100/12+(C567-1)</f>
        <v/>
      </c>
      <c r="E567" s="8">
        <f>E566*(1+D567)</f>
        <v/>
      </c>
    </row>
    <row r="568">
      <c r="A568" s="8" t="inlineStr">
        <is>
          <t>1917-11-01</t>
        </is>
      </c>
      <c r="B568" s="6" t="n">
        <v>4.5133</v>
      </c>
      <c r="C568" s="8">
        <f>-PV(B568/100,$B$3,B567/100,1)</f>
        <v/>
      </c>
      <c r="D568" s="8">
        <f>B567/100/12+(C568-1)</f>
        <v/>
      </c>
      <c r="E568" s="8">
        <f>E567*(1+D568)</f>
        <v/>
      </c>
    </row>
    <row r="569">
      <c r="A569" s="8" t="inlineStr">
        <is>
          <t>1917-12-01</t>
        </is>
      </c>
      <c r="B569" s="6" t="n">
        <v>4.5417</v>
      </c>
      <c r="C569" s="8">
        <f>-PV(B569/100,$B$3,B568/100,1)</f>
        <v/>
      </c>
      <c r="D569" s="8">
        <f>B568/100/12+(C569-1)</f>
        <v/>
      </c>
      <c r="E569" s="8">
        <f>E568*(1+D569)</f>
        <v/>
      </c>
    </row>
    <row r="570">
      <c r="A570" s="8" t="inlineStr">
        <is>
          <t>1918-01-01</t>
        </is>
      </c>
      <c r="B570" s="6" t="n">
        <v>4.57</v>
      </c>
      <c r="C570" s="8">
        <f>-PV(B570/100,$B$3,B569/100,1)</f>
        <v/>
      </c>
      <c r="D570" s="8">
        <f>B569/100/12+(C570-1)</f>
        <v/>
      </c>
      <c r="E570" s="8">
        <f>E569*(1+D570)</f>
        <v/>
      </c>
    </row>
    <row r="571">
      <c r="A571" s="8" t="inlineStr">
        <is>
          <t>1918-02-01</t>
        </is>
      </c>
      <c r="B571" s="6" t="n">
        <v>4.5642</v>
      </c>
      <c r="C571" s="8">
        <f>-PV(B571/100,$B$3,B570/100,1)</f>
        <v/>
      </c>
      <c r="D571" s="8">
        <f>B570/100/12+(C571-1)</f>
        <v/>
      </c>
      <c r="E571" s="8">
        <f>E570*(1+D571)</f>
        <v/>
      </c>
    </row>
    <row r="572">
      <c r="A572" s="8" t="inlineStr">
        <is>
          <t>1918-03-01</t>
        </is>
      </c>
      <c r="B572" s="6" t="n">
        <v>4.5583</v>
      </c>
      <c r="C572" s="8">
        <f>-PV(B572/100,$B$3,B571/100,1)</f>
        <v/>
      </c>
      <c r="D572" s="8">
        <f>B571/100/12+(C572-1)</f>
        <v/>
      </c>
      <c r="E572" s="8">
        <f>E571*(1+D572)</f>
        <v/>
      </c>
    </row>
    <row r="573">
      <c r="A573" s="8" t="inlineStr">
        <is>
          <t>1918-04-01</t>
        </is>
      </c>
      <c r="B573" s="6" t="n">
        <v>4.5525</v>
      </c>
      <c r="C573" s="8">
        <f>-PV(B573/100,$B$3,B572/100,1)</f>
        <v/>
      </c>
      <c r="D573" s="8">
        <f>B572/100/12+(C573-1)</f>
        <v/>
      </c>
      <c r="E573" s="8">
        <f>E572*(1+D573)</f>
        <v/>
      </c>
    </row>
    <row r="574">
      <c r="A574" s="8" t="inlineStr">
        <is>
          <t>1918-05-01</t>
        </is>
      </c>
      <c r="B574" s="6" t="n">
        <v>4.5467</v>
      </c>
      <c r="C574" s="8">
        <f>-PV(B574/100,$B$3,B573/100,1)</f>
        <v/>
      </c>
      <c r="D574" s="8">
        <f>B573/100/12+(C574-1)</f>
        <v/>
      </c>
      <c r="E574" s="8">
        <f>E573*(1+D574)</f>
        <v/>
      </c>
    </row>
    <row r="575">
      <c r="A575" s="8" t="inlineStr">
        <is>
          <t>1918-06-01</t>
        </is>
      </c>
      <c r="B575" s="6" t="n">
        <v>4.5408</v>
      </c>
      <c r="C575" s="8">
        <f>-PV(B575/100,$B$3,B574/100,1)</f>
        <v/>
      </c>
      <c r="D575" s="8">
        <f>B574/100/12+(C575-1)</f>
        <v/>
      </c>
      <c r="E575" s="8">
        <f>E574*(1+D575)</f>
        <v/>
      </c>
    </row>
    <row r="576">
      <c r="A576" s="8" t="inlineStr">
        <is>
          <t>1918-07-01</t>
        </is>
      </c>
      <c r="B576" s="6" t="n">
        <v>4.535</v>
      </c>
      <c r="C576" s="8">
        <f>-PV(B576/100,$B$3,B575/100,1)</f>
        <v/>
      </c>
      <c r="D576" s="8">
        <f>B575/100/12+(C576-1)</f>
        <v/>
      </c>
      <c r="E576" s="8">
        <f>E575*(1+D576)</f>
        <v/>
      </c>
    </row>
    <row r="577">
      <c r="A577" s="8" t="inlineStr">
        <is>
          <t>1918-08-01</t>
        </is>
      </c>
      <c r="B577" s="6" t="n">
        <v>4.5292</v>
      </c>
      <c r="C577" s="8">
        <f>-PV(B577/100,$B$3,B576/100,1)</f>
        <v/>
      </c>
      <c r="D577" s="8">
        <f>B576/100/12+(C577-1)</f>
        <v/>
      </c>
      <c r="E577" s="8">
        <f>E576*(1+D577)</f>
        <v/>
      </c>
    </row>
    <row r="578">
      <c r="A578" s="8" t="inlineStr">
        <is>
          <t>1918-09-01</t>
        </is>
      </c>
      <c r="B578" s="6" t="n">
        <v>4.5233</v>
      </c>
      <c r="C578" s="8">
        <f>-PV(B578/100,$B$3,B577/100,1)</f>
        <v/>
      </c>
      <c r="D578" s="8">
        <f>B577/100/12+(C578-1)</f>
        <v/>
      </c>
      <c r="E578" s="8">
        <f>E577*(1+D578)</f>
        <v/>
      </c>
    </row>
    <row r="579">
      <c r="A579" s="8" t="inlineStr">
        <is>
          <t>1918-10-01</t>
        </is>
      </c>
      <c r="B579" s="6" t="n">
        <v>4.5175</v>
      </c>
      <c r="C579" s="8">
        <f>-PV(B579/100,$B$3,B578/100,1)</f>
        <v/>
      </c>
      <c r="D579" s="8">
        <f>B578/100/12+(C579-1)</f>
        <v/>
      </c>
      <c r="E579" s="8">
        <f>E578*(1+D579)</f>
        <v/>
      </c>
    </row>
    <row r="580">
      <c r="A580" s="8" t="inlineStr">
        <is>
          <t>1918-11-01</t>
        </is>
      </c>
      <c r="B580" s="6" t="n">
        <v>4.5117</v>
      </c>
      <c r="C580" s="8">
        <f>-PV(B580/100,$B$3,B579/100,1)</f>
        <v/>
      </c>
      <c r="D580" s="8">
        <f>B579/100/12+(C580-1)</f>
        <v/>
      </c>
      <c r="E580" s="8">
        <f>E579*(1+D580)</f>
        <v/>
      </c>
    </row>
    <row r="581">
      <c r="A581" s="8" t="inlineStr">
        <is>
          <t>1918-12-01</t>
        </is>
      </c>
      <c r="B581" s="6" t="n">
        <v>4.5058</v>
      </c>
      <c r="C581" s="8">
        <f>-PV(B581/100,$B$3,B580/100,1)</f>
        <v/>
      </c>
      <c r="D581" s="8">
        <f>B580/100/12+(C581-1)</f>
        <v/>
      </c>
      <c r="E581" s="8">
        <f>E580*(1+D581)</f>
        <v/>
      </c>
    </row>
    <row r="582">
      <c r="A582" s="8" t="inlineStr">
        <is>
          <t>1919-01-01</t>
        </is>
      </c>
      <c r="B582" s="6" t="n">
        <v>4.5</v>
      </c>
      <c r="C582" s="8">
        <f>-PV(B582/100,$B$3,B581/100,1)</f>
        <v/>
      </c>
      <c r="D582" s="8">
        <f>B581/100/12+(C582-1)</f>
        <v/>
      </c>
      <c r="E582" s="8">
        <f>E581*(1+D582)</f>
        <v/>
      </c>
    </row>
    <row r="583">
      <c r="A583" s="8" t="inlineStr">
        <is>
          <t>1919-02-01</t>
        </is>
      </c>
      <c r="B583" s="6" t="n">
        <v>4.5392</v>
      </c>
      <c r="C583" s="8">
        <f>-PV(B583/100,$B$3,B582/100,1)</f>
        <v/>
      </c>
      <c r="D583" s="8">
        <f>B582/100/12+(C583-1)</f>
        <v/>
      </c>
      <c r="E583" s="8">
        <f>E582*(1+D583)</f>
        <v/>
      </c>
    </row>
    <row r="584">
      <c r="A584" s="8" t="inlineStr">
        <is>
          <t>1919-03-01</t>
        </is>
      </c>
      <c r="B584" s="6" t="n">
        <v>4.5783</v>
      </c>
      <c r="C584" s="8">
        <f>-PV(B584/100,$B$3,B583/100,1)</f>
        <v/>
      </c>
      <c r="D584" s="8">
        <f>B583/100/12+(C584-1)</f>
        <v/>
      </c>
      <c r="E584" s="8">
        <f>E583*(1+D584)</f>
        <v/>
      </c>
    </row>
    <row r="585">
      <c r="A585" s="8" t="inlineStr">
        <is>
          <t>1919-04-01</t>
        </is>
      </c>
      <c r="B585" s="6" t="n">
        <v>4.6175</v>
      </c>
      <c r="C585" s="8">
        <f>-PV(B585/100,$B$3,B584/100,1)</f>
        <v/>
      </c>
      <c r="D585" s="8">
        <f>B584/100/12+(C585-1)</f>
        <v/>
      </c>
      <c r="E585" s="8">
        <f>E584*(1+D585)</f>
        <v/>
      </c>
    </row>
    <row r="586">
      <c r="A586" s="8" t="inlineStr">
        <is>
          <t>1919-05-01</t>
        </is>
      </c>
      <c r="B586" s="6" t="n">
        <v>4.6567</v>
      </c>
      <c r="C586" s="8">
        <f>-PV(B586/100,$B$3,B585/100,1)</f>
        <v/>
      </c>
      <c r="D586" s="8">
        <f>B585/100/12+(C586-1)</f>
        <v/>
      </c>
      <c r="E586" s="8">
        <f>E585*(1+D586)</f>
        <v/>
      </c>
    </row>
    <row r="587">
      <c r="A587" s="8" t="inlineStr">
        <is>
          <t>1919-06-01</t>
        </is>
      </c>
      <c r="B587" s="6" t="n">
        <v>4.6958</v>
      </c>
      <c r="C587" s="8">
        <f>-PV(B587/100,$B$3,B586/100,1)</f>
        <v/>
      </c>
      <c r="D587" s="8">
        <f>B586/100/12+(C587-1)</f>
        <v/>
      </c>
      <c r="E587" s="8">
        <f>E586*(1+D587)</f>
        <v/>
      </c>
    </row>
    <row r="588">
      <c r="A588" s="8" t="inlineStr">
        <is>
          <t>1919-07-01</t>
        </is>
      </c>
      <c r="B588" s="6" t="n">
        <v>4.735</v>
      </c>
      <c r="C588" s="8">
        <f>-PV(B588/100,$B$3,B587/100,1)</f>
        <v/>
      </c>
      <c r="D588" s="8">
        <f>B587/100/12+(C588-1)</f>
        <v/>
      </c>
      <c r="E588" s="8">
        <f>E587*(1+D588)</f>
        <v/>
      </c>
    </row>
    <row r="589">
      <c r="A589" s="8" t="inlineStr">
        <is>
          <t>1919-08-01</t>
        </is>
      </c>
      <c r="B589" s="6" t="n">
        <v>4.7742</v>
      </c>
      <c r="C589" s="8">
        <f>-PV(B589/100,$B$3,B588/100,1)</f>
        <v/>
      </c>
      <c r="D589" s="8">
        <f>B588/100/12+(C589-1)</f>
        <v/>
      </c>
      <c r="E589" s="8">
        <f>E588*(1+D589)</f>
        <v/>
      </c>
    </row>
    <row r="590">
      <c r="A590" s="8" t="inlineStr">
        <is>
          <t>1919-09-01</t>
        </is>
      </c>
      <c r="B590" s="6" t="n">
        <v>4.8133</v>
      </c>
      <c r="C590" s="8">
        <f>-PV(B590/100,$B$3,B589/100,1)</f>
        <v/>
      </c>
      <c r="D590" s="8">
        <f>B589/100/12+(C590-1)</f>
        <v/>
      </c>
      <c r="E590" s="8">
        <f>E589*(1+D590)</f>
        <v/>
      </c>
    </row>
    <row r="591">
      <c r="A591" s="8" t="inlineStr">
        <is>
          <t>1919-10-01</t>
        </is>
      </c>
      <c r="B591" s="6" t="n">
        <v>4.8525</v>
      </c>
      <c r="C591" s="8">
        <f>-PV(B591/100,$B$3,B590/100,1)</f>
        <v/>
      </c>
      <c r="D591" s="8">
        <f>B590/100/12+(C591-1)</f>
        <v/>
      </c>
      <c r="E591" s="8">
        <f>E590*(1+D591)</f>
        <v/>
      </c>
    </row>
    <row r="592">
      <c r="A592" s="8" t="inlineStr">
        <is>
          <t>1919-11-01</t>
        </is>
      </c>
      <c r="B592" s="6" t="n">
        <v>4.8917</v>
      </c>
      <c r="C592" s="8">
        <f>-PV(B592/100,$B$3,B591/100,1)</f>
        <v/>
      </c>
      <c r="D592" s="8">
        <f>B591/100/12+(C592-1)</f>
        <v/>
      </c>
      <c r="E592" s="8">
        <f>E591*(1+D592)</f>
        <v/>
      </c>
    </row>
    <row r="593">
      <c r="A593" s="8" t="inlineStr">
        <is>
          <t>1919-12-01</t>
        </is>
      </c>
      <c r="B593" s="6" t="n">
        <v>4.9308</v>
      </c>
      <c r="C593" s="8">
        <f>-PV(B593/100,$B$3,B592/100,1)</f>
        <v/>
      </c>
      <c r="D593" s="8">
        <f>B592/100/12+(C593-1)</f>
        <v/>
      </c>
      <c r="E593" s="8">
        <f>E592*(1+D593)</f>
        <v/>
      </c>
    </row>
    <row r="594">
      <c r="A594" s="8" t="inlineStr">
        <is>
          <t>1920-01-01</t>
        </is>
      </c>
      <c r="B594" s="6" t="n">
        <v>4.97</v>
      </c>
      <c r="C594" s="8">
        <f>-PV(B594/100,$B$3,B593/100,1)</f>
        <v/>
      </c>
      <c r="D594" s="8">
        <f>B593/100/12+(C594-1)</f>
        <v/>
      </c>
      <c r="E594" s="8">
        <f>E593*(1+D594)</f>
        <v/>
      </c>
    </row>
    <row r="595">
      <c r="A595" s="8" t="inlineStr">
        <is>
          <t>1920-02-01</t>
        </is>
      </c>
      <c r="B595" s="6" t="n">
        <v>4.98</v>
      </c>
      <c r="C595" s="8">
        <f>-PV(B595/100,$B$3,B594/100,1)</f>
        <v/>
      </c>
      <c r="D595" s="8">
        <f>B594/100/12+(C595-1)</f>
        <v/>
      </c>
      <c r="E595" s="8">
        <f>E594*(1+D595)</f>
        <v/>
      </c>
    </row>
    <row r="596">
      <c r="A596" s="8" t="inlineStr">
        <is>
          <t>1920-03-01</t>
        </is>
      </c>
      <c r="B596" s="6" t="n">
        <v>4.99</v>
      </c>
      <c r="C596" s="8">
        <f>-PV(B596/100,$B$3,B595/100,1)</f>
        <v/>
      </c>
      <c r="D596" s="8">
        <f>B595/100/12+(C596-1)</f>
        <v/>
      </c>
      <c r="E596" s="8">
        <f>E595*(1+D596)</f>
        <v/>
      </c>
    </row>
    <row r="597">
      <c r="A597" s="8" t="inlineStr">
        <is>
          <t>1920-04-01</t>
        </is>
      </c>
      <c r="B597" s="6" t="n">
        <v>5</v>
      </c>
      <c r="C597" s="8">
        <f>-PV(B597/100,$B$3,B596/100,1)</f>
        <v/>
      </c>
      <c r="D597" s="8">
        <f>B596/100/12+(C597-1)</f>
        <v/>
      </c>
      <c r="E597" s="8">
        <f>E596*(1+D597)</f>
        <v/>
      </c>
    </row>
    <row r="598">
      <c r="A598" s="8" t="inlineStr">
        <is>
          <t>1920-05-01</t>
        </is>
      </c>
      <c r="B598" s="6" t="n">
        <v>5.01</v>
      </c>
      <c r="C598" s="8">
        <f>-PV(B598/100,$B$3,B597/100,1)</f>
        <v/>
      </c>
      <c r="D598" s="8">
        <f>B597/100/12+(C598-1)</f>
        <v/>
      </c>
      <c r="E598" s="8">
        <f>E597*(1+D598)</f>
        <v/>
      </c>
    </row>
    <row r="599">
      <c r="A599" s="8" t="inlineStr">
        <is>
          <t>1920-06-01</t>
        </is>
      </c>
      <c r="B599" s="6" t="n">
        <v>5.02</v>
      </c>
      <c r="C599" s="8">
        <f>-PV(B599/100,$B$3,B598/100,1)</f>
        <v/>
      </c>
      <c r="D599" s="8">
        <f>B598/100/12+(C599-1)</f>
        <v/>
      </c>
      <c r="E599" s="8">
        <f>E598*(1+D599)</f>
        <v/>
      </c>
    </row>
    <row r="600">
      <c r="A600" s="8" t="inlineStr">
        <is>
          <t>1920-07-01</t>
        </is>
      </c>
      <c r="B600" s="6" t="n">
        <v>5.03</v>
      </c>
      <c r="C600" s="8">
        <f>-PV(B600/100,$B$3,B599/100,1)</f>
        <v/>
      </c>
      <c r="D600" s="8">
        <f>B599/100/12+(C600-1)</f>
        <v/>
      </c>
      <c r="E600" s="8">
        <f>E599*(1+D600)</f>
        <v/>
      </c>
    </row>
    <row r="601">
      <c r="A601" s="8" t="inlineStr">
        <is>
          <t>1920-08-01</t>
        </is>
      </c>
      <c r="B601" s="6" t="n">
        <v>5.04</v>
      </c>
      <c r="C601" s="8">
        <f>-PV(B601/100,$B$3,B600/100,1)</f>
        <v/>
      </c>
      <c r="D601" s="8">
        <f>B600/100/12+(C601-1)</f>
        <v/>
      </c>
      <c r="E601" s="8">
        <f>E600*(1+D601)</f>
        <v/>
      </c>
    </row>
    <row r="602">
      <c r="A602" s="8" t="inlineStr">
        <is>
          <t>1920-09-01</t>
        </is>
      </c>
      <c r="B602" s="6" t="n">
        <v>5.05</v>
      </c>
      <c r="C602" s="8">
        <f>-PV(B602/100,$B$3,B601/100,1)</f>
        <v/>
      </c>
      <c r="D602" s="8">
        <f>B601/100/12+(C602-1)</f>
        <v/>
      </c>
      <c r="E602" s="8">
        <f>E601*(1+D602)</f>
        <v/>
      </c>
    </row>
    <row r="603">
      <c r="A603" s="8" t="inlineStr">
        <is>
          <t>1920-10-01</t>
        </is>
      </c>
      <c r="B603" s="6" t="n">
        <v>5.06</v>
      </c>
      <c r="C603" s="8">
        <f>-PV(B603/100,$B$3,B602/100,1)</f>
        <v/>
      </c>
      <c r="D603" s="8">
        <f>B602/100/12+(C603-1)</f>
        <v/>
      </c>
      <c r="E603" s="8">
        <f>E602*(1+D603)</f>
        <v/>
      </c>
    </row>
    <row r="604">
      <c r="A604" s="8" t="inlineStr">
        <is>
          <t>1920-11-01</t>
        </is>
      </c>
      <c r="B604" s="6" t="n">
        <v>5.07</v>
      </c>
      <c r="C604" s="8">
        <f>-PV(B604/100,$B$3,B603/100,1)</f>
        <v/>
      </c>
      <c r="D604" s="8">
        <f>B603/100/12+(C604-1)</f>
        <v/>
      </c>
      <c r="E604" s="8">
        <f>E603*(1+D604)</f>
        <v/>
      </c>
    </row>
    <row r="605">
      <c r="A605" s="8" t="inlineStr">
        <is>
          <t>1920-12-01</t>
        </is>
      </c>
      <c r="B605" s="6" t="n">
        <v>5.08</v>
      </c>
      <c r="C605" s="8">
        <f>-PV(B605/100,$B$3,B604/100,1)</f>
        <v/>
      </c>
      <c r="D605" s="8">
        <f>B604/100/12+(C605-1)</f>
        <v/>
      </c>
      <c r="E605" s="8">
        <f>E604*(1+D605)</f>
        <v/>
      </c>
    </row>
    <row r="606">
      <c r="A606" s="8" t="inlineStr">
        <is>
          <t>1921-01-01</t>
        </is>
      </c>
      <c r="B606" s="6" t="n">
        <v>5.09</v>
      </c>
      <c r="C606" s="8">
        <f>-PV(B606/100,$B$3,B605/100,1)</f>
        <v/>
      </c>
      <c r="D606" s="8">
        <f>B605/100/12+(C606-1)</f>
        <v/>
      </c>
      <c r="E606" s="8">
        <f>E605*(1+D606)</f>
        <v/>
      </c>
    </row>
    <row r="607">
      <c r="A607" s="8" t="inlineStr">
        <is>
          <t>1921-02-01</t>
        </is>
      </c>
      <c r="B607" s="6" t="n">
        <v>5.0242</v>
      </c>
      <c r="C607" s="8">
        <f>-PV(B607/100,$B$3,B606/100,1)</f>
        <v/>
      </c>
      <c r="D607" s="8">
        <f>B606/100/12+(C607-1)</f>
        <v/>
      </c>
      <c r="E607" s="8">
        <f>E606*(1+D607)</f>
        <v/>
      </c>
    </row>
    <row r="608">
      <c r="A608" s="8" t="inlineStr">
        <is>
          <t>1921-03-01</t>
        </is>
      </c>
      <c r="B608" s="6" t="n">
        <v>4.9583</v>
      </c>
      <c r="C608" s="8">
        <f>-PV(B608/100,$B$3,B607/100,1)</f>
        <v/>
      </c>
      <c r="D608" s="8">
        <f>B607/100/12+(C608-1)</f>
        <v/>
      </c>
      <c r="E608" s="8">
        <f>E607*(1+D608)</f>
        <v/>
      </c>
    </row>
    <row r="609">
      <c r="A609" s="8" t="inlineStr">
        <is>
          <t>1921-04-01</t>
        </is>
      </c>
      <c r="B609" s="6" t="n">
        <v>4.8925</v>
      </c>
      <c r="C609" s="8">
        <f>-PV(B609/100,$B$3,B608/100,1)</f>
        <v/>
      </c>
      <c r="D609" s="8">
        <f>B608/100/12+(C609-1)</f>
        <v/>
      </c>
      <c r="E609" s="8">
        <f>E608*(1+D609)</f>
        <v/>
      </c>
    </row>
    <row r="610">
      <c r="A610" s="8" t="inlineStr">
        <is>
          <t>1921-05-01</t>
        </is>
      </c>
      <c r="B610" s="6" t="n">
        <v>4.8267</v>
      </c>
      <c r="C610" s="8">
        <f>-PV(B610/100,$B$3,B609/100,1)</f>
        <v/>
      </c>
      <c r="D610" s="8">
        <f>B609/100/12+(C610-1)</f>
        <v/>
      </c>
      <c r="E610" s="8">
        <f>E609*(1+D610)</f>
        <v/>
      </c>
    </row>
    <row r="611">
      <c r="A611" s="8" t="inlineStr">
        <is>
          <t>1921-06-01</t>
        </is>
      </c>
      <c r="B611" s="6" t="n">
        <v>4.7608</v>
      </c>
      <c r="C611" s="8">
        <f>-PV(B611/100,$B$3,B610/100,1)</f>
        <v/>
      </c>
      <c r="D611" s="8">
        <f>B610/100/12+(C611-1)</f>
        <v/>
      </c>
      <c r="E611" s="8">
        <f>E610*(1+D611)</f>
        <v/>
      </c>
    </row>
    <row r="612">
      <c r="A612" s="8" t="inlineStr">
        <is>
          <t>1921-07-01</t>
        </is>
      </c>
      <c r="B612" s="6" t="n">
        <v>4.695</v>
      </c>
      <c r="C612" s="8">
        <f>-PV(B612/100,$B$3,B611/100,1)</f>
        <v/>
      </c>
      <c r="D612" s="8">
        <f>B611/100/12+(C612-1)</f>
        <v/>
      </c>
      <c r="E612" s="8">
        <f>E611*(1+D612)</f>
        <v/>
      </c>
    </row>
    <row r="613">
      <c r="A613" s="8" t="inlineStr">
        <is>
          <t>1921-08-01</t>
        </is>
      </c>
      <c r="B613" s="6" t="n">
        <v>4.6292</v>
      </c>
      <c r="C613" s="8">
        <f>-PV(B613/100,$B$3,B612/100,1)</f>
        <v/>
      </c>
      <c r="D613" s="8">
        <f>B612/100/12+(C613-1)</f>
        <v/>
      </c>
      <c r="E613" s="8">
        <f>E612*(1+D613)</f>
        <v/>
      </c>
    </row>
    <row r="614">
      <c r="A614" s="8" t="inlineStr">
        <is>
          <t>1921-09-01</t>
        </is>
      </c>
      <c r="B614" s="6" t="n">
        <v>4.5633</v>
      </c>
      <c r="C614" s="8">
        <f>-PV(B614/100,$B$3,B613/100,1)</f>
        <v/>
      </c>
      <c r="D614" s="8">
        <f>B613/100/12+(C614-1)</f>
        <v/>
      </c>
      <c r="E614" s="8">
        <f>E613*(1+D614)</f>
        <v/>
      </c>
    </row>
    <row r="615">
      <c r="A615" s="8" t="inlineStr">
        <is>
          <t>1921-10-01</t>
        </is>
      </c>
      <c r="B615" s="6" t="n">
        <v>4.4975</v>
      </c>
      <c r="C615" s="8">
        <f>-PV(B615/100,$B$3,B614/100,1)</f>
        <v/>
      </c>
      <c r="D615" s="8">
        <f>B614/100/12+(C615-1)</f>
        <v/>
      </c>
      <c r="E615" s="8">
        <f>E614*(1+D615)</f>
        <v/>
      </c>
    </row>
    <row r="616">
      <c r="A616" s="8" t="inlineStr">
        <is>
          <t>1921-11-01</t>
        </is>
      </c>
      <c r="B616" s="6" t="n">
        <v>4.4317</v>
      </c>
      <c r="C616" s="8">
        <f>-PV(B616/100,$B$3,B615/100,1)</f>
        <v/>
      </c>
      <c r="D616" s="8">
        <f>B615/100/12+(C616-1)</f>
        <v/>
      </c>
      <c r="E616" s="8">
        <f>E615*(1+D616)</f>
        <v/>
      </c>
    </row>
    <row r="617">
      <c r="A617" s="8" t="inlineStr">
        <is>
          <t>1921-12-01</t>
        </is>
      </c>
      <c r="B617" s="6" t="n">
        <v>4.3658</v>
      </c>
      <c r="C617" s="8">
        <f>-PV(B617/100,$B$3,B616/100,1)</f>
        <v/>
      </c>
      <c r="D617" s="8">
        <f>B616/100/12+(C617-1)</f>
        <v/>
      </c>
      <c r="E617" s="8">
        <f>E616*(1+D617)</f>
        <v/>
      </c>
    </row>
    <row r="618">
      <c r="A618" s="8" t="inlineStr">
        <is>
          <t>1922-01-01</t>
        </is>
      </c>
      <c r="B618" s="6" t="n">
        <v>4.3</v>
      </c>
      <c r="C618" s="8">
        <f>-PV(B618/100,$B$3,B617/100,1)</f>
        <v/>
      </c>
      <c r="D618" s="8">
        <f>B617/100/12+(C618-1)</f>
        <v/>
      </c>
      <c r="E618" s="8">
        <f>E617*(1+D618)</f>
        <v/>
      </c>
    </row>
    <row r="619">
      <c r="A619" s="8" t="inlineStr">
        <is>
          <t>1922-02-01</t>
        </is>
      </c>
      <c r="B619" s="6" t="n">
        <v>4.305</v>
      </c>
      <c r="C619" s="8">
        <f>-PV(B619/100,$B$3,B618/100,1)</f>
        <v/>
      </c>
      <c r="D619" s="8">
        <f>B618/100/12+(C619-1)</f>
        <v/>
      </c>
      <c r="E619" s="8">
        <f>E618*(1+D619)</f>
        <v/>
      </c>
    </row>
    <row r="620">
      <c r="A620" s="8" t="inlineStr">
        <is>
          <t>1922-03-01</t>
        </is>
      </c>
      <c r="B620" s="6" t="n">
        <v>4.31</v>
      </c>
      <c r="C620" s="8">
        <f>-PV(B620/100,$B$3,B619/100,1)</f>
        <v/>
      </c>
      <c r="D620" s="8">
        <f>B619/100/12+(C620-1)</f>
        <v/>
      </c>
      <c r="E620" s="8">
        <f>E619*(1+D620)</f>
        <v/>
      </c>
    </row>
    <row r="621">
      <c r="A621" s="8" t="inlineStr">
        <is>
          <t>1922-04-01</t>
        </is>
      </c>
      <c r="B621" s="6" t="n">
        <v>4.315</v>
      </c>
      <c r="C621" s="8">
        <f>-PV(B621/100,$B$3,B620/100,1)</f>
        <v/>
      </c>
      <c r="D621" s="8">
        <f>B620/100/12+(C621-1)</f>
        <v/>
      </c>
      <c r="E621" s="8">
        <f>E620*(1+D621)</f>
        <v/>
      </c>
    </row>
    <row r="622">
      <c r="A622" s="8" t="inlineStr">
        <is>
          <t>1922-05-01</t>
        </is>
      </c>
      <c r="B622" s="6" t="n">
        <v>4.32</v>
      </c>
      <c r="C622" s="8">
        <f>-PV(B622/100,$B$3,B621/100,1)</f>
        <v/>
      </c>
      <c r="D622" s="8">
        <f>B621/100/12+(C622-1)</f>
        <v/>
      </c>
      <c r="E622" s="8">
        <f>E621*(1+D622)</f>
        <v/>
      </c>
    </row>
    <row r="623">
      <c r="A623" s="8" t="inlineStr">
        <is>
          <t>1922-06-01</t>
        </is>
      </c>
      <c r="B623" s="6" t="n">
        <v>4.325</v>
      </c>
      <c r="C623" s="8">
        <f>-PV(B623/100,$B$3,B622/100,1)</f>
        <v/>
      </c>
      <c r="D623" s="8">
        <f>B622/100/12+(C623-1)</f>
        <v/>
      </c>
      <c r="E623" s="8">
        <f>E622*(1+D623)</f>
        <v/>
      </c>
    </row>
    <row r="624">
      <c r="A624" s="8" t="inlineStr">
        <is>
          <t>1922-07-01</t>
        </is>
      </c>
      <c r="B624" s="6" t="n">
        <v>4.33</v>
      </c>
      <c r="C624" s="8">
        <f>-PV(B624/100,$B$3,B623/100,1)</f>
        <v/>
      </c>
      <c r="D624" s="8">
        <f>B623/100/12+(C624-1)</f>
        <v/>
      </c>
      <c r="E624" s="8">
        <f>E623*(1+D624)</f>
        <v/>
      </c>
    </row>
    <row r="625">
      <c r="A625" s="8" t="inlineStr">
        <is>
          <t>1922-08-01</t>
        </is>
      </c>
      <c r="B625" s="6" t="n">
        <v>4.335</v>
      </c>
      <c r="C625" s="8">
        <f>-PV(B625/100,$B$3,B624/100,1)</f>
        <v/>
      </c>
      <c r="D625" s="8">
        <f>B624/100/12+(C625-1)</f>
        <v/>
      </c>
      <c r="E625" s="8">
        <f>E624*(1+D625)</f>
        <v/>
      </c>
    </row>
    <row r="626">
      <c r="A626" s="8" t="inlineStr">
        <is>
          <t>1922-09-01</t>
        </is>
      </c>
      <c r="B626" s="6" t="n">
        <v>4.34</v>
      </c>
      <c r="C626" s="8">
        <f>-PV(B626/100,$B$3,B625/100,1)</f>
        <v/>
      </c>
      <c r="D626" s="8">
        <f>B625/100/12+(C626-1)</f>
        <v/>
      </c>
      <c r="E626" s="8">
        <f>E625*(1+D626)</f>
        <v/>
      </c>
    </row>
    <row r="627">
      <c r="A627" s="8" t="inlineStr">
        <is>
          <t>1922-10-01</t>
        </is>
      </c>
      <c r="B627" s="6" t="n">
        <v>4.345</v>
      </c>
      <c r="C627" s="8">
        <f>-PV(B627/100,$B$3,B626/100,1)</f>
        <v/>
      </c>
      <c r="D627" s="8">
        <f>B626/100/12+(C627-1)</f>
        <v/>
      </c>
      <c r="E627" s="8">
        <f>E626*(1+D627)</f>
        <v/>
      </c>
    </row>
    <row r="628">
      <c r="A628" s="8" t="inlineStr">
        <is>
          <t>1922-11-01</t>
        </is>
      </c>
      <c r="B628" s="6" t="n">
        <v>4.35</v>
      </c>
      <c r="C628" s="8">
        <f>-PV(B628/100,$B$3,B627/100,1)</f>
        <v/>
      </c>
      <c r="D628" s="8">
        <f>B627/100/12+(C628-1)</f>
        <v/>
      </c>
      <c r="E628" s="8">
        <f>E627*(1+D628)</f>
        <v/>
      </c>
    </row>
    <row r="629">
      <c r="A629" s="8" t="inlineStr">
        <is>
          <t>1922-12-01</t>
        </is>
      </c>
      <c r="B629" s="6" t="n">
        <v>4.355</v>
      </c>
      <c r="C629" s="8">
        <f>-PV(B629/100,$B$3,B628/100,1)</f>
        <v/>
      </c>
      <c r="D629" s="8">
        <f>B628/100/12+(C629-1)</f>
        <v/>
      </c>
      <c r="E629" s="8">
        <f>E628*(1+D629)</f>
        <v/>
      </c>
    </row>
    <row r="630">
      <c r="A630" s="8" t="inlineStr">
        <is>
          <t>1923-01-01</t>
        </is>
      </c>
      <c r="B630" s="6" t="n">
        <v>4.36</v>
      </c>
      <c r="C630" s="8">
        <f>-PV(B630/100,$B$3,B629/100,1)</f>
        <v/>
      </c>
      <c r="D630" s="8">
        <f>B629/100/12+(C630-1)</f>
        <v/>
      </c>
      <c r="E630" s="8">
        <f>E629*(1+D630)</f>
        <v/>
      </c>
    </row>
    <row r="631">
      <c r="A631" s="8" t="inlineStr">
        <is>
          <t>1923-02-01</t>
        </is>
      </c>
      <c r="B631" s="6" t="n">
        <v>4.335</v>
      </c>
      <c r="C631" s="8">
        <f>-PV(B631/100,$B$3,B630/100,1)</f>
        <v/>
      </c>
      <c r="D631" s="8">
        <f>B630/100/12+(C631-1)</f>
        <v/>
      </c>
      <c r="E631" s="8">
        <f>E630*(1+D631)</f>
        <v/>
      </c>
    </row>
    <row r="632">
      <c r="A632" s="8" t="inlineStr">
        <is>
          <t>1923-03-01</t>
        </is>
      </c>
      <c r="B632" s="6" t="n">
        <v>4.31</v>
      </c>
      <c r="C632" s="8">
        <f>-PV(B632/100,$B$3,B631/100,1)</f>
        <v/>
      </c>
      <c r="D632" s="8">
        <f>B631/100/12+(C632-1)</f>
        <v/>
      </c>
      <c r="E632" s="8">
        <f>E631*(1+D632)</f>
        <v/>
      </c>
    </row>
    <row r="633">
      <c r="A633" s="8" t="inlineStr">
        <is>
          <t>1923-04-01</t>
        </is>
      </c>
      <c r="B633" s="6" t="n">
        <v>4.285</v>
      </c>
      <c r="C633" s="8">
        <f>-PV(B633/100,$B$3,B632/100,1)</f>
        <v/>
      </c>
      <c r="D633" s="8">
        <f>B632/100/12+(C633-1)</f>
        <v/>
      </c>
      <c r="E633" s="8">
        <f>E632*(1+D633)</f>
        <v/>
      </c>
    </row>
    <row r="634">
      <c r="A634" s="8" t="inlineStr">
        <is>
          <t>1923-05-01</t>
        </is>
      </c>
      <c r="B634" s="6" t="n">
        <v>4.26</v>
      </c>
      <c r="C634" s="8">
        <f>-PV(B634/100,$B$3,B633/100,1)</f>
        <v/>
      </c>
      <c r="D634" s="8">
        <f>B633/100/12+(C634-1)</f>
        <v/>
      </c>
      <c r="E634" s="8">
        <f>E633*(1+D634)</f>
        <v/>
      </c>
    </row>
    <row r="635">
      <c r="A635" s="8" t="inlineStr">
        <is>
          <t>1923-06-01</t>
        </is>
      </c>
      <c r="B635" s="6" t="n">
        <v>4.235</v>
      </c>
      <c r="C635" s="8">
        <f>-PV(B635/100,$B$3,B634/100,1)</f>
        <v/>
      </c>
      <c r="D635" s="8">
        <f>B634/100/12+(C635-1)</f>
        <v/>
      </c>
      <c r="E635" s="8">
        <f>E634*(1+D635)</f>
        <v/>
      </c>
    </row>
    <row r="636">
      <c r="A636" s="8" t="inlineStr">
        <is>
          <t>1923-07-01</t>
        </is>
      </c>
      <c r="B636" s="6" t="n">
        <v>4.21</v>
      </c>
      <c r="C636" s="8">
        <f>-PV(B636/100,$B$3,B635/100,1)</f>
        <v/>
      </c>
      <c r="D636" s="8">
        <f>B635/100/12+(C636-1)</f>
        <v/>
      </c>
      <c r="E636" s="8">
        <f>E635*(1+D636)</f>
        <v/>
      </c>
    </row>
    <row r="637">
      <c r="A637" s="8" t="inlineStr">
        <is>
          <t>1923-08-01</t>
        </is>
      </c>
      <c r="B637" s="6" t="n">
        <v>4.185</v>
      </c>
      <c r="C637" s="8">
        <f>-PV(B637/100,$B$3,B636/100,1)</f>
        <v/>
      </c>
      <c r="D637" s="8">
        <f>B636/100/12+(C637-1)</f>
        <v/>
      </c>
      <c r="E637" s="8">
        <f>E636*(1+D637)</f>
        <v/>
      </c>
    </row>
    <row r="638">
      <c r="A638" s="8" t="inlineStr">
        <is>
          <t>1923-09-01</t>
        </is>
      </c>
      <c r="B638" s="6" t="n">
        <v>4.16</v>
      </c>
      <c r="C638" s="8">
        <f>-PV(B638/100,$B$3,B637/100,1)</f>
        <v/>
      </c>
      <c r="D638" s="8">
        <f>B637/100/12+(C638-1)</f>
        <v/>
      </c>
      <c r="E638" s="8">
        <f>E637*(1+D638)</f>
        <v/>
      </c>
    </row>
    <row r="639">
      <c r="A639" s="8" t="inlineStr">
        <is>
          <t>1923-10-01</t>
        </is>
      </c>
      <c r="B639" s="6" t="n">
        <v>4.135</v>
      </c>
      <c r="C639" s="8">
        <f>-PV(B639/100,$B$3,B638/100,1)</f>
        <v/>
      </c>
      <c r="D639" s="8">
        <f>B638/100/12+(C639-1)</f>
        <v/>
      </c>
      <c r="E639" s="8">
        <f>E638*(1+D639)</f>
        <v/>
      </c>
    </row>
    <row r="640">
      <c r="A640" s="8" t="inlineStr">
        <is>
          <t>1923-11-01</t>
        </is>
      </c>
      <c r="B640" s="6" t="n">
        <v>4.11</v>
      </c>
      <c r="C640" s="8">
        <f>-PV(B640/100,$B$3,B639/100,1)</f>
        <v/>
      </c>
      <c r="D640" s="8">
        <f>B639/100/12+(C640-1)</f>
        <v/>
      </c>
      <c r="E640" s="8">
        <f>E639*(1+D640)</f>
        <v/>
      </c>
    </row>
    <row r="641">
      <c r="A641" s="8" t="inlineStr">
        <is>
          <t>1923-12-01</t>
        </is>
      </c>
      <c r="B641" s="6" t="n">
        <v>4.085</v>
      </c>
      <c r="C641" s="8">
        <f>-PV(B641/100,$B$3,B640/100,1)</f>
        <v/>
      </c>
      <c r="D641" s="8">
        <f>B640/100/12+(C641-1)</f>
        <v/>
      </c>
      <c r="E641" s="8">
        <f>E640*(1+D641)</f>
        <v/>
      </c>
    </row>
    <row r="642">
      <c r="A642" s="8" t="inlineStr">
        <is>
          <t>1924-01-01</t>
        </is>
      </c>
      <c r="B642" s="6" t="n">
        <v>4.06</v>
      </c>
      <c r="C642" s="8">
        <f>-PV(B642/100,$B$3,B641/100,1)</f>
        <v/>
      </c>
      <c r="D642" s="8">
        <f>B641/100/12+(C642-1)</f>
        <v/>
      </c>
      <c r="E642" s="8">
        <f>E641*(1+D642)</f>
        <v/>
      </c>
    </row>
    <row r="643">
      <c r="A643" s="8" t="inlineStr">
        <is>
          <t>1924-02-01</t>
        </is>
      </c>
      <c r="B643" s="6" t="n">
        <v>4.0433</v>
      </c>
      <c r="C643" s="8">
        <f>-PV(B643/100,$B$3,B642/100,1)</f>
        <v/>
      </c>
      <c r="D643" s="8">
        <f>B642/100/12+(C643-1)</f>
        <v/>
      </c>
      <c r="E643" s="8">
        <f>E642*(1+D643)</f>
        <v/>
      </c>
    </row>
    <row r="644">
      <c r="A644" s="8" t="inlineStr">
        <is>
          <t>1924-03-01</t>
        </is>
      </c>
      <c r="B644" s="6" t="n">
        <v>4.0267</v>
      </c>
      <c r="C644" s="8">
        <f>-PV(B644/100,$B$3,B643/100,1)</f>
        <v/>
      </c>
      <c r="D644" s="8">
        <f>B643/100/12+(C644-1)</f>
        <v/>
      </c>
      <c r="E644" s="8">
        <f>E643*(1+D644)</f>
        <v/>
      </c>
    </row>
    <row r="645">
      <c r="A645" s="8" t="inlineStr">
        <is>
          <t>1924-04-01</t>
        </is>
      </c>
      <c r="B645" s="6" t="n">
        <v>4.01</v>
      </c>
      <c r="C645" s="8">
        <f>-PV(B645/100,$B$3,B644/100,1)</f>
        <v/>
      </c>
      <c r="D645" s="8">
        <f>B644/100/12+(C645-1)</f>
        <v/>
      </c>
      <c r="E645" s="8">
        <f>E644*(1+D645)</f>
        <v/>
      </c>
    </row>
    <row r="646">
      <c r="A646" s="8" t="inlineStr">
        <is>
          <t>1924-05-01</t>
        </is>
      </c>
      <c r="B646" s="6" t="n">
        <v>3.9933</v>
      </c>
      <c r="C646" s="8">
        <f>-PV(B646/100,$B$3,B645/100,1)</f>
        <v/>
      </c>
      <c r="D646" s="8">
        <f>B645/100/12+(C646-1)</f>
        <v/>
      </c>
      <c r="E646" s="8">
        <f>E645*(1+D646)</f>
        <v/>
      </c>
    </row>
    <row r="647">
      <c r="A647" s="8" t="inlineStr">
        <is>
          <t>1924-06-01</t>
        </is>
      </c>
      <c r="B647" s="6" t="n">
        <v>3.9767</v>
      </c>
      <c r="C647" s="8">
        <f>-PV(B647/100,$B$3,B646/100,1)</f>
        <v/>
      </c>
      <c r="D647" s="8">
        <f>B646/100/12+(C647-1)</f>
        <v/>
      </c>
      <c r="E647" s="8">
        <f>E646*(1+D647)</f>
        <v/>
      </c>
    </row>
    <row r="648">
      <c r="A648" s="8" t="inlineStr">
        <is>
          <t>1924-07-01</t>
        </is>
      </c>
      <c r="B648" s="6" t="n">
        <v>3.96</v>
      </c>
      <c r="C648" s="8">
        <f>-PV(B648/100,$B$3,B647/100,1)</f>
        <v/>
      </c>
      <c r="D648" s="8">
        <f>B647/100/12+(C648-1)</f>
        <v/>
      </c>
      <c r="E648" s="8">
        <f>E647*(1+D648)</f>
        <v/>
      </c>
    </row>
    <row r="649">
      <c r="A649" s="8" t="inlineStr">
        <is>
          <t>1924-08-01</t>
        </is>
      </c>
      <c r="B649" s="6" t="n">
        <v>3.9433</v>
      </c>
      <c r="C649" s="8">
        <f>-PV(B649/100,$B$3,B648/100,1)</f>
        <v/>
      </c>
      <c r="D649" s="8">
        <f>B648/100/12+(C649-1)</f>
        <v/>
      </c>
      <c r="E649" s="8">
        <f>E648*(1+D649)</f>
        <v/>
      </c>
    </row>
    <row r="650">
      <c r="A650" s="8" t="inlineStr">
        <is>
          <t>1924-09-01</t>
        </is>
      </c>
      <c r="B650" s="6" t="n">
        <v>3.9267</v>
      </c>
      <c r="C650" s="8">
        <f>-PV(B650/100,$B$3,B649/100,1)</f>
        <v/>
      </c>
      <c r="D650" s="8">
        <f>B649/100/12+(C650-1)</f>
        <v/>
      </c>
      <c r="E650" s="8">
        <f>E649*(1+D650)</f>
        <v/>
      </c>
    </row>
    <row r="651">
      <c r="A651" s="8" t="inlineStr">
        <is>
          <t>1924-10-01</t>
        </is>
      </c>
      <c r="B651" s="6" t="n">
        <v>3.91</v>
      </c>
      <c r="C651" s="8">
        <f>-PV(B651/100,$B$3,B650/100,1)</f>
        <v/>
      </c>
      <c r="D651" s="8">
        <f>B650/100/12+(C651-1)</f>
        <v/>
      </c>
      <c r="E651" s="8">
        <f>E650*(1+D651)</f>
        <v/>
      </c>
    </row>
    <row r="652">
      <c r="A652" s="8" t="inlineStr">
        <is>
          <t>1924-11-01</t>
        </is>
      </c>
      <c r="B652" s="6" t="n">
        <v>3.8933</v>
      </c>
      <c r="C652" s="8">
        <f>-PV(B652/100,$B$3,B651/100,1)</f>
        <v/>
      </c>
      <c r="D652" s="8">
        <f>B651/100/12+(C652-1)</f>
        <v/>
      </c>
      <c r="E652" s="8">
        <f>E651*(1+D652)</f>
        <v/>
      </c>
    </row>
    <row r="653">
      <c r="A653" s="8" t="inlineStr">
        <is>
          <t>1924-12-01</t>
        </is>
      </c>
      <c r="B653" s="6" t="n">
        <v>3.8767</v>
      </c>
      <c r="C653" s="8">
        <f>-PV(B653/100,$B$3,B652/100,1)</f>
        <v/>
      </c>
      <c r="D653" s="8">
        <f>B652/100/12+(C653-1)</f>
        <v/>
      </c>
      <c r="E653" s="8">
        <f>E652*(1+D653)</f>
        <v/>
      </c>
    </row>
    <row r="654">
      <c r="A654" s="8" t="inlineStr">
        <is>
          <t>1925-01-01</t>
        </is>
      </c>
      <c r="B654" s="6" t="n">
        <v>3.86</v>
      </c>
      <c r="C654" s="8">
        <f>-PV(B654/100,$B$3,B653/100,1)</f>
        <v/>
      </c>
      <c r="D654" s="8">
        <f>B653/100/12+(C654-1)</f>
        <v/>
      </c>
      <c r="E654" s="8">
        <f>E653*(1+D654)</f>
        <v/>
      </c>
    </row>
    <row r="655">
      <c r="A655" s="8" t="inlineStr">
        <is>
          <t>1925-02-01</t>
        </is>
      </c>
      <c r="B655" s="6" t="n">
        <v>3.845</v>
      </c>
      <c r="C655" s="8">
        <f>-PV(B655/100,$B$3,B654/100,1)</f>
        <v/>
      </c>
      <c r="D655" s="8">
        <f>B654/100/12+(C655-1)</f>
        <v/>
      </c>
      <c r="E655" s="8">
        <f>E654*(1+D655)</f>
        <v/>
      </c>
    </row>
    <row r="656">
      <c r="A656" s="8" t="inlineStr">
        <is>
          <t>1925-03-01</t>
        </is>
      </c>
      <c r="B656" s="6" t="n">
        <v>3.83</v>
      </c>
      <c r="C656" s="8">
        <f>-PV(B656/100,$B$3,B655/100,1)</f>
        <v/>
      </c>
      <c r="D656" s="8">
        <f>B655/100/12+(C656-1)</f>
        <v/>
      </c>
      <c r="E656" s="8">
        <f>E655*(1+D656)</f>
        <v/>
      </c>
    </row>
    <row r="657">
      <c r="A657" s="8" t="inlineStr">
        <is>
          <t>1925-04-01</t>
        </is>
      </c>
      <c r="B657" s="6" t="n">
        <v>3.815</v>
      </c>
      <c r="C657" s="8">
        <f>-PV(B657/100,$B$3,B656/100,1)</f>
        <v/>
      </c>
      <c r="D657" s="8">
        <f>B656/100/12+(C657-1)</f>
        <v/>
      </c>
      <c r="E657" s="8">
        <f>E656*(1+D657)</f>
        <v/>
      </c>
    </row>
    <row r="658">
      <c r="A658" s="8" t="inlineStr">
        <is>
          <t>1925-05-01</t>
        </is>
      </c>
      <c r="B658" s="6" t="n">
        <v>3.8</v>
      </c>
      <c r="C658" s="8">
        <f>-PV(B658/100,$B$3,B657/100,1)</f>
        <v/>
      </c>
      <c r="D658" s="8">
        <f>B657/100/12+(C658-1)</f>
        <v/>
      </c>
      <c r="E658" s="8">
        <f>E657*(1+D658)</f>
        <v/>
      </c>
    </row>
    <row r="659">
      <c r="A659" s="8" t="inlineStr">
        <is>
          <t>1925-06-01</t>
        </is>
      </c>
      <c r="B659" s="6" t="n">
        <v>3.785</v>
      </c>
      <c r="C659" s="8">
        <f>-PV(B659/100,$B$3,B658/100,1)</f>
        <v/>
      </c>
      <c r="D659" s="8">
        <f>B658/100/12+(C659-1)</f>
        <v/>
      </c>
      <c r="E659" s="8">
        <f>E658*(1+D659)</f>
        <v/>
      </c>
    </row>
    <row r="660">
      <c r="A660" s="8" t="inlineStr">
        <is>
          <t>1925-07-01</t>
        </is>
      </c>
      <c r="B660" s="6" t="n">
        <v>3.77</v>
      </c>
      <c r="C660" s="8">
        <f>-PV(B660/100,$B$3,B659/100,1)</f>
        <v/>
      </c>
      <c r="D660" s="8">
        <f>B659/100/12+(C660-1)</f>
        <v/>
      </c>
      <c r="E660" s="8">
        <f>E659*(1+D660)</f>
        <v/>
      </c>
    </row>
    <row r="661">
      <c r="A661" s="8" t="inlineStr">
        <is>
          <t>1925-08-01</t>
        </is>
      </c>
      <c r="B661" s="6" t="n">
        <v>3.755</v>
      </c>
      <c r="C661" s="8">
        <f>-PV(B661/100,$B$3,B660/100,1)</f>
        <v/>
      </c>
      <c r="D661" s="8">
        <f>B660/100/12+(C661-1)</f>
        <v/>
      </c>
      <c r="E661" s="8">
        <f>E660*(1+D661)</f>
        <v/>
      </c>
    </row>
    <row r="662">
      <c r="A662" s="8" t="inlineStr">
        <is>
          <t>1925-09-01</t>
        </is>
      </c>
      <c r="B662" s="6" t="n">
        <v>3.74</v>
      </c>
      <c r="C662" s="8">
        <f>-PV(B662/100,$B$3,B661/100,1)</f>
        <v/>
      </c>
      <c r="D662" s="8">
        <f>B661/100/12+(C662-1)</f>
        <v/>
      </c>
      <c r="E662" s="8">
        <f>E661*(1+D662)</f>
        <v/>
      </c>
    </row>
    <row r="663">
      <c r="A663" s="8" t="inlineStr">
        <is>
          <t>1925-10-01</t>
        </is>
      </c>
      <c r="B663" s="6" t="n">
        <v>3.725</v>
      </c>
      <c r="C663" s="8">
        <f>-PV(B663/100,$B$3,B662/100,1)</f>
        <v/>
      </c>
      <c r="D663" s="8">
        <f>B662/100/12+(C663-1)</f>
        <v/>
      </c>
      <c r="E663" s="8">
        <f>E662*(1+D663)</f>
        <v/>
      </c>
    </row>
    <row r="664">
      <c r="A664" s="8" t="inlineStr">
        <is>
          <t>1925-11-01</t>
        </is>
      </c>
      <c r="B664" s="6" t="n">
        <v>3.71</v>
      </c>
      <c r="C664" s="8">
        <f>-PV(B664/100,$B$3,B663/100,1)</f>
        <v/>
      </c>
      <c r="D664" s="8">
        <f>B663/100/12+(C664-1)</f>
        <v/>
      </c>
      <c r="E664" s="8">
        <f>E663*(1+D664)</f>
        <v/>
      </c>
    </row>
    <row r="665">
      <c r="A665" s="8" t="inlineStr">
        <is>
          <t>1925-12-01</t>
        </is>
      </c>
      <c r="B665" s="6" t="n">
        <v>3.695</v>
      </c>
      <c r="C665" s="8">
        <f>-PV(B665/100,$B$3,B664/100,1)</f>
        <v/>
      </c>
      <c r="D665" s="8">
        <f>B664/100/12+(C665-1)</f>
        <v/>
      </c>
      <c r="E665" s="8">
        <f>E664*(1+D665)</f>
        <v/>
      </c>
    </row>
    <row r="666">
      <c r="A666" s="8" t="inlineStr">
        <is>
          <t>1926-01-01</t>
        </is>
      </c>
      <c r="B666" s="6" t="n">
        <v>3.68</v>
      </c>
      <c r="C666" s="8">
        <f>-PV(B666/100,$B$3,B665/100,1)</f>
        <v/>
      </c>
      <c r="D666" s="8">
        <f>B665/100/12+(C666-1)</f>
        <v/>
      </c>
      <c r="E666" s="8">
        <f>E665*(1+D666)</f>
        <v/>
      </c>
    </row>
    <row r="667">
      <c r="A667" s="8" t="inlineStr">
        <is>
          <t>1926-02-01</t>
        </is>
      </c>
      <c r="B667" s="6" t="n">
        <v>3.6517</v>
      </c>
      <c r="C667" s="8">
        <f>-PV(B667/100,$B$3,B666/100,1)</f>
        <v/>
      </c>
      <c r="D667" s="8">
        <f>B666/100/12+(C667-1)</f>
        <v/>
      </c>
      <c r="E667" s="8">
        <f>E666*(1+D667)</f>
        <v/>
      </c>
    </row>
    <row r="668">
      <c r="A668" s="8" t="inlineStr">
        <is>
          <t>1926-03-01</t>
        </is>
      </c>
      <c r="B668" s="6" t="n">
        <v>3.6233</v>
      </c>
      <c r="C668" s="8">
        <f>-PV(B668/100,$B$3,B667/100,1)</f>
        <v/>
      </c>
      <c r="D668" s="8">
        <f>B667/100/12+(C668-1)</f>
        <v/>
      </c>
      <c r="E668" s="8">
        <f>E667*(1+D668)</f>
        <v/>
      </c>
    </row>
    <row r="669">
      <c r="A669" s="8" t="inlineStr">
        <is>
          <t>1926-04-01</t>
        </is>
      </c>
      <c r="B669" s="6" t="n">
        <v>3.595</v>
      </c>
      <c r="C669" s="8">
        <f>-PV(B669/100,$B$3,B668/100,1)</f>
        <v/>
      </c>
      <c r="D669" s="8">
        <f>B668/100/12+(C669-1)</f>
        <v/>
      </c>
      <c r="E669" s="8">
        <f>E668*(1+D669)</f>
        <v/>
      </c>
    </row>
    <row r="670">
      <c r="A670" s="8" t="inlineStr">
        <is>
          <t>1926-05-01</t>
        </is>
      </c>
      <c r="B670" s="6" t="n">
        <v>3.5667</v>
      </c>
      <c r="C670" s="8">
        <f>-PV(B670/100,$B$3,B669/100,1)</f>
        <v/>
      </c>
      <c r="D670" s="8">
        <f>B669/100/12+(C670-1)</f>
        <v/>
      </c>
      <c r="E670" s="8">
        <f>E669*(1+D670)</f>
        <v/>
      </c>
    </row>
    <row r="671">
      <c r="A671" s="8" t="inlineStr">
        <is>
          <t>1926-06-01</t>
        </is>
      </c>
      <c r="B671" s="6" t="n">
        <v>3.5383</v>
      </c>
      <c r="C671" s="8">
        <f>-PV(B671/100,$B$3,B670/100,1)</f>
        <v/>
      </c>
      <c r="D671" s="8">
        <f>B670/100/12+(C671-1)</f>
        <v/>
      </c>
      <c r="E671" s="8">
        <f>E670*(1+D671)</f>
        <v/>
      </c>
    </row>
    <row r="672">
      <c r="A672" s="8" t="inlineStr">
        <is>
          <t>1926-07-01</t>
        </is>
      </c>
      <c r="B672" s="6" t="n">
        <v>3.51</v>
      </c>
      <c r="C672" s="8">
        <f>-PV(B672/100,$B$3,B671/100,1)</f>
        <v/>
      </c>
      <c r="D672" s="8">
        <f>B671/100/12+(C672-1)</f>
        <v/>
      </c>
      <c r="E672" s="8">
        <f>E671*(1+D672)</f>
        <v/>
      </c>
    </row>
    <row r="673">
      <c r="A673" s="8" t="inlineStr">
        <is>
          <t>1926-08-01</t>
        </is>
      </c>
      <c r="B673" s="6" t="n">
        <v>3.4817</v>
      </c>
      <c r="C673" s="8">
        <f>-PV(B673/100,$B$3,B672/100,1)</f>
        <v/>
      </c>
      <c r="D673" s="8">
        <f>B672/100/12+(C673-1)</f>
        <v/>
      </c>
      <c r="E673" s="8">
        <f>E672*(1+D673)</f>
        <v/>
      </c>
    </row>
    <row r="674">
      <c r="A674" s="8" t="inlineStr">
        <is>
          <t>1926-09-01</t>
        </is>
      </c>
      <c r="B674" s="6" t="n">
        <v>3.4533</v>
      </c>
      <c r="C674" s="8">
        <f>-PV(B674/100,$B$3,B673/100,1)</f>
        <v/>
      </c>
      <c r="D674" s="8">
        <f>B673/100/12+(C674-1)</f>
        <v/>
      </c>
      <c r="E674" s="8">
        <f>E673*(1+D674)</f>
        <v/>
      </c>
    </row>
    <row r="675">
      <c r="A675" s="8" t="inlineStr">
        <is>
          <t>1926-10-01</t>
        </is>
      </c>
      <c r="B675" s="6" t="n">
        <v>3.425</v>
      </c>
      <c r="C675" s="8">
        <f>-PV(B675/100,$B$3,B674/100,1)</f>
        <v/>
      </c>
      <c r="D675" s="8">
        <f>B674/100/12+(C675-1)</f>
        <v/>
      </c>
      <c r="E675" s="8">
        <f>E674*(1+D675)</f>
        <v/>
      </c>
    </row>
    <row r="676">
      <c r="A676" s="8" t="inlineStr">
        <is>
          <t>1926-11-01</t>
        </is>
      </c>
      <c r="B676" s="6" t="n">
        <v>3.3967</v>
      </c>
      <c r="C676" s="8">
        <f>-PV(B676/100,$B$3,B675/100,1)</f>
        <v/>
      </c>
      <c r="D676" s="8">
        <f>B675/100/12+(C676-1)</f>
        <v/>
      </c>
      <c r="E676" s="8">
        <f>E675*(1+D676)</f>
        <v/>
      </c>
    </row>
    <row r="677">
      <c r="A677" s="8" t="inlineStr">
        <is>
          <t>1926-12-01</t>
        </is>
      </c>
      <c r="B677" s="6" t="n">
        <v>3.3683</v>
      </c>
      <c r="C677" s="8">
        <f>-PV(B677/100,$B$3,B676/100,1)</f>
        <v/>
      </c>
      <c r="D677" s="8">
        <f>B676/100/12+(C677-1)</f>
        <v/>
      </c>
      <c r="E677" s="8">
        <f>E676*(1+D677)</f>
        <v/>
      </c>
    </row>
    <row r="678">
      <c r="A678" s="8" t="inlineStr">
        <is>
          <t>1927-01-01</t>
        </is>
      </c>
      <c r="B678" s="6" t="n">
        <v>3.34</v>
      </c>
      <c r="C678" s="8">
        <f>-PV(B678/100,$B$3,B677/100,1)</f>
        <v/>
      </c>
      <c r="D678" s="8">
        <f>B677/100/12+(C678-1)</f>
        <v/>
      </c>
      <c r="E678" s="8">
        <f>E677*(1+D678)</f>
        <v/>
      </c>
    </row>
    <row r="679">
      <c r="A679" s="8" t="inlineStr">
        <is>
          <t>1927-02-01</t>
        </is>
      </c>
      <c r="B679" s="6" t="n">
        <v>3.3392</v>
      </c>
      <c r="C679" s="8">
        <f>-PV(B679/100,$B$3,B678/100,1)</f>
        <v/>
      </c>
      <c r="D679" s="8">
        <f>B678/100/12+(C679-1)</f>
        <v/>
      </c>
      <c r="E679" s="8">
        <f>E678*(1+D679)</f>
        <v/>
      </c>
    </row>
    <row r="680">
      <c r="A680" s="8" t="inlineStr">
        <is>
          <t>1927-03-01</t>
        </is>
      </c>
      <c r="B680" s="6" t="n">
        <v>3.3383</v>
      </c>
      <c r="C680" s="8">
        <f>-PV(B680/100,$B$3,B679/100,1)</f>
        <v/>
      </c>
      <c r="D680" s="8">
        <f>B679/100/12+(C680-1)</f>
        <v/>
      </c>
      <c r="E680" s="8">
        <f>E679*(1+D680)</f>
        <v/>
      </c>
    </row>
    <row r="681">
      <c r="A681" s="8" t="inlineStr">
        <is>
          <t>1927-04-01</t>
        </is>
      </c>
      <c r="B681" s="6" t="n">
        <v>3.3375</v>
      </c>
      <c r="C681" s="8">
        <f>-PV(B681/100,$B$3,B680/100,1)</f>
        <v/>
      </c>
      <c r="D681" s="8">
        <f>B680/100/12+(C681-1)</f>
        <v/>
      </c>
      <c r="E681" s="8">
        <f>E680*(1+D681)</f>
        <v/>
      </c>
    </row>
    <row r="682">
      <c r="A682" s="8" t="inlineStr">
        <is>
          <t>1927-05-01</t>
        </is>
      </c>
      <c r="B682" s="6" t="n">
        <v>3.3367</v>
      </c>
      <c r="C682" s="8">
        <f>-PV(B682/100,$B$3,B681/100,1)</f>
        <v/>
      </c>
      <c r="D682" s="8">
        <f>B681/100/12+(C682-1)</f>
        <v/>
      </c>
      <c r="E682" s="8">
        <f>E681*(1+D682)</f>
        <v/>
      </c>
    </row>
    <row r="683">
      <c r="A683" s="8" t="inlineStr">
        <is>
          <t>1927-06-01</t>
        </is>
      </c>
      <c r="B683" s="6" t="n">
        <v>3.3358</v>
      </c>
      <c r="C683" s="8">
        <f>-PV(B683/100,$B$3,B682/100,1)</f>
        <v/>
      </c>
      <c r="D683" s="8">
        <f>B682/100/12+(C683-1)</f>
        <v/>
      </c>
      <c r="E683" s="8">
        <f>E682*(1+D683)</f>
        <v/>
      </c>
    </row>
    <row r="684">
      <c r="A684" s="8" t="inlineStr">
        <is>
          <t>1927-07-01</t>
        </is>
      </c>
      <c r="B684" s="6" t="n">
        <v>3.335</v>
      </c>
      <c r="C684" s="8">
        <f>-PV(B684/100,$B$3,B683/100,1)</f>
        <v/>
      </c>
      <c r="D684" s="8">
        <f>B683/100/12+(C684-1)</f>
        <v/>
      </c>
      <c r="E684" s="8">
        <f>E683*(1+D684)</f>
        <v/>
      </c>
    </row>
    <row r="685">
      <c r="A685" s="8" t="inlineStr">
        <is>
          <t>1927-08-01</t>
        </is>
      </c>
      <c r="B685" s="6" t="n">
        <v>3.3342</v>
      </c>
      <c r="C685" s="8">
        <f>-PV(B685/100,$B$3,B684/100,1)</f>
        <v/>
      </c>
      <c r="D685" s="8">
        <f>B684/100/12+(C685-1)</f>
        <v/>
      </c>
      <c r="E685" s="8">
        <f>E684*(1+D685)</f>
        <v/>
      </c>
    </row>
    <row r="686">
      <c r="A686" s="8" t="inlineStr">
        <is>
          <t>1927-09-01</t>
        </is>
      </c>
      <c r="B686" s="6" t="n">
        <v>3.3333</v>
      </c>
      <c r="C686" s="8">
        <f>-PV(B686/100,$B$3,B685/100,1)</f>
        <v/>
      </c>
      <c r="D686" s="8">
        <f>B685/100/12+(C686-1)</f>
        <v/>
      </c>
      <c r="E686" s="8">
        <f>E685*(1+D686)</f>
        <v/>
      </c>
    </row>
    <row r="687">
      <c r="A687" s="8" t="inlineStr">
        <is>
          <t>1927-10-01</t>
        </is>
      </c>
      <c r="B687" s="6" t="n">
        <v>3.3325</v>
      </c>
      <c r="C687" s="8">
        <f>-PV(B687/100,$B$3,B686/100,1)</f>
        <v/>
      </c>
      <c r="D687" s="8">
        <f>B686/100/12+(C687-1)</f>
        <v/>
      </c>
      <c r="E687" s="8">
        <f>E686*(1+D687)</f>
        <v/>
      </c>
    </row>
    <row r="688">
      <c r="A688" s="8" t="inlineStr">
        <is>
          <t>1927-11-01</t>
        </is>
      </c>
      <c r="B688" s="6" t="n">
        <v>3.3317</v>
      </c>
      <c r="C688" s="8">
        <f>-PV(B688/100,$B$3,B687/100,1)</f>
        <v/>
      </c>
      <c r="D688" s="8">
        <f>B687/100/12+(C688-1)</f>
        <v/>
      </c>
      <c r="E688" s="8">
        <f>E687*(1+D688)</f>
        <v/>
      </c>
    </row>
    <row r="689">
      <c r="A689" s="8" t="inlineStr">
        <is>
          <t>1927-12-01</t>
        </is>
      </c>
      <c r="B689" s="6" t="n">
        <v>3.3308</v>
      </c>
      <c r="C689" s="8">
        <f>-PV(B689/100,$B$3,B688/100,1)</f>
        <v/>
      </c>
      <c r="D689" s="8">
        <f>B688/100/12+(C689-1)</f>
        <v/>
      </c>
      <c r="E689" s="8">
        <f>E688*(1+D689)</f>
        <v/>
      </c>
    </row>
    <row r="690">
      <c r="A690" s="8" t="inlineStr">
        <is>
          <t>1928-01-01</t>
        </is>
      </c>
      <c r="B690" s="6" t="n">
        <v>3.33</v>
      </c>
      <c r="C690" s="8">
        <f>-PV(B690/100,$B$3,B689/100,1)</f>
        <v/>
      </c>
      <c r="D690" s="8">
        <f>B689/100/12+(C690-1)</f>
        <v/>
      </c>
      <c r="E690" s="8">
        <f>E689*(1+D690)</f>
        <v/>
      </c>
    </row>
    <row r="691">
      <c r="A691" s="8" t="inlineStr">
        <is>
          <t>1928-02-01</t>
        </is>
      </c>
      <c r="B691" s="6" t="n">
        <v>3.3525</v>
      </c>
      <c r="C691" s="8">
        <f>-PV(B691/100,$B$3,B690/100,1)</f>
        <v/>
      </c>
      <c r="D691" s="8">
        <f>B690/100/12+(C691-1)</f>
        <v/>
      </c>
      <c r="E691" s="8">
        <f>E690*(1+D691)</f>
        <v/>
      </c>
    </row>
    <row r="692">
      <c r="A692" s="8" t="inlineStr">
        <is>
          <t>1928-03-01</t>
        </is>
      </c>
      <c r="B692" s="6" t="n">
        <v>3.375</v>
      </c>
      <c r="C692" s="8">
        <f>-PV(B692/100,$B$3,B691/100,1)</f>
        <v/>
      </c>
      <c r="D692" s="8">
        <f>B691/100/12+(C692-1)</f>
        <v/>
      </c>
      <c r="E692" s="8">
        <f>E691*(1+D692)</f>
        <v/>
      </c>
    </row>
    <row r="693">
      <c r="A693" s="8" t="inlineStr">
        <is>
          <t>1928-04-01</t>
        </is>
      </c>
      <c r="B693" s="6" t="n">
        <v>3.3975</v>
      </c>
      <c r="C693" s="8">
        <f>-PV(B693/100,$B$3,B692/100,1)</f>
        <v/>
      </c>
      <c r="D693" s="8">
        <f>B692/100/12+(C693-1)</f>
        <v/>
      </c>
      <c r="E693" s="8">
        <f>E692*(1+D693)</f>
        <v/>
      </c>
    </row>
    <row r="694">
      <c r="A694" s="8" t="inlineStr">
        <is>
          <t>1928-05-01</t>
        </is>
      </c>
      <c r="B694" s="6" t="n">
        <v>3.42</v>
      </c>
      <c r="C694" s="8">
        <f>-PV(B694/100,$B$3,B693/100,1)</f>
        <v/>
      </c>
      <c r="D694" s="8">
        <f>B693/100/12+(C694-1)</f>
        <v/>
      </c>
      <c r="E694" s="8">
        <f>E693*(1+D694)</f>
        <v/>
      </c>
    </row>
    <row r="695">
      <c r="A695" s="8" t="inlineStr">
        <is>
          <t>1928-06-01</t>
        </is>
      </c>
      <c r="B695" s="6" t="n">
        <v>3.4425</v>
      </c>
      <c r="C695" s="8">
        <f>-PV(B695/100,$B$3,B694/100,1)</f>
        <v/>
      </c>
      <c r="D695" s="8">
        <f>B694/100/12+(C695-1)</f>
        <v/>
      </c>
      <c r="E695" s="8">
        <f>E694*(1+D695)</f>
        <v/>
      </c>
    </row>
    <row r="696">
      <c r="A696" s="8" t="inlineStr">
        <is>
          <t>1928-07-01</t>
        </is>
      </c>
      <c r="B696" s="6" t="n">
        <v>3.465</v>
      </c>
      <c r="C696" s="8">
        <f>-PV(B696/100,$B$3,B695/100,1)</f>
        <v/>
      </c>
      <c r="D696" s="8">
        <f>B695/100/12+(C696-1)</f>
        <v/>
      </c>
      <c r="E696" s="8">
        <f>E695*(1+D696)</f>
        <v/>
      </c>
    </row>
    <row r="697">
      <c r="A697" s="8" t="inlineStr">
        <is>
          <t>1928-08-01</t>
        </is>
      </c>
      <c r="B697" s="6" t="n">
        <v>3.4875</v>
      </c>
      <c r="C697" s="8">
        <f>-PV(B697/100,$B$3,B696/100,1)</f>
        <v/>
      </c>
      <c r="D697" s="8">
        <f>B696/100/12+(C697-1)</f>
        <v/>
      </c>
      <c r="E697" s="8">
        <f>E696*(1+D697)</f>
        <v/>
      </c>
    </row>
    <row r="698">
      <c r="A698" s="8" t="inlineStr">
        <is>
          <t>1928-09-01</t>
        </is>
      </c>
      <c r="B698" s="6" t="n">
        <v>3.51</v>
      </c>
      <c r="C698" s="8">
        <f>-PV(B698/100,$B$3,B697/100,1)</f>
        <v/>
      </c>
      <c r="D698" s="8">
        <f>B697/100/12+(C698-1)</f>
        <v/>
      </c>
      <c r="E698" s="8">
        <f>E697*(1+D698)</f>
        <v/>
      </c>
    </row>
    <row r="699">
      <c r="A699" s="8" t="inlineStr">
        <is>
          <t>1928-10-01</t>
        </is>
      </c>
      <c r="B699" s="6" t="n">
        <v>3.5325</v>
      </c>
      <c r="C699" s="8">
        <f>-PV(B699/100,$B$3,B698/100,1)</f>
        <v/>
      </c>
      <c r="D699" s="8">
        <f>B698/100/12+(C699-1)</f>
        <v/>
      </c>
      <c r="E699" s="8">
        <f>E698*(1+D699)</f>
        <v/>
      </c>
    </row>
    <row r="700">
      <c r="A700" s="8" t="inlineStr">
        <is>
          <t>1928-11-01</t>
        </is>
      </c>
      <c r="B700" s="6" t="n">
        <v>3.555</v>
      </c>
      <c r="C700" s="8">
        <f>-PV(B700/100,$B$3,B699/100,1)</f>
        <v/>
      </c>
      <c r="D700" s="8">
        <f>B699/100/12+(C700-1)</f>
        <v/>
      </c>
      <c r="E700" s="8">
        <f>E699*(1+D700)</f>
        <v/>
      </c>
    </row>
    <row r="701">
      <c r="A701" s="8" t="inlineStr">
        <is>
          <t>1928-12-01</t>
        </is>
      </c>
      <c r="B701" s="6" t="n">
        <v>3.5775</v>
      </c>
      <c r="C701" s="8">
        <f>-PV(B701/100,$B$3,B700/100,1)</f>
        <v/>
      </c>
      <c r="D701" s="8">
        <f>B700/100/12+(C701-1)</f>
        <v/>
      </c>
      <c r="E701" s="8">
        <f>E700*(1+D701)</f>
        <v/>
      </c>
    </row>
    <row r="702">
      <c r="A702" s="8" t="inlineStr">
        <is>
          <t>1929-01-01</t>
        </is>
      </c>
      <c r="B702" s="6" t="n">
        <v>3.6</v>
      </c>
      <c r="C702" s="8">
        <f>-PV(B702/100,$B$3,B701/100,1)</f>
        <v/>
      </c>
      <c r="D702" s="8">
        <f>B701/100/12+(C702-1)</f>
        <v/>
      </c>
      <c r="E702" s="8">
        <f>E701*(1+D702)</f>
        <v/>
      </c>
    </row>
    <row r="703">
      <c r="A703" s="8" t="inlineStr">
        <is>
          <t>1929-02-01</t>
        </is>
      </c>
      <c r="B703" s="6" t="n">
        <v>3.5742</v>
      </c>
      <c r="C703" s="8">
        <f>-PV(B703/100,$B$3,B702/100,1)</f>
        <v/>
      </c>
      <c r="D703" s="8">
        <f>B702/100/12+(C703-1)</f>
        <v/>
      </c>
      <c r="E703" s="8">
        <f>E702*(1+D703)</f>
        <v/>
      </c>
    </row>
    <row r="704">
      <c r="A704" s="8" t="inlineStr">
        <is>
          <t>1929-03-01</t>
        </is>
      </c>
      <c r="B704" s="6" t="n">
        <v>3.5483</v>
      </c>
      <c r="C704" s="8">
        <f>-PV(B704/100,$B$3,B703/100,1)</f>
        <v/>
      </c>
      <c r="D704" s="8">
        <f>B703/100/12+(C704-1)</f>
        <v/>
      </c>
      <c r="E704" s="8">
        <f>E703*(1+D704)</f>
        <v/>
      </c>
    </row>
    <row r="705">
      <c r="A705" s="8" t="inlineStr">
        <is>
          <t>1929-04-01</t>
        </is>
      </c>
      <c r="B705" s="6" t="n">
        <v>3.5225</v>
      </c>
      <c r="C705" s="8">
        <f>-PV(B705/100,$B$3,B704/100,1)</f>
        <v/>
      </c>
      <c r="D705" s="8">
        <f>B704/100/12+(C705-1)</f>
        <v/>
      </c>
      <c r="E705" s="8">
        <f>E704*(1+D705)</f>
        <v/>
      </c>
    </row>
    <row r="706">
      <c r="A706" s="8" t="inlineStr">
        <is>
          <t>1929-05-01</t>
        </is>
      </c>
      <c r="B706" s="6" t="n">
        <v>3.4967</v>
      </c>
      <c r="C706" s="8">
        <f>-PV(B706/100,$B$3,B705/100,1)</f>
        <v/>
      </c>
      <c r="D706" s="8">
        <f>B705/100/12+(C706-1)</f>
        <v/>
      </c>
      <c r="E706" s="8">
        <f>E705*(1+D706)</f>
        <v/>
      </c>
    </row>
    <row r="707">
      <c r="A707" s="8" t="inlineStr">
        <is>
          <t>1929-06-01</t>
        </is>
      </c>
      <c r="B707" s="6" t="n">
        <v>3.4708</v>
      </c>
      <c r="C707" s="8">
        <f>-PV(B707/100,$B$3,B706/100,1)</f>
        <v/>
      </c>
      <c r="D707" s="8">
        <f>B706/100/12+(C707-1)</f>
        <v/>
      </c>
      <c r="E707" s="8">
        <f>E706*(1+D707)</f>
        <v/>
      </c>
    </row>
    <row r="708">
      <c r="A708" s="8" t="inlineStr">
        <is>
          <t>1929-07-01</t>
        </is>
      </c>
      <c r="B708" s="6" t="n">
        <v>3.445</v>
      </c>
      <c r="C708" s="8">
        <f>-PV(B708/100,$B$3,B707/100,1)</f>
        <v/>
      </c>
      <c r="D708" s="8">
        <f>B707/100/12+(C708-1)</f>
        <v/>
      </c>
      <c r="E708" s="8">
        <f>E707*(1+D708)</f>
        <v/>
      </c>
    </row>
    <row r="709">
      <c r="A709" s="8" t="inlineStr">
        <is>
          <t>1929-08-01</t>
        </is>
      </c>
      <c r="B709" s="6" t="n">
        <v>3.4192</v>
      </c>
      <c r="C709" s="8">
        <f>-PV(B709/100,$B$3,B708/100,1)</f>
        <v/>
      </c>
      <c r="D709" s="8">
        <f>B708/100/12+(C709-1)</f>
        <v/>
      </c>
      <c r="E709" s="8">
        <f>E708*(1+D709)</f>
        <v/>
      </c>
    </row>
    <row r="710">
      <c r="A710" s="8" t="inlineStr">
        <is>
          <t>1929-09-01</t>
        </is>
      </c>
      <c r="B710" s="6" t="n">
        <v>3.3933</v>
      </c>
      <c r="C710" s="8">
        <f>-PV(B710/100,$B$3,B709/100,1)</f>
        <v/>
      </c>
      <c r="D710" s="8">
        <f>B709/100/12+(C710-1)</f>
        <v/>
      </c>
      <c r="E710" s="8">
        <f>E709*(1+D710)</f>
        <v/>
      </c>
    </row>
    <row r="711">
      <c r="A711" s="8" t="inlineStr">
        <is>
          <t>1929-10-01</t>
        </is>
      </c>
      <c r="B711" s="6" t="n">
        <v>3.3675</v>
      </c>
      <c r="C711" s="8">
        <f>-PV(B711/100,$B$3,B710/100,1)</f>
        <v/>
      </c>
      <c r="D711" s="8">
        <f>B710/100/12+(C711-1)</f>
        <v/>
      </c>
      <c r="E711" s="8">
        <f>E710*(1+D711)</f>
        <v/>
      </c>
    </row>
    <row r="712">
      <c r="A712" s="8" t="inlineStr">
        <is>
          <t>1929-11-01</t>
        </is>
      </c>
      <c r="B712" s="6" t="n">
        <v>3.3417</v>
      </c>
      <c r="C712" s="8">
        <f>-PV(B712/100,$B$3,B711/100,1)</f>
        <v/>
      </c>
      <c r="D712" s="8">
        <f>B711/100/12+(C712-1)</f>
        <v/>
      </c>
      <c r="E712" s="8">
        <f>E711*(1+D712)</f>
        <v/>
      </c>
    </row>
    <row r="713">
      <c r="A713" s="8" t="inlineStr">
        <is>
          <t>1929-12-01</t>
        </is>
      </c>
      <c r="B713" s="6" t="n">
        <v>3.3158</v>
      </c>
      <c r="C713" s="8">
        <f>-PV(B713/100,$B$3,B712/100,1)</f>
        <v/>
      </c>
      <c r="D713" s="8">
        <f>B712/100/12+(C713-1)</f>
        <v/>
      </c>
      <c r="E713" s="8">
        <f>E712*(1+D713)</f>
        <v/>
      </c>
    </row>
    <row r="714">
      <c r="A714" s="8" t="inlineStr">
        <is>
          <t>1930-01-01</t>
        </is>
      </c>
      <c r="B714" s="6" t="n">
        <v>3.29</v>
      </c>
      <c r="C714" s="8">
        <f>-PV(B714/100,$B$3,B713/100,1)</f>
        <v/>
      </c>
      <c r="D714" s="8">
        <f>B713/100/12+(C714-1)</f>
        <v/>
      </c>
      <c r="E714" s="8">
        <f>E713*(1+D714)</f>
        <v/>
      </c>
    </row>
    <row r="715">
      <c r="A715" s="8" t="inlineStr">
        <is>
          <t>1930-02-01</t>
        </is>
      </c>
      <c r="B715" s="6" t="n">
        <v>3.2942</v>
      </c>
      <c r="C715" s="8">
        <f>-PV(B715/100,$B$3,B714/100,1)</f>
        <v/>
      </c>
      <c r="D715" s="8">
        <f>B714/100/12+(C715-1)</f>
        <v/>
      </c>
      <c r="E715" s="8">
        <f>E714*(1+D715)</f>
        <v/>
      </c>
    </row>
    <row r="716">
      <c r="A716" s="8" t="inlineStr">
        <is>
          <t>1930-03-01</t>
        </is>
      </c>
      <c r="B716" s="6" t="n">
        <v>3.2983</v>
      </c>
      <c r="C716" s="8">
        <f>-PV(B716/100,$B$3,B715/100,1)</f>
        <v/>
      </c>
      <c r="D716" s="8">
        <f>B715/100/12+(C716-1)</f>
        <v/>
      </c>
      <c r="E716" s="8">
        <f>E715*(1+D716)</f>
        <v/>
      </c>
    </row>
    <row r="717">
      <c r="A717" s="8" t="inlineStr">
        <is>
          <t>1930-04-01</t>
        </is>
      </c>
      <c r="B717" s="6" t="n">
        <v>3.3025</v>
      </c>
      <c r="C717" s="8">
        <f>-PV(B717/100,$B$3,B716/100,1)</f>
        <v/>
      </c>
      <c r="D717" s="8">
        <f>B716/100/12+(C717-1)</f>
        <v/>
      </c>
      <c r="E717" s="8">
        <f>E716*(1+D717)</f>
        <v/>
      </c>
    </row>
    <row r="718">
      <c r="A718" s="8" t="inlineStr">
        <is>
          <t>1930-05-01</t>
        </is>
      </c>
      <c r="B718" s="6" t="n">
        <v>3.3067</v>
      </c>
      <c r="C718" s="8">
        <f>-PV(B718/100,$B$3,B717/100,1)</f>
        <v/>
      </c>
      <c r="D718" s="8">
        <f>B717/100/12+(C718-1)</f>
        <v/>
      </c>
      <c r="E718" s="8">
        <f>E717*(1+D718)</f>
        <v/>
      </c>
    </row>
    <row r="719">
      <c r="A719" s="8" t="inlineStr">
        <is>
          <t>1930-06-01</t>
        </is>
      </c>
      <c r="B719" s="6" t="n">
        <v>3.3108</v>
      </c>
      <c r="C719" s="8">
        <f>-PV(B719/100,$B$3,B718/100,1)</f>
        <v/>
      </c>
      <c r="D719" s="8">
        <f>B718/100/12+(C719-1)</f>
        <v/>
      </c>
      <c r="E719" s="8">
        <f>E718*(1+D719)</f>
        <v/>
      </c>
    </row>
    <row r="720">
      <c r="A720" s="8" t="inlineStr">
        <is>
          <t>1930-07-01</t>
        </is>
      </c>
      <c r="B720" s="6" t="n">
        <v>3.315</v>
      </c>
      <c r="C720" s="8">
        <f>-PV(B720/100,$B$3,B719/100,1)</f>
        <v/>
      </c>
      <c r="D720" s="8">
        <f>B719/100/12+(C720-1)</f>
        <v/>
      </c>
      <c r="E720" s="8">
        <f>E719*(1+D720)</f>
        <v/>
      </c>
    </row>
    <row r="721">
      <c r="A721" s="8" t="inlineStr">
        <is>
          <t>1930-08-01</t>
        </is>
      </c>
      <c r="B721" s="6" t="n">
        <v>3.3192</v>
      </c>
      <c r="C721" s="8">
        <f>-PV(B721/100,$B$3,B720/100,1)</f>
        <v/>
      </c>
      <c r="D721" s="8">
        <f>B720/100/12+(C721-1)</f>
        <v/>
      </c>
      <c r="E721" s="8">
        <f>E720*(1+D721)</f>
        <v/>
      </c>
    </row>
    <row r="722">
      <c r="A722" s="8" t="inlineStr">
        <is>
          <t>1930-09-01</t>
        </is>
      </c>
      <c r="B722" s="6" t="n">
        <v>3.3233</v>
      </c>
      <c r="C722" s="8">
        <f>-PV(B722/100,$B$3,B721/100,1)</f>
        <v/>
      </c>
      <c r="D722" s="8">
        <f>B721/100/12+(C722-1)</f>
        <v/>
      </c>
      <c r="E722" s="8">
        <f>E721*(1+D722)</f>
        <v/>
      </c>
    </row>
    <row r="723">
      <c r="A723" s="8" t="inlineStr">
        <is>
          <t>1930-10-01</t>
        </is>
      </c>
      <c r="B723" s="6" t="n">
        <v>3.3275</v>
      </c>
      <c r="C723" s="8">
        <f>-PV(B723/100,$B$3,B722/100,1)</f>
        <v/>
      </c>
      <c r="D723" s="8">
        <f>B722/100/12+(C723-1)</f>
        <v/>
      </c>
      <c r="E723" s="8">
        <f>E722*(1+D723)</f>
        <v/>
      </c>
    </row>
    <row r="724">
      <c r="A724" s="8" t="inlineStr">
        <is>
          <t>1930-11-01</t>
        </is>
      </c>
      <c r="B724" s="6" t="n">
        <v>3.3317</v>
      </c>
      <c r="C724" s="8">
        <f>-PV(B724/100,$B$3,B723/100,1)</f>
        <v/>
      </c>
      <c r="D724" s="8">
        <f>B723/100/12+(C724-1)</f>
        <v/>
      </c>
      <c r="E724" s="8">
        <f>E723*(1+D724)</f>
        <v/>
      </c>
    </row>
    <row r="725">
      <c r="A725" s="8" t="inlineStr">
        <is>
          <t>1930-12-01</t>
        </is>
      </c>
      <c r="B725" s="6" t="n">
        <v>3.3358</v>
      </c>
      <c r="C725" s="8">
        <f>-PV(B725/100,$B$3,B724/100,1)</f>
        <v/>
      </c>
      <c r="D725" s="8">
        <f>B724/100/12+(C725-1)</f>
        <v/>
      </c>
      <c r="E725" s="8">
        <f>E724*(1+D725)</f>
        <v/>
      </c>
    </row>
    <row r="726">
      <c r="A726" s="8" t="inlineStr">
        <is>
          <t>1931-01-01</t>
        </is>
      </c>
      <c r="B726" s="6" t="n">
        <v>3.34</v>
      </c>
      <c r="C726" s="8">
        <f>-PV(B726/100,$B$3,B725/100,1)</f>
        <v/>
      </c>
      <c r="D726" s="8">
        <f>B725/100/12+(C726-1)</f>
        <v/>
      </c>
      <c r="E726" s="8">
        <f>E725*(1+D726)</f>
        <v/>
      </c>
    </row>
    <row r="727">
      <c r="A727" s="8" t="inlineStr">
        <is>
          <t>1931-02-01</t>
        </is>
      </c>
      <c r="B727" s="6" t="n">
        <v>3.3683</v>
      </c>
      <c r="C727" s="8">
        <f>-PV(B727/100,$B$3,B726/100,1)</f>
        <v/>
      </c>
      <c r="D727" s="8">
        <f>B726/100/12+(C727-1)</f>
        <v/>
      </c>
      <c r="E727" s="8">
        <f>E726*(1+D727)</f>
        <v/>
      </c>
    </row>
    <row r="728">
      <c r="A728" s="8" t="inlineStr">
        <is>
          <t>1931-03-01</t>
        </is>
      </c>
      <c r="B728" s="6" t="n">
        <v>3.3967</v>
      </c>
      <c r="C728" s="8">
        <f>-PV(B728/100,$B$3,B727/100,1)</f>
        <v/>
      </c>
      <c r="D728" s="8">
        <f>B727/100/12+(C728-1)</f>
        <v/>
      </c>
      <c r="E728" s="8">
        <f>E727*(1+D728)</f>
        <v/>
      </c>
    </row>
    <row r="729">
      <c r="A729" s="8" t="inlineStr">
        <is>
          <t>1931-04-01</t>
        </is>
      </c>
      <c r="B729" s="6" t="n">
        <v>3.425</v>
      </c>
      <c r="C729" s="8">
        <f>-PV(B729/100,$B$3,B728/100,1)</f>
        <v/>
      </c>
      <c r="D729" s="8">
        <f>B728/100/12+(C729-1)</f>
        <v/>
      </c>
      <c r="E729" s="8">
        <f>E728*(1+D729)</f>
        <v/>
      </c>
    </row>
    <row r="730">
      <c r="A730" s="8" t="inlineStr">
        <is>
          <t>1931-05-01</t>
        </is>
      </c>
      <c r="B730" s="6" t="n">
        <v>3.4533</v>
      </c>
      <c r="C730" s="8">
        <f>-PV(B730/100,$B$3,B729/100,1)</f>
        <v/>
      </c>
      <c r="D730" s="8">
        <f>B729/100/12+(C730-1)</f>
        <v/>
      </c>
      <c r="E730" s="8">
        <f>E729*(1+D730)</f>
        <v/>
      </c>
    </row>
    <row r="731">
      <c r="A731" s="8" t="inlineStr">
        <is>
          <t>1931-06-01</t>
        </is>
      </c>
      <c r="B731" s="6" t="n">
        <v>3.4817</v>
      </c>
      <c r="C731" s="8">
        <f>-PV(B731/100,$B$3,B730/100,1)</f>
        <v/>
      </c>
      <c r="D731" s="8">
        <f>B730/100/12+(C731-1)</f>
        <v/>
      </c>
      <c r="E731" s="8">
        <f>E730*(1+D731)</f>
        <v/>
      </c>
    </row>
    <row r="732">
      <c r="A732" s="8" t="inlineStr">
        <is>
          <t>1931-07-01</t>
        </is>
      </c>
      <c r="B732" s="6" t="n">
        <v>3.51</v>
      </c>
      <c r="C732" s="8">
        <f>-PV(B732/100,$B$3,B731/100,1)</f>
        <v/>
      </c>
      <c r="D732" s="8">
        <f>B731/100/12+(C732-1)</f>
        <v/>
      </c>
      <c r="E732" s="8">
        <f>E731*(1+D732)</f>
        <v/>
      </c>
    </row>
    <row r="733">
      <c r="A733" s="8" t="inlineStr">
        <is>
          <t>1931-08-01</t>
        </is>
      </c>
      <c r="B733" s="6" t="n">
        <v>3.5383</v>
      </c>
      <c r="C733" s="8">
        <f>-PV(B733/100,$B$3,B732/100,1)</f>
        <v/>
      </c>
      <c r="D733" s="8">
        <f>B732/100/12+(C733-1)</f>
        <v/>
      </c>
      <c r="E733" s="8">
        <f>E732*(1+D733)</f>
        <v/>
      </c>
    </row>
    <row r="734">
      <c r="A734" s="8" t="inlineStr">
        <is>
          <t>1931-09-01</t>
        </is>
      </c>
      <c r="B734" s="6" t="n">
        <v>3.5667</v>
      </c>
      <c r="C734" s="8">
        <f>-PV(B734/100,$B$3,B733/100,1)</f>
        <v/>
      </c>
      <c r="D734" s="8">
        <f>B733/100/12+(C734-1)</f>
        <v/>
      </c>
      <c r="E734" s="8">
        <f>E733*(1+D734)</f>
        <v/>
      </c>
    </row>
    <row r="735">
      <c r="A735" s="8" t="inlineStr">
        <is>
          <t>1931-10-01</t>
        </is>
      </c>
      <c r="B735" s="6" t="n">
        <v>3.595</v>
      </c>
      <c r="C735" s="8">
        <f>-PV(B735/100,$B$3,B734/100,1)</f>
        <v/>
      </c>
      <c r="D735" s="8">
        <f>B734/100/12+(C735-1)</f>
        <v/>
      </c>
      <c r="E735" s="8">
        <f>E734*(1+D735)</f>
        <v/>
      </c>
    </row>
    <row r="736">
      <c r="A736" s="8" t="inlineStr">
        <is>
          <t>1931-11-01</t>
        </is>
      </c>
      <c r="B736" s="6" t="n">
        <v>3.6233</v>
      </c>
      <c r="C736" s="8">
        <f>-PV(B736/100,$B$3,B735/100,1)</f>
        <v/>
      </c>
      <c r="D736" s="8">
        <f>B735/100/12+(C736-1)</f>
        <v/>
      </c>
      <c r="E736" s="8">
        <f>E735*(1+D736)</f>
        <v/>
      </c>
    </row>
    <row r="737">
      <c r="A737" s="8" t="inlineStr">
        <is>
          <t>1931-12-01</t>
        </is>
      </c>
      <c r="B737" s="6" t="n">
        <v>3.6517</v>
      </c>
      <c r="C737" s="8">
        <f>-PV(B737/100,$B$3,B736/100,1)</f>
        <v/>
      </c>
      <c r="D737" s="8">
        <f>B736/100/12+(C737-1)</f>
        <v/>
      </c>
      <c r="E737" s="8">
        <f>E736*(1+D737)</f>
        <v/>
      </c>
    </row>
    <row r="738">
      <c r="A738" s="8" t="inlineStr">
        <is>
          <t>1932-01-01</t>
        </is>
      </c>
      <c r="B738" s="6" t="n">
        <v>3.68</v>
      </c>
      <c r="C738" s="8">
        <f>-PV(B738/100,$B$3,B737/100,1)</f>
        <v/>
      </c>
      <c r="D738" s="8">
        <f>B737/100/12+(C738-1)</f>
        <v/>
      </c>
      <c r="E738" s="8">
        <f>E737*(1+D738)</f>
        <v/>
      </c>
    </row>
    <row r="739">
      <c r="A739" s="8" t="inlineStr">
        <is>
          <t>1932-02-01</t>
        </is>
      </c>
      <c r="B739" s="6" t="n">
        <v>3.6492</v>
      </c>
      <c r="C739" s="8">
        <f>-PV(B739/100,$B$3,B738/100,1)</f>
        <v/>
      </c>
      <c r="D739" s="8">
        <f>B738/100/12+(C739-1)</f>
        <v/>
      </c>
      <c r="E739" s="8">
        <f>E738*(1+D739)</f>
        <v/>
      </c>
    </row>
    <row r="740">
      <c r="A740" s="8" t="inlineStr">
        <is>
          <t>1932-03-01</t>
        </is>
      </c>
      <c r="B740" s="6" t="n">
        <v>3.6183</v>
      </c>
      <c r="C740" s="8">
        <f>-PV(B740/100,$B$3,B739/100,1)</f>
        <v/>
      </c>
      <c r="D740" s="8">
        <f>B739/100/12+(C740-1)</f>
        <v/>
      </c>
      <c r="E740" s="8">
        <f>E739*(1+D740)</f>
        <v/>
      </c>
    </row>
    <row r="741">
      <c r="A741" s="8" t="inlineStr">
        <is>
          <t>1932-04-01</t>
        </is>
      </c>
      <c r="B741" s="6" t="n">
        <v>3.5875</v>
      </c>
      <c r="C741" s="8">
        <f>-PV(B741/100,$B$3,B740/100,1)</f>
        <v/>
      </c>
      <c r="D741" s="8">
        <f>B740/100/12+(C741-1)</f>
        <v/>
      </c>
      <c r="E741" s="8">
        <f>E740*(1+D741)</f>
        <v/>
      </c>
    </row>
    <row r="742">
      <c r="A742" s="8" t="inlineStr">
        <is>
          <t>1932-05-01</t>
        </is>
      </c>
      <c r="B742" s="6" t="n">
        <v>3.5567</v>
      </c>
      <c r="C742" s="8">
        <f>-PV(B742/100,$B$3,B741/100,1)</f>
        <v/>
      </c>
      <c r="D742" s="8">
        <f>B741/100/12+(C742-1)</f>
        <v/>
      </c>
      <c r="E742" s="8">
        <f>E741*(1+D742)</f>
        <v/>
      </c>
    </row>
    <row r="743">
      <c r="A743" s="8" t="inlineStr">
        <is>
          <t>1932-06-01</t>
        </is>
      </c>
      <c r="B743" s="6" t="n">
        <v>3.5258</v>
      </c>
      <c r="C743" s="8">
        <f>-PV(B743/100,$B$3,B742/100,1)</f>
        <v/>
      </c>
      <c r="D743" s="8">
        <f>B742/100/12+(C743-1)</f>
        <v/>
      </c>
      <c r="E743" s="8">
        <f>E742*(1+D743)</f>
        <v/>
      </c>
    </row>
    <row r="744">
      <c r="A744" s="8" t="inlineStr">
        <is>
          <t>1932-07-01</t>
        </is>
      </c>
      <c r="B744" s="6" t="n">
        <v>3.495</v>
      </c>
      <c r="C744" s="8">
        <f>-PV(B744/100,$B$3,B743/100,1)</f>
        <v/>
      </c>
      <c r="D744" s="8">
        <f>B743/100/12+(C744-1)</f>
        <v/>
      </c>
      <c r="E744" s="8">
        <f>E743*(1+D744)</f>
        <v/>
      </c>
    </row>
    <row r="745">
      <c r="A745" s="8" t="inlineStr">
        <is>
          <t>1932-08-01</t>
        </is>
      </c>
      <c r="B745" s="6" t="n">
        <v>3.4642</v>
      </c>
      <c r="C745" s="8">
        <f>-PV(B745/100,$B$3,B744/100,1)</f>
        <v/>
      </c>
      <c r="D745" s="8">
        <f>B744/100/12+(C745-1)</f>
        <v/>
      </c>
      <c r="E745" s="8">
        <f>E744*(1+D745)</f>
        <v/>
      </c>
    </row>
    <row r="746">
      <c r="A746" s="8" t="inlineStr">
        <is>
          <t>1932-09-01</t>
        </is>
      </c>
      <c r="B746" s="6" t="n">
        <v>3.4333</v>
      </c>
      <c r="C746" s="8">
        <f>-PV(B746/100,$B$3,B745/100,1)</f>
        <v/>
      </c>
      <c r="D746" s="8">
        <f>B745/100/12+(C746-1)</f>
        <v/>
      </c>
      <c r="E746" s="8">
        <f>E745*(1+D746)</f>
        <v/>
      </c>
    </row>
    <row r="747">
      <c r="A747" s="8" t="inlineStr">
        <is>
          <t>1932-10-01</t>
        </is>
      </c>
      <c r="B747" s="6" t="n">
        <v>3.4025</v>
      </c>
      <c r="C747" s="8">
        <f>-PV(B747/100,$B$3,B746/100,1)</f>
        <v/>
      </c>
      <c r="D747" s="8">
        <f>B746/100/12+(C747-1)</f>
        <v/>
      </c>
      <c r="E747" s="8">
        <f>E746*(1+D747)</f>
        <v/>
      </c>
    </row>
    <row r="748">
      <c r="A748" s="8" t="inlineStr">
        <is>
          <t>1932-11-01</t>
        </is>
      </c>
      <c r="B748" s="6" t="n">
        <v>3.3717</v>
      </c>
      <c r="C748" s="8">
        <f>-PV(B748/100,$B$3,B747/100,1)</f>
        <v/>
      </c>
      <c r="D748" s="8">
        <f>B747/100/12+(C748-1)</f>
        <v/>
      </c>
      <c r="E748" s="8">
        <f>E747*(1+D748)</f>
        <v/>
      </c>
    </row>
    <row r="749">
      <c r="A749" s="8" t="inlineStr">
        <is>
          <t>1932-12-01</t>
        </is>
      </c>
      <c r="B749" s="6" t="n">
        <v>3.3408</v>
      </c>
      <c r="C749" s="8">
        <f>-PV(B749/100,$B$3,B748/100,1)</f>
        <v/>
      </c>
      <c r="D749" s="8">
        <f>B748/100/12+(C749-1)</f>
        <v/>
      </c>
      <c r="E749" s="8">
        <f>E748*(1+D749)</f>
        <v/>
      </c>
    </row>
    <row r="750">
      <c r="A750" s="8" t="inlineStr">
        <is>
          <t>1933-01-01</t>
        </is>
      </c>
      <c r="B750" s="6" t="n">
        <v>3.31</v>
      </c>
      <c r="C750" s="8">
        <f>-PV(B750/100,$B$3,B749/100,1)</f>
        <v/>
      </c>
      <c r="D750" s="8">
        <f>B749/100/12+(C750-1)</f>
        <v/>
      </c>
      <c r="E750" s="8">
        <f>E749*(1+D750)</f>
        <v/>
      </c>
    </row>
    <row r="751">
      <c r="A751" s="8" t="inlineStr">
        <is>
          <t>1933-02-01</t>
        </is>
      </c>
      <c r="B751" s="6" t="n">
        <v>3.2942</v>
      </c>
      <c r="C751" s="8">
        <f>-PV(B751/100,$B$3,B750/100,1)</f>
        <v/>
      </c>
      <c r="D751" s="8">
        <f>B750/100/12+(C751-1)</f>
        <v/>
      </c>
      <c r="E751" s="8">
        <f>E750*(1+D751)</f>
        <v/>
      </c>
    </row>
    <row r="752">
      <c r="A752" s="8" t="inlineStr">
        <is>
          <t>1933-03-01</t>
        </is>
      </c>
      <c r="B752" s="6" t="n">
        <v>3.2783</v>
      </c>
      <c r="C752" s="8">
        <f>-PV(B752/100,$B$3,B751/100,1)</f>
        <v/>
      </c>
      <c r="D752" s="8">
        <f>B751/100/12+(C752-1)</f>
        <v/>
      </c>
      <c r="E752" s="8">
        <f>E751*(1+D752)</f>
        <v/>
      </c>
    </row>
    <row r="753">
      <c r="A753" s="8" t="inlineStr">
        <is>
          <t>1933-04-01</t>
        </is>
      </c>
      <c r="B753" s="6" t="n">
        <v>3.2625</v>
      </c>
      <c r="C753" s="8">
        <f>-PV(B753/100,$B$3,B752/100,1)</f>
        <v/>
      </c>
      <c r="D753" s="8">
        <f>B752/100/12+(C753-1)</f>
        <v/>
      </c>
      <c r="E753" s="8">
        <f>E752*(1+D753)</f>
        <v/>
      </c>
    </row>
    <row r="754">
      <c r="A754" s="8" t="inlineStr">
        <is>
          <t>1933-05-01</t>
        </is>
      </c>
      <c r="B754" s="6" t="n">
        <v>3.2467</v>
      </c>
      <c r="C754" s="8">
        <f>-PV(B754/100,$B$3,B753/100,1)</f>
        <v/>
      </c>
      <c r="D754" s="8">
        <f>B753/100/12+(C754-1)</f>
        <v/>
      </c>
      <c r="E754" s="8">
        <f>E753*(1+D754)</f>
        <v/>
      </c>
    </row>
    <row r="755">
      <c r="A755" s="8" t="inlineStr">
        <is>
          <t>1933-06-01</t>
        </is>
      </c>
      <c r="B755" s="6" t="n">
        <v>3.2308</v>
      </c>
      <c r="C755" s="8">
        <f>-PV(B755/100,$B$3,B754/100,1)</f>
        <v/>
      </c>
      <c r="D755" s="8">
        <f>B754/100/12+(C755-1)</f>
        <v/>
      </c>
      <c r="E755" s="8">
        <f>E754*(1+D755)</f>
        <v/>
      </c>
    </row>
    <row r="756">
      <c r="A756" s="8" t="inlineStr">
        <is>
          <t>1933-07-01</t>
        </is>
      </c>
      <c r="B756" s="6" t="n">
        <v>3.215</v>
      </c>
      <c r="C756" s="8">
        <f>-PV(B756/100,$B$3,B755/100,1)</f>
        <v/>
      </c>
      <c r="D756" s="8">
        <f>B755/100/12+(C756-1)</f>
        <v/>
      </c>
      <c r="E756" s="8">
        <f>E755*(1+D756)</f>
        <v/>
      </c>
    </row>
    <row r="757">
      <c r="A757" s="8" t="inlineStr">
        <is>
          <t>1933-08-01</t>
        </is>
      </c>
      <c r="B757" s="6" t="n">
        <v>3.1992</v>
      </c>
      <c r="C757" s="8">
        <f>-PV(B757/100,$B$3,B756/100,1)</f>
        <v/>
      </c>
      <c r="D757" s="8">
        <f>B756/100/12+(C757-1)</f>
        <v/>
      </c>
      <c r="E757" s="8">
        <f>E756*(1+D757)</f>
        <v/>
      </c>
    </row>
    <row r="758">
      <c r="A758" s="8" t="inlineStr">
        <is>
          <t>1933-09-01</t>
        </is>
      </c>
      <c r="B758" s="6" t="n">
        <v>3.1833</v>
      </c>
      <c r="C758" s="8">
        <f>-PV(B758/100,$B$3,B757/100,1)</f>
        <v/>
      </c>
      <c r="D758" s="8">
        <f>B757/100/12+(C758-1)</f>
        <v/>
      </c>
      <c r="E758" s="8">
        <f>E757*(1+D758)</f>
        <v/>
      </c>
    </row>
    <row r="759">
      <c r="A759" s="8" t="inlineStr">
        <is>
          <t>1933-10-01</t>
        </is>
      </c>
      <c r="B759" s="6" t="n">
        <v>3.1675</v>
      </c>
      <c r="C759" s="8">
        <f>-PV(B759/100,$B$3,B758/100,1)</f>
        <v/>
      </c>
      <c r="D759" s="8">
        <f>B758/100/12+(C759-1)</f>
        <v/>
      </c>
      <c r="E759" s="8">
        <f>E758*(1+D759)</f>
        <v/>
      </c>
    </row>
    <row r="760">
      <c r="A760" s="8" t="inlineStr">
        <is>
          <t>1933-11-01</t>
        </is>
      </c>
      <c r="B760" s="6" t="n">
        <v>3.1517</v>
      </c>
      <c r="C760" s="8">
        <f>-PV(B760/100,$B$3,B759/100,1)</f>
        <v/>
      </c>
      <c r="D760" s="8">
        <f>B759/100/12+(C760-1)</f>
        <v/>
      </c>
      <c r="E760" s="8">
        <f>E759*(1+D760)</f>
        <v/>
      </c>
    </row>
    <row r="761">
      <c r="A761" s="8" t="inlineStr">
        <is>
          <t>1933-12-01</t>
        </is>
      </c>
      <c r="B761" s="6" t="n">
        <v>3.1358</v>
      </c>
      <c r="C761" s="8">
        <f>-PV(B761/100,$B$3,B760/100,1)</f>
        <v/>
      </c>
      <c r="D761" s="8">
        <f>B760/100/12+(C761-1)</f>
        <v/>
      </c>
      <c r="E761" s="8">
        <f>E760*(1+D761)</f>
        <v/>
      </c>
    </row>
    <row r="762">
      <c r="A762" s="8" t="inlineStr">
        <is>
          <t>1934-01-01</t>
        </is>
      </c>
      <c r="B762" s="6" t="n">
        <v>3.12</v>
      </c>
      <c r="C762" s="8">
        <f>-PV(B762/100,$B$3,B761/100,1)</f>
        <v/>
      </c>
      <c r="D762" s="8">
        <f>B761/100/12+(C762-1)</f>
        <v/>
      </c>
      <c r="E762" s="8">
        <f>E761*(1+D762)</f>
        <v/>
      </c>
    </row>
    <row r="763">
      <c r="A763" s="8" t="inlineStr">
        <is>
          <t>1934-02-01</t>
        </is>
      </c>
      <c r="B763" s="6" t="n">
        <v>3.0925</v>
      </c>
      <c r="C763" s="8">
        <f>-PV(B763/100,$B$3,B762/100,1)</f>
        <v/>
      </c>
      <c r="D763" s="8">
        <f>B762/100/12+(C763-1)</f>
        <v/>
      </c>
      <c r="E763" s="8">
        <f>E762*(1+D763)</f>
        <v/>
      </c>
    </row>
    <row r="764">
      <c r="A764" s="8" t="inlineStr">
        <is>
          <t>1934-03-01</t>
        </is>
      </c>
      <c r="B764" s="6" t="n">
        <v>3.065</v>
      </c>
      <c r="C764" s="8">
        <f>-PV(B764/100,$B$3,B763/100,1)</f>
        <v/>
      </c>
      <c r="D764" s="8">
        <f>B763/100/12+(C764-1)</f>
        <v/>
      </c>
      <c r="E764" s="8">
        <f>E763*(1+D764)</f>
        <v/>
      </c>
    </row>
    <row r="765">
      <c r="A765" s="8" t="inlineStr">
        <is>
          <t>1934-04-01</t>
        </is>
      </c>
      <c r="B765" s="6" t="n">
        <v>3.0375</v>
      </c>
      <c r="C765" s="8">
        <f>-PV(B765/100,$B$3,B764/100,1)</f>
        <v/>
      </c>
      <c r="D765" s="8">
        <f>B764/100/12+(C765-1)</f>
        <v/>
      </c>
      <c r="E765" s="8">
        <f>E764*(1+D765)</f>
        <v/>
      </c>
    </row>
    <row r="766">
      <c r="A766" s="8" t="inlineStr">
        <is>
          <t>1934-05-01</t>
        </is>
      </c>
      <c r="B766" s="6" t="n">
        <v>3.01</v>
      </c>
      <c r="C766" s="8">
        <f>-PV(B766/100,$B$3,B765/100,1)</f>
        <v/>
      </c>
      <c r="D766" s="8">
        <f>B765/100/12+(C766-1)</f>
        <v/>
      </c>
      <c r="E766" s="8">
        <f>E765*(1+D766)</f>
        <v/>
      </c>
    </row>
    <row r="767">
      <c r="A767" s="8" t="inlineStr">
        <is>
          <t>1934-06-01</t>
        </is>
      </c>
      <c r="B767" s="6" t="n">
        <v>2.9825</v>
      </c>
      <c r="C767" s="8">
        <f>-PV(B767/100,$B$3,B766/100,1)</f>
        <v/>
      </c>
      <c r="D767" s="8">
        <f>B766/100/12+(C767-1)</f>
        <v/>
      </c>
      <c r="E767" s="8">
        <f>E766*(1+D767)</f>
        <v/>
      </c>
    </row>
    <row r="768">
      <c r="A768" s="8" t="inlineStr">
        <is>
          <t>1934-07-01</t>
        </is>
      </c>
      <c r="B768" s="6" t="n">
        <v>2.955</v>
      </c>
      <c r="C768" s="8">
        <f>-PV(B768/100,$B$3,B767/100,1)</f>
        <v/>
      </c>
      <c r="D768" s="8">
        <f>B767/100/12+(C768-1)</f>
        <v/>
      </c>
      <c r="E768" s="8">
        <f>E767*(1+D768)</f>
        <v/>
      </c>
    </row>
    <row r="769">
      <c r="A769" s="8" t="inlineStr">
        <is>
          <t>1934-08-01</t>
        </is>
      </c>
      <c r="B769" s="6" t="n">
        <v>2.9275</v>
      </c>
      <c r="C769" s="8">
        <f>-PV(B769/100,$B$3,B768/100,1)</f>
        <v/>
      </c>
      <c r="D769" s="8">
        <f>B768/100/12+(C769-1)</f>
        <v/>
      </c>
      <c r="E769" s="8">
        <f>E768*(1+D769)</f>
        <v/>
      </c>
    </row>
    <row r="770">
      <c r="A770" s="8" t="inlineStr">
        <is>
          <t>1934-09-01</t>
        </is>
      </c>
      <c r="B770" s="6" t="n">
        <v>2.9</v>
      </c>
      <c r="C770" s="8">
        <f>-PV(B770/100,$B$3,B769/100,1)</f>
        <v/>
      </c>
      <c r="D770" s="8">
        <f>B769/100/12+(C770-1)</f>
        <v/>
      </c>
      <c r="E770" s="8">
        <f>E769*(1+D770)</f>
        <v/>
      </c>
    </row>
    <row r="771">
      <c r="A771" s="8" t="inlineStr">
        <is>
          <t>1934-10-01</t>
        </is>
      </c>
      <c r="B771" s="6" t="n">
        <v>2.8725</v>
      </c>
      <c r="C771" s="8">
        <f>-PV(B771/100,$B$3,B770/100,1)</f>
        <v/>
      </c>
      <c r="D771" s="8">
        <f>B770/100/12+(C771-1)</f>
        <v/>
      </c>
      <c r="E771" s="8">
        <f>E770*(1+D771)</f>
        <v/>
      </c>
    </row>
    <row r="772">
      <c r="A772" s="8" t="inlineStr">
        <is>
          <t>1934-11-01</t>
        </is>
      </c>
      <c r="B772" s="6" t="n">
        <v>2.845</v>
      </c>
      <c r="C772" s="8">
        <f>-PV(B772/100,$B$3,B771/100,1)</f>
        <v/>
      </c>
      <c r="D772" s="8">
        <f>B771/100/12+(C772-1)</f>
        <v/>
      </c>
      <c r="E772" s="8">
        <f>E771*(1+D772)</f>
        <v/>
      </c>
    </row>
    <row r="773">
      <c r="A773" s="8" t="inlineStr">
        <is>
          <t>1934-12-01</t>
        </is>
      </c>
      <c r="B773" s="6" t="n">
        <v>2.8175</v>
      </c>
      <c r="C773" s="8">
        <f>-PV(B773/100,$B$3,B772/100,1)</f>
        <v/>
      </c>
      <c r="D773" s="8">
        <f>B772/100/12+(C773-1)</f>
        <v/>
      </c>
      <c r="E773" s="8">
        <f>E772*(1+D773)</f>
        <v/>
      </c>
    </row>
    <row r="774">
      <c r="A774" s="8" t="inlineStr">
        <is>
          <t>1935-01-01</t>
        </is>
      </c>
      <c r="B774" s="6" t="n">
        <v>2.79</v>
      </c>
      <c r="C774" s="8">
        <f>-PV(B774/100,$B$3,B773/100,1)</f>
        <v/>
      </c>
      <c r="D774" s="8">
        <f>B773/100/12+(C774-1)</f>
        <v/>
      </c>
      <c r="E774" s="8">
        <f>E773*(1+D774)</f>
        <v/>
      </c>
    </row>
    <row r="775">
      <c r="A775" s="8" t="inlineStr">
        <is>
          <t>1935-02-01</t>
        </is>
      </c>
      <c r="B775" s="6" t="n">
        <v>2.7783</v>
      </c>
      <c r="C775" s="8">
        <f>-PV(B775/100,$B$3,B774/100,1)</f>
        <v/>
      </c>
      <c r="D775" s="8">
        <f>B774/100/12+(C775-1)</f>
        <v/>
      </c>
      <c r="E775" s="8">
        <f>E774*(1+D775)</f>
        <v/>
      </c>
    </row>
    <row r="776">
      <c r="A776" s="8" t="inlineStr">
        <is>
          <t>1935-03-01</t>
        </is>
      </c>
      <c r="B776" s="6" t="n">
        <v>2.7667</v>
      </c>
      <c r="C776" s="8">
        <f>-PV(B776/100,$B$3,B775/100,1)</f>
        <v/>
      </c>
      <c r="D776" s="8">
        <f>B775/100/12+(C776-1)</f>
        <v/>
      </c>
      <c r="E776" s="8">
        <f>E775*(1+D776)</f>
        <v/>
      </c>
    </row>
    <row r="777">
      <c r="A777" s="8" t="inlineStr">
        <is>
          <t>1935-04-01</t>
        </is>
      </c>
      <c r="B777" s="6" t="n">
        <v>2.755</v>
      </c>
      <c r="C777" s="8">
        <f>-PV(B777/100,$B$3,B776/100,1)</f>
        <v/>
      </c>
      <c r="D777" s="8">
        <f>B776/100/12+(C777-1)</f>
        <v/>
      </c>
      <c r="E777" s="8">
        <f>E776*(1+D777)</f>
        <v/>
      </c>
    </row>
    <row r="778">
      <c r="A778" s="8" t="inlineStr">
        <is>
          <t>1935-05-01</t>
        </is>
      </c>
      <c r="B778" s="6" t="n">
        <v>2.7433</v>
      </c>
      <c r="C778" s="8">
        <f>-PV(B778/100,$B$3,B777/100,1)</f>
        <v/>
      </c>
      <c r="D778" s="8">
        <f>B777/100/12+(C778-1)</f>
        <v/>
      </c>
      <c r="E778" s="8">
        <f>E777*(1+D778)</f>
        <v/>
      </c>
    </row>
    <row r="779">
      <c r="A779" s="8" t="inlineStr">
        <is>
          <t>1935-06-01</t>
        </is>
      </c>
      <c r="B779" s="6" t="n">
        <v>2.7317</v>
      </c>
      <c r="C779" s="8">
        <f>-PV(B779/100,$B$3,B778/100,1)</f>
        <v/>
      </c>
      <c r="D779" s="8">
        <f>B778/100/12+(C779-1)</f>
        <v/>
      </c>
      <c r="E779" s="8">
        <f>E778*(1+D779)</f>
        <v/>
      </c>
    </row>
    <row r="780">
      <c r="A780" s="8" t="inlineStr">
        <is>
          <t>1935-07-01</t>
        </is>
      </c>
      <c r="B780" s="6" t="n">
        <v>2.72</v>
      </c>
      <c r="C780" s="8">
        <f>-PV(B780/100,$B$3,B779/100,1)</f>
        <v/>
      </c>
      <c r="D780" s="8">
        <f>B779/100/12+(C780-1)</f>
        <v/>
      </c>
      <c r="E780" s="8">
        <f>E779*(1+D780)</f>
        <v/>
      </c>
    </row>
    <row r="781">
      <c r="A781" s="8" t="inlineStr">
        <is>
          <t>1935-08-01</t>
        </is>
      </c>
      <c r="B781" s="6" t="n">
        <v>2.7083</v>
      </c>
      <c r="C781" s="8">
        <f>-PV(B781/100,$B$3,B780/100,1)</f>
        <v/>
      </c>
      <c r="D781" s="8">
        <f>B780/100/12+(C781-1)</f>
        <v/>
      </c>
      <c r="E781" s="8">
        <f>E780*(1+D781)</f>
        <v/>
      </c>
    </row>
    <row r="782">
      <c r="A782" s="8" t="inlineStr">
        <is>
          <t>1935-09-01</t>
        </is>
      </c>
      <c r="B782" s="6" t="n">
        <v>2.6967</v>
      </c>
      <c r="C782" s="8">
        <f>-PV(B782/100,$B$3,B781/100,1)</f>
        <v/>
      </c>
      <c r="D782" s="8">
        <f>B781/100/12+(C782-1)</f>
        <v/>
      </c>
      <c r="E782" s="8">
        <f>E781*(1+D782)</f>
        <v/>
      </c>
    </row>
    <row r="783">
      <c r="A783" s="8" t="inlineStr">
        <is>
          <t>1935-10-01</t>
        </is>
      </c>
      <c r="B783" s="6" t="n">
        <v>2.685</v>
      </c>
      <c r="C783" s="8">
        <f>-PV(B783/100,$B$3,B782/100,1)</f>
        <v/>
      </c>
      <c r="D783" s="8">
        <f>B782/100/12+(C783-1)</f>
        <v/>
      </c>
      <c r="E783" s="8">
        <f>E782*(1+D783)</f>
        <v/>
      </c>
    </row>
    <row r="784">
      <c r="A784" s="8" t="inlineStr">
        <is>
          <t>1935-11-01</t>
        </is>
      </c>
      <c r="B784" s="6" t="n">
        <v>2.6733</v>
      </c>
      <c r="C784" s="8">
        <f>-PV(B784/100,$B$3,B783/100,1)</f>
        <v/>
      </c>
      <c r="D784" s="8">
        <f>B783/100/12+(C784-1)</f>
        <v/>
      </c>
      <c r="E784" s="8">
        <f>E783*(1+D784)</f>
        <v/>
      </c>
    </row>
    <row r="785">
      <c r="A785" s="8" t="inlineStr">
        <is>
          <t>1935-12-01</t>
        </is>
      </c>
      <c r="B785" s="6" t="n">
        <v>2.6617</v>
      </c>
      <c r="C785" s="8">
        <f>-PV(B785/100,$B$3,B784/100,1)</f>
        <v/>
      </c>
      <c r="D785" s="8">
        <f>B784/100/12+(C785-1)</f>
        <v/>
      </c>
      <c r="E785" s="8">
        <f>E784*(1+D785)</f>
        <v/>
      </c>
    </row>
    <row r="786">
      <c r="A786" s="8" t="inlineStr">
        <is>
          <t>1936-01-01</t>
        </is>
      </c>
      <c r="B786" s="6" t="n">
        <v>2.65</v>
      </c>
      <c r="C786" s="8">
        <f>-PV(B786/100,$B$3,B785/100,1)</f>
        <v/>
      </c>
      <c r="D786" s="8">
        <f>B785/100/12+(C786-1)</f>
        <v/>
      </c>
      <c r="E786" s="8">
        <f>E785*(1+D786)</f>
        <v/>
      </c>
    </row>
    <row r="787">
      <c r="A787" s="8" t="inlineStr">
        <is>
          <t>1936-02-01</t>
        </is>
      </c>
      <c r="B787" s="6" t="n">
        <v>2.6525</v>
      </c>
      <c r="C787" s="8">
        <f>-PV(B787/100,$B$3,B786/100,1)</f>
        <v/>
      </c>
      <c r="D787" s="8">
        <f>B786/100/12+(C787-1)</f>
        <v/>
      </c>
      <c r="E787" s="8">
        <f>E786*(1+D787)</f>
        <v/>
      </c>
    </row>
    <row r="788">
      <c r="A788" s="8" t="inlineStr">
        <is>
          <t>1936-03-01</t>
        </is>
      </c>
      <c r="B788" s="6" t="n">
        <v>2.655</v>
      </c>
      <c r="C788" s="8">
        <f>-PV(B788/100,$B$3,B787/100,1)</f>
        <v/>
      </c>
      <c r="D788" s="8">
        <f>B787/100/12+(C788-1)</f>
        <v/>
      </c>
      <c r="E788" s="8">
        <f>E787*(1+D788)</f>
        <v/>
      </c>
    </row>
    <row r="789">
      <c r="A789" s="8" t="inlineStr">
        <is>
          <t>1936-04-01</t>
        </is>
      </c>
      <c r="B789" s="6" t="n">
        <v>2.6575</v>
      </c>
      <c r="C789" s="8">
        <f>-PV(B789/100,$B$3,B788/100,1)</f>
        <v/>
      </c>
      <c r="D789" s="8">
        <f>B788/100/12+(C789-1)</f>
        <v/>
      </c>
      <c r="E789" s="8">
        <f>E788*(1+D789)</f>
        <v/>
      </c>
    </row>
    <row r="790">
      <c r="A790" s="8" t="inlineStr">
        <is>
          <t>1936-05-01</t>
        </is>
      </c>
      <c r="B790" s="6" t="n">
        <v>2.66</v>
      </c>
      <c r="C790" s="8">
        <f>-PV(B790/100,$B$3,B789/100,1)</f>
        <v/>
      </c>
      <c r="D790" s="8">
        <f>B789/100/12+(C790-1)</f>
        <v/>
      </c>
      <c r="E790" s="8">
        <f>E789*(1+D790)</f>
        <v/>
      </c>
    </row>
    <row r="791">
      <c r="A791" s="8" t="inlineStr">
        <is>
          <t>1936-06-01</t>
        </is>
      </c>
      <c r="B791" s="6" t="n">
        <v>2.6625</v>
      </c>
      <c r="C791" s="8">
        <f>-PV(B791/100,$B$3,B790/100,1)</f>
        <v/>
      </c>
      <c r="D791" s="8">
        <f>B790/100/12+(C791-1)</f>
        <v/>
      </c>
      <c r="E791" s="8">
        <f>E790*(1+D791)</f>
        <v/>
      </c>
    </row>
    <row r="792">
      <c r="A792" s="8" t="inlineStr">
        <is>
          <t>1936-07-01</t>
        </is>
      </c>
      <c r="B792" s="6" t="n">
        <v>2.665</v>
      </c>
      <c r="C792" s="8">
        <f>-PV(B792/100,$B$3,B791/100,1)</f>
        <v/>
      </c>
      <c r="D792" s="8">
        <f>B791/100/12+(C792-1)</f>
        <v/>
      </c>
      <c r="E792" s="8">
        <f>E791*(1+D792)</f>
        <v/>
      </c>
    </row>
    <row r="793">
      <c r="A793" s="8" t="inlineStr">
        <is>
          <t>1936-08-01</t>
        </is>
      </c>
      <c r="B793" s="6" t="n">
        <v>2.6675</v>
      </c>
      <c r="C793" s="8">
        <f>-PV(B793/100,$B$3,B792/100,1)</f>
        <v/>
      </c>
      <c r="D793" s="8">
        <f>B792/100/12+(C793-1)</f>
        <v/>
      </c>
      <c r="E793" s="8">
        <f>E792*(1+D793)</f>
        <v/>
      </c>
    </row>
    <row r="794">
      <c r="A794" s="8" t="inlineStr">
        <is>
          <t>1936-09-01</t>
        </is>
      </c>
      <c r="B794" s="6" t="n">
        <v>2.67</v>
      </c>
      <c r="C794" s="8">
        <f>-PV(B794/100,$B$3,B793/100,1)</f>
        <v/>
      </c>
      <c r="D794" s="8">
        <f>B793/100/12+(C794-1)</f>
        <v/>
      </c>
      <c r="E794" s="8">
        <f>E793*(1+D794)</f>
        <v/>
      </c>
    </row>
    <row r="795">
      <c r="A795" s="8" t="inlineStr">
        <is>
          <t>1936-10-01</t>
        </is>
      </c>
      <c r="B795" s="6" t="n">
        <v>2.6725</v>
      </c>
      <c r="C795" s="8">
        <f>-PV(B795/100,$B$3,B794/100,1)</f>
        <v/>
      </c>
      <c r="D795" s="8">
        <f>B794/100/12+(C795-1)</f>
        <v/>
      </c>
      <c r="E795" s="8">
        <f>E794*(1+D795)</f>
        <v/>
      </c>
    </row>
    <row r="796">
      <c r="A796" s="8" t="inlineStr">
        <is>
          <t>1936-11-01</t>
        </is>
      </c>
      <c r="B796" s="6" t="n">
        <v>2.675</v>
      </c>
      <c r="C796" s="8">
        <f>-PV(B796/100,$B$3,B795/100,1)</f>
        <v/>
      </c>
      <c r="D796" s="8">
        <f>B795/100/12+(C796-1)</f>
        <v/>
      </c>
      <c r="E796" s="8">
        <f>E795*(1+D796)</f>
        <v/>
      </c>
    </row>
    <row r="797">
      <c r="A797" s="8" t="inlineStr">
        <is>
          <t>1936-12-01</t>
        </is>
      </c>
      <c r="B797" s="6" t="n">
        <v>2.6775</v>
      </c>
      <c r="C797" s="8">
        <f>-PV(B797/100,$B$3,B796/100,1)</f>
        <v/>
      </c>
      <c r="D797" s="8">
        <f>B796/100/12+(C797-1)</f>
        <v/>
      </c>
      <c r="E797" s="8">
        <f>E796*(1+D797)</f>
        <v/>
      </c>
    </row>
    <row r="798">
      <c r="A798" s="8" t="inlineStr">
        <is>
          <t>1937-01-01</t>
        </is>
      </c>
      <c r="B798" s="6" t="n">
        <v>2.68</v>
      </c>
      <c r="C798" s="8">
        <f>-PV(B798/100,$B$3,B797/100,1)</f>
        <v/>
      </c>
      <c r="D798" s="8">
        <f>B797/100/12+(C798-1)</f>
        <v/>
      </c>
      <c r="E798" s="8">
        <f>E797*(1+D798)</f>
        <v/>
      </c>
    </row>
    <row r="799">
      <c r="A799" s="8" t="inlineStr">
        <is>
          <t>1937-02-01</t>
        </is>
      </c>
      <c r="B799" s="6" t="n">
        <v>2.67</v>
      </c>
      <c r="C799" s="8">
        <f>-PV(B799/100,$B$3,B798/100,1)</f>
        <v/>
      </c>
      <c r="D799" s="8">
        <f>B798/100/12+(C799-1)</f>
        <v/>
      </c>
      <c r="E799" s="8">
        <f>E798*(1+D799)</f>
        <v/>
      </c>
    </row>
    <row r="800">
      <c r="A800" s="8" t="inlineStr">
        <is>
          <t>1937-03-01</t>
        </is>
      </c>
      <c r="B800" s="6" t="n">
        <v>2.66</v>
      </c>
      <c r="C800" s="8">
        <f>-PV(B800/100,$B$3,B799/100,1)</f>
        <v/>
      </c>
      <c r="D800" s="8">
        <f>B799/100/12+(C800-1)</f>
        <v/>
      </c>
      <c r="E800" s="8">
        <f>E799*(1+D800)</f>
        <v/>
      </c>
    </row>
    <row r="801">
      <c r="A801" s="8" t="inlineStr">
        <is>
          <t>1937-04-01</t>
        </is>
      </c>
      <c r="B801" s="6" t="n">
        <v>2.65</v>
      </c>
      <c r="C801" s="8">
        <f>-PV(B801/100,$B$3,B800/100,1)</f>
        <v/>
      </c>
      <c r="D801" s="8">
        <f>B800/100/12+(C801-1)</f>
        <v/>
      </c>
      <c r="E801" s="8">
        <f>E800*(1+D801)</f>
        <v/>
      </c>
    </row>
    <row r="802">
      <c r="A802" s="8" t="inlineStr">
        <is>
          <t>1937-05-01</t>
        </is>
      </c>
      <c r="B802" s="6" t="n">
        <v>2.64</v>
      </c>
      <c r="C802" s="8">
        <f>-PV(B802/100,$B$3,B801/100,1)</f>
        <v/>
      </c>
      <c r="D802" s="8">
        <f>B801/100/12+(C802-1)</f>
        <v/>
      </c>
      <c r="E802" s="8">
        <f>E801*(1+D802)</f>
        <v/>
      </c>
    </row>
    <row r="803">
      <c r="A803" s="8" t="inlineStr">
        <is>
          <t>1937-06-01</t>
        </is>
      </c>
      <c r="B803" s="6" t="n">
        <v>2.63</v>
      </c>
      <c r="C803" s="8">
        <f>-PV(B803/100,$B$3,B802/100,1)</f>
        <v/>
      </c>
      <c r="D803" s="8">
        <f>B802/100/12+(C803-1)</f>
        <v/>
      </c>
      <c r="E803" s="8">
        <f>E802*(1+D803)</f>
        <v/>
      </c>
    </row>
    <row r="804">
      <c r="A804" s="8" t="inlineStr">
        <is>
          <t>1937-07-01</t>
        </is>
      </c>
      <c r="B804" s="6" t="n">
        <v>2.62</v>
      </c>
      <c r="C804" s="8">
        <f>-PV(B804/100,$B$3,B803/100,1)</f>
        <v/>
      </c>
      <c r="D804" s="8">
        <f>B803/100/12+(C804-1)</f>
        <v/>
      </c>
      <c r="E804" s="8">
        <f>E803*(1+D804)</f>
        <v/>
      </c>
    </row>
    <row r="805">
      <c r="A805" s="8" t="inlineStr">
        <is>
          <t>1937-08-01</t>
        </is>
      </c>
      <c r="B805" s="6" t="n">
        <v>2.61</v>
      </c>
      <c r="C805" s="8">
        <f>-PV(B805/100,$B$3,B804/100,1)</f>
        <v/>
      </c>
      <c r="D805" s="8">
        <f>B804/100/12+(C805-1)</f>
        <v/>
      </c>
      <c r="E805" s="8">
        <f>E804*(1+D805)</f>
        <v/>
      </c>
    </row>
    <row r="806">
      <c r="A806" s="8" t="inlineStr">
        <is>
          <t>1937-09-01</t>
        </is>
      </c>
      <c r="B806" s="6" t="n">
        <v>2.6</v>
      </c>
      <c r="C806" s="8">
        <f>-PV(B806/100,$B$3,B805/100,1)</f>
        <v/>
      </c>
      <c r="D806" s="8">
        <f>B805/100/12+(C806-1)</f>
        <v/>
      </c>
      <c r="E806" s="8">
        <f>E805*(1+D806)</f>
        <v/>
      </c>
    </row>
    <row r="807">
      <c r="A807" s="8" t="inlineStr">
        <is>
          <t>1937-10-01</t>
        </is>
      </c>
      <c r="B807" s="6" t="n">
        <v>2.59</v>
      </c>
      <c r="C807" s="8">
        <f>-PV(B807/100,$B$3,B806/100,1)</f>
        <v/>
      </c>
      <c r="D807" s="8">
        <f>B806/100/12+(C807-1)</f>
        <v/>
      </c>
      <c r="E807" s="8">
        <f>E806*(1+D807)</f>
        <v/>
      </c>
    </row>
    <row r="808">
      <c r="A808" s="8" t="inlineStr">
        <is>
          <t>1937-11-01</t>
        </is>
      </c>
      <c r="B808" s="6" t="n">
        <v>2.58</v>
      </c>
      <c r="C808" s="8">
        <f>-PV(B808/100,$B$3,B807/100,1)</f>
        <v/>
      </c>
      <c r="D808" s="8">
        <f>B807/100/12+(C808-1)</f>
        <v/>
      </c>
      <c r="E808" s="8">
        <f>E807*(1+D808)</f>
        <v/>
      </c>
    </row>
    <row r="809">
      <c r="A809" s="8" t="inlineStr">
        <is>
          <t>1937-12-01</t>
        </is>
      </c>
      <c r="B809" s="6" t="n">
        <v>2.57</v>
      </c>
      <c r="C809" s="8">
        <f>-PV(B809/100,$B$3,B808/100,1)</f>
        <v/>
      </c>
      <c r="D809" s="8">
        <f>B808/100/12+(C809-1)</f>
        <v/>
      </c>
      <c r="E809" s="8">
        <f>E808*(1+D809)</f>
        <v/>
      </c>
    </row>
    <row r="810">
      <c r="A810" s="8" t="inlineStr">
        <is>
          <t>1938-01-01</t>
        </is>
      </c>
      <c r="B810" s="6" t="n">
        <v>2.56</v>
      </c>
      <c r="C810" s="8">
        <f>-PV(B810/100,$B$3,B809/100,1)</f>
        <v/>
      </c>
      <c r="D810" s="8">
        <f>B809/100/12+(C810-1)</f>
        <v/>
      </c>
      <c r="E810" s="8">
        <f>E809*(1+D810)</f>
        <v/>
      </c>
    </row>
    <row r="811">
      <c r="A811" s="8" t="inlineStr">
        <is>
          <t>1938-02-01</t>
        </is>
      </c>
      <c r="B811" s="6" t="n">
        <v>2.5433</v>
      </c>
      <c r="C811" s="8">
        <f>-PV(B811/100,$B$3,B810/100,1)</f>
        <v/>
      </c>
      <c r="D811" s="8">
        <f>B810/100/12+(C811-1)</f>
        <v/>
      </c>
      <c r="E811" s="8">
        <f>E810*(1+D811)</f>
        <v/>
      </c>
    </row>
    <row r="812">
      <c r="A812" s="8" t="inlineStr">
        <is>
          <t>1938-03-01</t>
        </is>
      </c>
      <c r="B812" s="6" t="n">
        <v>2.5267</v>
      </c>
      <c r="C812" s="8">
        <f>-PV(B812/100,$B$3,B811/100,1)</f>
        <v/>
      </c>
      <c r="D812" s="8">
        <f>B811/100/12+(C812-1)</f>
        <v/>
      </c>
      <c r="E812" s="8">
        <f>E811*(1+D812)</f>
        <v/>
      </c>
    </row>
    <row r="813">
      <c r="A813" s="8" t="inlineStr">
        <is>
          <t>1938-04-01</t>
        </is>
      </c>
      <c r="B813" s="6" t="n">
        <v>2.51</v>
      </c>
      <c r="C813" s="8">
        <f>-PV(B813/100,$B$3,B812/100,1)</f>
        <v/>
      </c>
      <c r="D813" s="8">
        <f>B812/100/12+(C813-1)</f>
        <v/>
      </c>
      <c r="E813" s="8">
        <f>E812*(1+D813)</f>
        <v/>
      </c>
    </row>
    <row r="814">
      <c r="A814" s="8" t="inlineStr">
        <is>
          <t>1938-05-01</t>
        </is>
      </c>
      <c r="B814" s="6" t="n">
        <v>2.4933</v>
      </c>
      <c r="C814" s="8">
        <f>-PV(B814/100,$B$3,B813/100,1)</f>
        <v/>
      </c>
      <c r="D814" s="8">
        <f>B813/100/12+(C814-1)</f>
        <v/>
      </c>
      <c r="E814" s="8">
        <f>E813*(1+D814)</f>
        <v/>
      </c>
    </row>
    <row r="815">
      <c r="A815" s="8" t="inlineStr">
        <is>
          <t>1938-06-01</t>
        </is>
      </c>
      <c r="B815" s="6" t="n">
        <v>2.4767</v>
      </c>
      <c r="C815" s="8">
        <f>-PV(B815/100,$B$3,B814/100,1)</f>
        <v/>
      </c>
      <c r="D815" s="8">
        <f>B814/100/12+(C815-1)</f>
        <v/>
      </c>
      <c r="E815" s="8">
        <f>E814*(1+D815)</f>
        <v/>
      </c>
    </row>
    <row r="816">
      <c r="A816" s="8" t="inlineStr">
        <is>
          <t>1938-07-01</t>
        </is>
      </c>
      <c r="B816" s="6" t="n">
        <v>2.46</v>
      </c>
      <c r="C816" s="8">
        <f>-PV(B816/100,$B$3,B815/100,1)</f>
        <v/>
      </c>
      <c r="D816" s="8">
        <f>B815/100/12+(C816-1)</f>
        <v/>
      </c>
      <c r="E816" s="8">
        <f>E815*(1+D816)</f>
        <v/>
      </c>
    </row>
    <row r="817">
      <c r="A817" s="8" t="inlineStr">
        <is>
          <t>1938-08-01</t>
        </is>
      </c>
      <c r="B817" s="6" t="n">
        <v>2.4433</v>
      </c>
      <c r="C817" s="8">
        <f>-PV(B817/100,$B$3,B816/100,1)</f>
        <v/>
      </c>
      <c r="D817" s="8">
        <f>B816/100/12+(C817-1)</f>
        <v/>
      </c>
      <c r="E817" s="8">
        <f>E816*(1+D817)</f>
        <v/>
      </c>
    </row>
    <row r="818">
      <c r="A818" s="8" t="inlineStr">
        <is>
          <t>1938-09-01</t>
        </is>
      </c>
      <c r="B818" s="6" t="n">
        <v>2.4267</v>
      </c>
      <c r="C818" s="8">
        <f>-PV(B818/100,$B$3,B817/100,1)</f>
        <v/>
      </c>
      <c r="D818" s="8">
        <f>B817/100/12+(C818-1)</f>
        <v/>
      </c>
      <c r="E818" s="8">
        <f>E817*(1+D818)</f>
        <v/>
      </c>
    </row>
    <row r="819">
      <c r="A819" s="8" t="inlineStr">
        <is>
          <t>1938-10-01</t>
        </is>
      </c>
      <c r="B819" s="6" t="n">
        <v>2.41</v>
      </c>
      <c r="C819" s="8">
        <f>-PV(B819/100,$B$3,B818/100,1)</f>
        <v/>
      </c>
      <c r="D819" s="8">
        <f>B818/100/12+(C819-1)</f>
        <v/>
      </c>
      <c r="E819" s="8">
        <f>E818*(1+D819)</f>
        <v/>
      </c>
    </row>
    <row r="820">
      <c r="A820" s="8" t="inlineStr">
        <is>
          <t>1938-11-01</t>
        </is>
      </c>
      <c r="B820" s="6" t="n">
        <v>2.3933</v>
      </c>
      <c r="C820" s="8">
        <f>-PV(B820/100,$B$3,B819/100,1)</f>
        <v/>
      </c>
      <c r="D820" s="8">
        <f>B819/100/12+(C820-1)</f>
        <v/>
      </c>
      <c r="E820" s="8">
        <f>E819*(1+D820)</f>
        <v/>
      </c>
    </row>
    <row r="821">
      <c r="A821" s="8" t="inlineStr">
        <is>
          <t>1938-12-01</t>
        </is>
      </c>
      <c r="B821" s="6" t="n">
        <v>2.3767</v>
      </c>
      <c r="C821" s="8">
        <f>-PV(B821/100,$B$3,B820/100,1)</f>
        <v/>
      </c>
      <c r="D821" s="8">
        <f>B820/100/12+(C821-1)</f>
        <v/>
      </c>
      <c r="E821" s="8">
        <f>E820*(1+D821)</f>
        <v/>
      </c>
    </row>
    <row r="822">
      <c r="A822" s="8" t="inlineStr">
        <is>
          <t>1939-01-01</t>
        </is>
      </c>
      <c r="B822" s="6" t="n">
        <v>2.36</v>
      </c>
      <c r="C822" s="8">
        <f>-PV(B822/100,$B$3,B821/100,1)</f>
        <v/>
      </c>
      <c r="D822" s="8">
        <f>B821/100/12+(C822-1)</f>
        <v/>
      </c>
      <c r="E822" s="8">
        <f>E821*(1+D822)</f>
        <v/>
      </c>
    </row>
    <row r="823">
      <c r="A823" s="8" t="inlineStr">
        <is>
          <t>1939-02-01</t>
        </is>
      </c>
      <c r="B823" s="6" t="n">
        <v>2.3475</v>
      </c>
      <c r="C823" s="8">
        <f>-PV(B823/100,$B$3,B822/100,1)</f>
        <v/>
      </c>
      <c r="D823" s="8">
        <f>B822/100/12+(C823-1)</f>
        <v/>
      </c>
      <c r="E823" s="8">
        <f>E822*(1+D823)</f>
        <v/>
      </c>
    </row>
    <row r="824">
      <c r="A824" s="8" t="inlineStr">
        <is>
          <t>1939-03-01</t>
        </is>
      </c>
      <c r="B824" s="6" t="n">
        <v>2.335</v>
      </c>
      <c r="C824" s="8">
        <f>-PV(B824/100,$B$3,B823/100,1)</f>
        <v/>
      </c>
      <c r="D824" s="8">
        <f>B823/100/12+(C824-1)</f>
        <v/>
      </c>
      <c r="E824" s="8">
        <f>E823*(1+D824)</f>
        <v/>
      </c>
    </row>
    <row r="825">
      <c r="A825" s="8" t="inlineStr">
        <is>
          <t>1939-04-01</t>
        </is>
      </c>
      <c r="B825" s="6" t="n">
        <v>2.3225</v>
      </c>
      <c r="C825" s="8">
        <f>-PV(B825/100,$B$3,B824/100,1)</f>
        <v/>
      </c>
      <c r="D825" s="8">
        <f>B824/100/12+(C825-1)</f>
        <v/>
      </c>
      <c r="E825" s="8">
        <f>E824*(1+D825)</f>
        <v/>
      </c>
    </row>
    <row r="826">
      <c r="A826" s="8" t="inlineStr">
        <is>
          <t>1939-05-01</t>
        </is>
      </c>
      <c r="B826" s="6" t="n">
        <v>2.31</v>
      </c>
      <c r="C826" s="8">
        <f>-PV(B826/100,$B$3,B825/100,1)</f>
        <v/>
      </c>
      <c r="D826" s="8">
        <f>B825/100/12+(C826-1)</f>
        <v/>
      </c>
      <c r="E826" s="8">
        <f>E825*(1+D826)</f>
        <v/>
      </c>
    </row>
    <row r="827">
      <c r="A827" s="8" t="inlineStr">
        <is>
          <t>1939-06-01</t>
        </is>
      </c>
      <c r="B827" s="6" t="n">
        <v>2.2975</v>
      </c>
      <c r="C827" s="8">
        <f>-PV(B827/100,$B$3,B826/100,1)</f>
        <v/>
      </c>
      <c r="D827" s="8">
        <f>B826/100/12+(C827-1)</f>
        <v/>
      </c>
      <c r="E827" s="8">
        <f>E826*(1+D827)</f>
        <v/>
      </c>
    </row>
    <row r="828">
      <c r="A828" s="8" t="inlineStr">
        <is>
          <t>1939-07-01</t>
        </is>
      </c>
      <c r="B828" s="6" t="n">
        <v>2.285</v>
      </c>
      <c r="C828" s="8">
        <f>-PV(B828/100,$B$3,B827/100,1)</f>
        <v/>
      </c>
      <c r="D828" s="8">
        <f>B827/100/12+(C828-1)</f>
        <v/>
      </c>
      <c r="E828" s="8">
        <f>E827*(1+D828)</f>
        <v/>
      </c>
    </row>
    <row r="829">
      <c r="A829" s="8" t="inlineStr">
        <is>
          <t>1939-08-01</t>
        </is>
      </c>
      <c r="B829" s="6" t="n">
        <v>2.2725</v>
      </c>
      <c r="C829" s="8">
        <f>-PV(B829/100,$B$3,B828/100,1)</f>
        <v/>
      </c>
      <c r="D829" s="8">
        <f>B828/100/12+(C829-1)</f>
        <v/>
      </c>
      <c r="E829" s="8">
        <f>E828*(1+D829)</f>
        <v/>
      </c>
    </row>
    <row r="830">
      <c r="A830" s="8" t="inlineStr">
        <is>
          <t>1939-09-01</t>
        </is>
      </c>
      <c r="B830" s="6" t="n">
        <v>2.26</v>
      </c>
      <c r="C830" s="8">
        <f>-PV(B830/100,$B$3,B829/100,1)</f>
        <v/>
      </c>
      <c r="D830" s="8">
        <f>B829/100/12+(C830-1)</f>
        <v/>
      </c>
      <c r="E830" s="8">
        <f>E829*(1+D830)</f>
        <v/>
      </c>
    </row>
    <row r="831">
      <c r="A831" s="8" t="inlineStr">
        <is>
          <t>1939-10-01</t>
        </is>
      </c>
      <c r="B831" s="6" t="n">
        <v>2.2475</v>
      </c>
      <c r="C831" s="8">
        <f>-PV(B831/100,$B$3,B830/100,1)</f>
        <v/>
      </c>
      <c r="D831" s="8">
        <f>B830/100/12+(C831-1)</f>
        <v/>
      </c>
      <c r="E831" s="8">
        <f>E830*(1+D831)</f>
        <v/>
      </c>
    </row>
    <row r="832">
      <c r="A832" s="8" t="inlineStr">
        <is>
          <t>1939-11-01</t>
        </is>
      </c>
      <c r="B832" s="6" t="n">
        <v>2.235</v>
      </c>
      <c r="C832" s="8">
        <f>-PV(B832/100,$B$3,B831/100,1)</f>
        <v/>
      </c>
      <c r="D832" s="8">
        <f>B831/100/12+(C832-1)</f>
        <v/>
      </c>
      <c r="E832" s="8">
        <f>E831*(1+D832)</f>
        <v/>
      </c>
    </row>
    <row r="833">
      <c r="A833" s="8" t="inlineStr">
        <is>
          <t>1939-12-01</t>
        </is>
      </c>
      <c r="B833" s="6" t="n">
        <v>2.2225</v>
      </c>
      <c r="C833" s="8">
        <f>-PV(B833/100,$B$3,B832/100,1)</f>
        <v/>
      </c>
      <c r="D833" s="8">
        <f>B832/100/12+(C833-1)</f>
        <v/>
      </c>
      <c r="E833" s="8">
        <f>E832*(1+D833)</f>
        <v/>
      </c>
    </row>
    <row r="834">
      <c r="A834" s="8" t="inlineStr">
        <is>
          <t>1940-01-01</t>
        </is>
      </c>
      <c r="B834" s="6" t="n">
        <v>2.21</v>
      </c>
      <c r="C834" s="8">
        <f>-PV(B834/100,$B$3,B833/100,1)</f>
        <v/>
      </c>
      <c r="D834" s="8">
        <f>B833/100/12+(C834-1)</f>
        <v/>
      </c>
      <c r="E834" s="8">
        <f>E833*(1+D834)</f>
        <v/>
      </c>
    </row>
    <row r="835">
      <c r="A835" s="8" t="inlineStr">
        <is>
          <t>1940-02-01</t>
        </is>
      </c>
      <c r="B835" s="6" t="n">
        <v>2.1883</v>
      </c>
      <c r="C835" s="8">
        <f>-PV(B835/100,$B$3,B834/100,1)</f>
        <v/>
      </c>
      <c r="D835" s="8">
        <f>B834/100/12+(C835-1)</f>
        <v/>
      </c>
      <c r="E835" s="8">
        <f>E834*(1+D835)</f>
        <v/>
      </c>
    </row>
    <row r="836">
      <c r="A836" s="8" t="inlineStr">
        <is>
          <t>1940-03-01</t>
        </is>
      </c>
      <c r="B836" s="6" t="n">
        <v>2.1667</v>
      </c>
      <c r="C836" s="8">
        <f>-PV(B836/100,$B$3,B835/100,1)</f>
        <v/>
      </c>
      <c r="D836" s="8">
        <f>B835/100/12+(C836-1)</f>
        <v/>
      </c>
      <c r="E836" s="8">
        <f>E835*(1+D836)</f>
        <v/>
      </c>
    </row>
    <row r="837">
      <c r="A837" s="8" t="inlineStr">
        <is>
          <t>1940-04-01</t>
        </is>
      </c>
      <c r="B837" s="6" t="n">
        <v>2.145</v>
      </c>
      <c r="C837" s="8">
        <f>-PV(B837/100,$B$3,B836/100,1)</f>
        <v/>
      </c>
      <c r="D837" s="8">
        <f>B836/100/12+(C837-1)</f>
        <v/>
      </c>
      <c r="E837" s="8">
        <f>E836*(1+D837)</f>
        <v/>
      </c>
    </row>
    <row r="838">
      <c r="A838" s="8" t="inlineStr">
        <is>
          <t>1940-05-01</t>
        </is>
      </c>
      <c r="B838" s="6" t="n">
        <v>2.1233</v>
      </c>
      <c r="C838" s="8">
        <f>-PV(B838/100,$B$3,B837/100,1)</f>
        <v/>
      </c>
      <c r="D838" s="8">
        <f>B837/100/12+(C838-1)</f>
        <v/>
      </c>
      <c r="E838" s="8">
        <f>E837*(1+D838)</f>
        <v/>
      </c>
    </row>
    <row r="839">
      <c r="A839" s="8" t="inlineStr">
        <is>
          <t>1940-06-01</t>
        </is>
      </c>
      <c r="B839" s="6" t="n">
        <v>2.1017</v>
      </c>
      <c r="C839" s="8">
        <f>-PV(B839/100,$B$3,B838/100,1)</f>
        <v/>
      </c>
      <c r="D839" s="8">
        <f>B838/100/12+(C839-1)</f>
        <v/>
      </c>
      <c r="E839" s="8">
        <f>E838*(1+D839)</f>
        <v/>
      </c>
    </row>
    <row r="840">
      <c r="A840" s="8" t="inlineStr">
        <is>
          <t>1940-07-01</t>
        </is>
      </c>
      <c r="B840" s="6" t="n">
        <v>2.08</v>
      </c>
      <c r="C840" s="8">
        <f>-PV(B840/100,$B$3,B839/100,1)</f>
        <v/>
      </c>
      <c r="D840" s="8">
        <f>B839/100/12+(C840-1)</f>
        <v/>
      </c>
      <c r="E840" s="8">
        <f>E839*(1+D840)</f>
        <v/>
      </c>
    </row>
    <row r="841">
      <c r="A841" s="8" t="inlineStr">
        <is>
          <t>1940-08-01</t>
        </is>
      </c>
      <c r="B841" s="6" t="n">
        <v>2.0583</v>
      </c>
      <c r="C841" s="8">
        <f>-PV(B841/100,$B$3,B840/100,1)</f>
        <v/>
      </c>
      <c r="D841" s="8">
        <f>B840/100/12+(C841-1)</f>
        <v/>
      </c>
      <c r="E841" s="8">
        <f>E840*(1+D841)</f>
        <v/>
      </c>
    </row>
    <row r="842">
      <c r="A842" s="8" t="inlineStr">
        <is>
          <t>1940-09-01</t>
        </is>
      </c>
      <c r="B842" s="6" t="n">
        <v>2.0367</v>
      </c>
      <c r="C842" s="8">
        <f>-PV(B842/100,$B$3,B841/100,1)</f>
        <v/>
      </c>
      <c r="D842" s="8">
        <f>B841/100/12+(C842-1)</f>
        <v/>
      </c>
      <c r="E842" s="8">
        <f>E841*(1+D842)</f>
        <v/>
      </c>
    </row>
    <row r="843">
      <c r="A843" s="8" t="inlineStr">
        <is>
          <t>1940-10-01</t>
        </is>
      </c>
      <c r="B843" s="6" t="n">
        <v>2.015</v>
      </c>
      <c r="C843" s="8">
        <f>-PV(B843/100,$B$3,B842/100,1)</f>
        <v/>
      </c>
      <c r="D843" s="8">
        <f>B842/100/12+(C843-1)</f>
        <v/>
      </c>
      <c r="E843" s="8">
        <f>E842*(1+D843)</f>
        <v/>
      </c>
    </row>
    <row r="844">
      <c r="A844" s="8" t="inlineStr">
        <is>
          <t>1940-11-01</t>
        </is>
      </c>
      <c r="B844" s="6" t="n">
        <v>1.9933</v>
      </c>
      <c r="C844" s="8">
        <f>-PV(B844/100,$B$3,B843/100,1)</f>
        <v/>
      </c>
      <c r="D844" s="8">
        <f>B843/100/12+(C844-1)</f>
        <v/>
      </c>
      <c r="E844" s="8">
        <f>E843*(1+D844)</f>
        <v/>
      </c>
    </row>
    <row r="845">
      <c r="A845" s="8" t="inlineStr">
        <is>
          <t>1940-12-01</t>
        </is>
      </c>
      <c r="B845" s="6" t="n">
        <v>1.9717</v>
      </c>
      <c r="C845" s="8">
        <f>-PV(B845/100,$B$3,B844/100,1)</f>
        <v/>
      </c>
      <c r="D845" s="8">
        <f>B844/100/12+(C845-1)</f>
        <v/>
      </c>
      <c r="E845" s="8">
        <f>E844*(1+D845)</f>
        <v/>
      </c>
    </row>
    <row r="846">
      <c r="A846" s="8" t="inlineStr">
        <is>
          <t>1941-01-01</t>
        </is>
      </c>
      <c r="B846" s="6" t="n">
        <v>1.95</v>
      </c>
      <c r="C846" s="8">
        <f>-PV(B846/100,$B$3,B845/100,1)</f>
        <v/>
      </c>
      <c r="D846" s="8">
        <f>B845/100/12+(C846-1)</f>
        <v/>
      </c>
      <c r="E846" s="8">
        <f>E845*(1+D846)</f>
        <v/>
      </c>
    </row>
    <row r="847">
      <c r="A847" s="8" t="inlineStr">
        <is>
          <t>1941-02-01</t>
        </is>
      </c>
      <c r="B847" s="6" t="n">
        <v>1.9925</v>
      </c>
      <c r="C847" s="8">
        <f>-PV(B847/100,$B$3,B846/100,1)</f>
        <v/>
      </c>
      <c r="D847" s="8">
        <f>B846/100/12+(C847-1)</f>
        <v/>
      </c>
      <c r="E847" s="8">
        <f>E846*(1+D847)</f>
        <v/>
      </c>
    </row>
    <row r="848">
      <c r="A848" s="8" t="inlineStr">
        <is>
          <t>1941-03-01</t>
        </is>
      </c>
      <c r="B848" s="6" t="n">
        <v>2.035</v>
      </c>
      <c r="C848" s="8">
        <f>-PV(B848/100,$B$3,B847/100,1)</f>
        <v/>
      </c>
      <c r="D848" s="8">
        <f>B847/100/12+(C848-1)</f>
        <v/>
      </c>
      <c r="E848" s="8">
        <f>E847*(1+D848)</f>
        <v/>
      </c>
    </row>
    <row r="849">
      <c r="A849" s="8" t="inlineStr">
        <is>
          <t>1941-04-01</t>
        </is>
      </c>
      <c r="B849" s="6" t="n">
        <v>2.0775</v>
      </c>
      <c r="C849" s="8">
        <f>-PV(B849/100,$B$3,B848/100,1)</f>
        <v/>
      </c>
      <c r="D849" s="8">
        <f>B848/100/12+(C849-1)</f>
        <v/>
      </c>
      <c r="E849" s="8">
        <f>E848*(1+D849)</f>
        <v/>
      </c>
    </row>
    <row r="850">
      <c r="A850" s="8" t="inlineStr">
        <is>
          <t>1941-05-01</t>
        </is>
      </c>
      <c r="B850" s="6" t="n">
        <v>2.12</v>
      </c>
      <c r="C850" s="8">
        <f>-PV(B850/100,$B$3,B849/100,1)</f>
        <v/>
      </c>
      <c r="D850" s="8">
        <f>B849/100/12+(C850-1)</f>
        <v/>
      </c>
      <c r="E850" s="8">
        <f>E849*(1+D850)</f>
        <v/>
      </c>
    </row>
    <row r="851">
      <c r="A851" s="8" t="inlineStr">
        <is>
          <t>1941-06-01</t>
        </is>
      </c>
      <c r="B851" s="6" t="n">
        <v>2.1625</v>
      </c>
      <c r="C851" s="8">
        <f>-PV(B851/100,$B$3,B850/100,1)</f>
        <v/>
      </c>
      <c r="D851" s="8">
        <f>B850/100/12+(C851-1)</f>
        <v/>
      </c>
      <c r="E851" s="8">
        <f>E850*(1+D851)</f>
        <v/>
      </c>
    </row>
    <row r="852">
      <c r="A852" s="8" t="inlineStr">
        <is>
          <t>1941-07-01</t>
        </is>
      </c>
      <c r="B852" s="6" t="n">
        <v>2.205</v>
      </c>
      <c r="C852" s="8">
        <f>-PV(B852/100,$B$3,B851/100,1)</f>
        <v/>
      </c>
      <c r="D852" s="8">
        <f>B851/100/12+(C852-1)</f>
        <v/>
      </c>
      <c r="E852" s="8">
        <f>E851*(1+D852)</f>
        <v/>
      </c>
    </row>
    <row r="853">
      <c r="A853" s="8" t="inlineStr">
        <is>
          <t>1941-08-01</t>
        </is>
      </c>
      <c r="B853" s="6" t="n">
        <v>2.2475</v>
      </c>
      <c r="C853" s="8">
        <f>-PV(B853/100,$B$3,B852/100,1)</f>
        <v/>
      </c>
      <c r="D853" s="8">
        <f>B852/100/12+(C853-1)</f>
        <v/>
      </c>
      <c r="E853" s="8">
        <f>E852*(1+D853)</f>
        <v/>
      </c>
    </row>
    <row r="854">
      <c r="A854" s="8" t="inlineStr">
        <is>
          <t>1941-09-01</t>
        </is>
      </c>
      <c r="B854" s="6" t="n">
        <v>2.29</v>
      </c>
      <c r="C854" s="8">
        <f>-PV(B854/100,$B$3,B853/100,1)</f>
        <v/>
      </c>
      <c r="D854" s="8">
        <f>B853/100/12+(C854-1)</f>
        <v/>
      </c>
      <c r="E854" s="8">
        <f>E853*(1+D854)</f>
        <v/>
      </c>
    </row>
    <row r="855">
      <c r="A855" s="8" t="inlineStr">
        <is>
          <t>1941-10-01</t>
        </is>
      </c>
      <c r="B855" s="6" t="n">
        <v>2.3325</v>
      </c>
      <c r="C855" s="8">
        <f>-PV(B855/100,$B$3,B854/100,1)</f>
        <v/>
      </c>
      <c r="D855" s="8">
        <f>B854/100/12+(C855-1)</f>
        <v/>
      </c>
      <c r="E855" s="8">
        <f>E854*(1+D855)</f>
        <v/>
      </c>
    </row>
    <row r="856">
      <c r="A856" s="8" t="inlineStr">
        <is>
          <t>1941-11-01</t>
        </is>
      </c>
      <c r="B856" s="6" t="n">
        <v>2.375</v>
      </c>
      <c r="C856" s="8">
        <f>-PV(B856/100,$B$3,B855/100,1)</f>
        <v/>
      </c>
      <c r="D856" s="8">
        <f>B855/100/12+(C856-1)</f>
        <v/>
      </c>
      <c r="E856" s="8">
        <f>E855*(1+D856)</f>
        <v/>
      </c>
    </row>
    <row r="857">
      <c r="A857" s="8" t="inlineStr">
        <is>
          <t>1941-12-01</t>
        </is>
      </c>
      <c r="B857" s="6" t="n">
        <v>2.4175</v>
      </c>
      <c r="C857" s="8">
        <f>-PV(B857/100,$B$3,B856/100,1)</f>
        <v/>
      </c>
      <c r="D857" s="8">
        <f>B856/100/12+(C857-1)</f>
        <v/>
      </c>
      <c r="E857" s="8">
        <f>E856*(1+D857)</f>
        <v/>
      </c>
    </row>
    <row r="858">
      <c r="A858" s="8" t="inlineStr">
        <is>
          <t>1942-01-01</t>
        </is>
      </c>
      <c r="B858" s="6" t="n">
        <v>2.46</v>
      </c>
      <c r="C858" s="8">
        <f>-PV(B858/100,$B$3,B857/100,1)</f>
        <v/>
      </c>
      <c r="D858" s="8">
        <f>B857/100/12+(C858-1)</f>
        <v/>
      </c>
      <c r="E858" s="8">
        <f>E857*(1+D858)</f>
        <v/>
      </c>
    </row>
    <row r="859">
      <c r="A859" s="8" t="inlineStr">
        <is>
          <t>1942-02-01</t>
        </is>
      </c>
      <c r="B859" s="6" t="n">
        <v>2.4608</v>
      </c>
      <c r="C859" s="8">
        <f>-PV(B859/100,$B$3,B858/100,1)</f>
        <v/>
      </c>
      <c r="D859" s="8">
        <f>B858/100/12+(C859-1)</f>
        <v/>
      </c>
      <c r="E859" s="8">
        <f>E858*(1+D859)</f>
        <v/>
      </c>
    </row>
    <row r="860">
      <c r="A860" s="8" t="inlineStr">
        <is>
          <t>1942-03-01</t>
        </is>
      </c>
      <c r="B860" s="6" t="n">
        <v>2.4617</v>
      </c>
      <c r="C860" s="8">
        <f>-PV(B860/100,$B$3,B859/100,1)</f>
        <v/>
      </c>
      <c r="D860" s="8">
        <f>B859/100/12+(C860-1)</f>
        <v/>
      </c>
      <c r="E860" s="8">
        <f>E859*(1+D860)</f>
        <v/>
      </c>
    </row>
    <row r="861">
      <c r="A861" s="8" t="inlineStr">
        <is>
          <t>1942-04-01</t>
        </is>
      </c>
      <c r="B861" s="6" t="n">
        <v>2.4625</v>
      </c>
      <c r="C861" s="8">
        <f>-PV(B861/100,$B$3,B860/100,1)</f>
        <v/>
      </c>
      <c r="D861" s="8">
        <f>B860/100/12+(C861-1)</f>
        <v/>
      </c>
      <c r="E861" s="8">
        <f>E860*(1+D861)</f>
        <v/>
      </c>
    </row>
    <row r="862">
      <c r="A862" s="8" t="inlineStr">
        <is>
          <t>1942-05-01</t>
        </is>
      </c>
      <c r="B862" s="6" t="n">
        <v>2.4633</v>
      </c>
      <c r="C862" s="8">
        <f>-PV(B862/100,$B$3,B861/100,1)</f>
        <v/>
      </c>
      <c r="D862" s="8">
        <f>B861/100/12+(C862-1)</f>
        <v/>
      </c>
      <c r="E862" s="8">
        <f>E861*(1+D862)</f>
        <v/>
      </c>
    </row>
    <row r="863">
      <c r="A863" s="8" t="inlineStr">
        <is>
          <t>1942-06-01</t>
        </is>
      </c>
      <c r="B863" s="6" t="n">
        <v>2.4642</v>
      </c>
      <c r="C863" s="8">
        <f>-PV(B863/100,$B$3,B862/100,1)</f>
        <v/>
      </c>
      <c r="D863" s="8">
        <f>B862/100/12+(C863-1)</f>
        <v/>
      </c>
      <c r="E863" s="8">
        <f>E862*(1+D863)</f>
        <v/>
      </c>
    </row>
    <row r="864">
      <c r="A864" s="8" t="inlineStr">
        <is>
          <t>1942-07-01</t>
        </is>
      </c>
      <c r="B864" s="6" t="n">
        <v>2.465</v>
      </c>
      <c r="C864" s="8">
        <f>-PV(B864/100,$B$3,B863/100,1)</f>
        <v/>
      </c>
      <c r="D864" s="8">
        <f>B863/100/12+(C864-1)</f>
        <v/>
      </c>
      <c r="E864" s="8">
        <f>E863*(1+D864)</f>
        <v/>
      </c>
    </row>
    <row r="865">
      <c r="A865" s="8" t="inlineStr">
        <is>
          <t>1942-08-01</t>
        </is>
      </c>
      <c r="B865" s="6" t="n">
        <v>2.4658</v>
      </c>
      <c r="C865" s="8">
        <f>-PV(B865/100,$B$3,B864/100,1)</f>
        <v/>
      </c>
      <c r="D865" s="8">
        <f>B864/100/12+(C865-1)</f>
        <v/>
      </c>
      <c r="E865" s="8">
        <f>E864*(1+D865)</f>
        <v/>
      </c>
    </row>
    <row r="866">
      <c r="A866" s="8" t="inlineStr">
        <is>
          <t>1942-09-01</t>
        </is>
      </c>
      <c r="B866" s="6" t="n">
        <v>2.4667</v>
      </c>
      <c r="C866" s="8">
        <f>-PV(B866/100,$B$3,B865/100,1)</f>
        <v/>
      </c>
      <c r="D866" s="8">
        <f>B865/100/12+(C866-1)</f>
        <v/>
      </c>
      <c r="E866" s="8">
        <f>E865*(1+D866)</f>
        <v/>
      </c>
    </row>
    <row r="867">
      <c r="A867" s="8" t="inlineStr">
        <is>
          <t>1942-10-01</t>
        </is>
      </c>
      <c r="B867" s="6" t="n">
        <v>2.4675</v>
      </c>
      <c r="C867" s="8">
        <f>-PV(B867/100,$B$3,B866/100,1)</f>
        <v/>
      </c>
      <c r="D867" s="8">
        <f>B866/100/12+(C867-1)</f>
        <v/>
      </c>
      <c r="E867" s="8">
        <f>E866*(1+D867)</f>
        <v/>
      </c>
    </row>
    <row r="868">
      <c r="A868" s="8" t="inlineStr">
        <is>
          <t>1942-11-01</t>
        </is>
      </c>
      <c r="B868" s="6" t="n">
        <v>2.4683</v>
      </c>
      <c r="C868" s="8">
        <f>-PV(B868/100,$B$3,B867/100,1)</f>
        <v/>
      </c>
      <c r="D868" s="8">
        <f>B867/100/12+(C868-1)</f>
        <v/>
      </c>
      <c r="E868" s="8">
        <f>E867*(1+D868)</f>
        <v/>
      </c>
    </row>
    <row r="869">
      <c r="A869" s="8" t="inlineStr">
        <is>
          <t>1942-12-01</t>
        </is>
      </c>
      <c r="B869" s="6" t="n">
        <v>2.4692</v>
      </c>
      <c r="C869" s="8">
        <f>-PV(B869/100,$B$3,B868/100,1)</f>
        <v/>
      </c>
      <c r="D869" s="8">
        <f>B868/100/12+(C869-1)</f>
        <v/>
      </c>
      <c r="E869" s="8">
        <f>E868*(1+D869)</f>
        <v/>
      </c>
    </row>
    <row r="870">
      <c r="A870" s="8" t="inlineStr">
        <is>
          <t>1943-01-01</t>
        </is>
      </c>
      <c r="B870" s="6" t="n">
        <v>2.47</v>
      </c>
      <c r="C870" s="8">
        <f>-PV(B870/100,$B$3,B869/100,1)</f>
        <v/>
      </c>
      <c r="D870" s="8">
        <f>B869/100/12+(C870-1)</f>
        <v/>
      </c>
      <c r="E870" s="8">
        <f>E869*(1+D870)</f>
        <v/>
      </c>
    </row>
    <row r="871">
      <c r="A871" s="8" t="inlineStr">
        <is>
          <t>1943-02-01</t>
        </is>
      </c>
      <c r="B871" s="6" t="n">
        <v>2.4708</v>
      </c>
      <c r="C871" s="8">
        <f>-PV(B871/100,$B$3,B870/100,1)</f>
        <v/>
      </c>
      <c r="D871" s="8">
        <f>B870/100/12+(C871-1)</f>
        <v/>
      </c>
      <c r="E871" s="8">
        <f>E870*(1+D871)</f>
        <v/>
      </c>
    </row>
    <row r="872">
      <c r="A872" s="8" t="inlineStr">
        <is>
          <t>1943-03-01</t>
        </is>
      </c>
      <c r="B872" s="6" t="n">
        <v>2.4717</v>
      </c>
      <c r="C872" s="8">
        <f>-PV(B872/100,$B$3,B871/100,1)</f>
        <v/>
      </c>
      <c r="D872" s="8">
        <f>B871/100/12+(C872-1)</f>
        <v/>
      </c>
      <c r="E872" s="8">
        <f>E871*(1+D872)</f>
        <v/>
      </c>
    </row>
    <row r="873">
      <c r="A873" s="8" t="inlineStr">
        <is>
          <t>1943-04-01</t>
        </is>
      </c>
      <c r="B873" s="6" t="n">
        <v>2.4725</v>
      </c>
      <c r="C873" s="8">
        <f>-PV(B873/100,$B$3,B872/100,1)</f>
        <v/>
      </c>
      <c r="D873" s="8">
        <f>B872/100/12+(C873-1)</f>
        <v/>
      </c>
      <c r="E873" s="8">
        <f>E872*(1+D873)</f>
        <v/>
      </c>
    </row>
    <row r="874">
      <c r="A874" s="8" t="inlineStr">
        <is>
          <t>1943-05-01</t>
        </is>
      </c>
      <c r="B874" s="6" t="n">
        <v>2.4733</v>
      </c>
      <c r="C874" s="8">
        <f>-PV(B874/100,$B$3,B873/100,1)</f>
        <v/>
      </c>
      <c r="D874" s="8">
        <f>B873/100/12+(C874-1)</f>
        <v/>
      </c>
      <c r="E874" s="8">
        <f>E873*(1+D874)</f>
        <v/>
      </c>
    </row>
    <row r="875">
      <c r="A875" s="8" t="inlineStr">
        <is>
          <t>1943-06-01</t>
        </is>
      </c>
      <c r="B875" s="6" t="n">
        <v>2.4742</v>
      </c>
      <c r="C875" s="8">
        <f>-PV(B875/100,$B$3,B874/100,1)</f>
        <v/>
      </c>
      <c r="D875" s="8">
        <f>B874/100/12+(C875-1)</f>
        <v/>
      </c>
      <c r="E875" s="8">
        <f>E874*(1+D875)</f>
        <v/>
      </c>
    </row>
    <row r="876">
      <c r="A876" s="8" t="inlineStr">
        <is>
          <t>1943-07-01</t>
        </is>
      </c>
      <c r="B876" s="6" t="n">
        <v>2.475</v>
      </c>
      <c r="C876" s="8">
        <f>-PV(B876/100,$B$3,B875/100,1)</f>
        <v/>
      </c>
      <c r="D876" s="8">
        <f>B875/100/12+(C876-1)</f>
        <v/>
      </c>
      <c r="E876" s="8">
        <f>E875*(1+D876)</f>
        <v/>
      </c>
    </row>
    <row r="877">
      <c r="A877" s="8" t="inlineStr">
        <is>
          <t>1943-08-01</t>
        </is>
      </c>
      <c r="B877" s="6" t="n">
        <v>2.4758</v>
      </c>
      <c r="C877" s="8">
        <f>-PV(B877/100,$B$3,B876/100,1)</f>
        <v/>
      </c>
      <c r="D877" s="8">
        <f>B876/100/12+(C877-1)</f>
        <v/>
      </c>
      <c r="E877" s="8">
        <f>E876*(1+D877)</f>
        <v/>
      </c>
    </row>
    <row r="878">
      <c r="A878" s="8" t="inlineStr">
        <is>
          <t>1943-09-01</t>
        </is>
      </c>
      <c r="B878" s="6" t="n">
        <v>2.4767</v>
      </c>
      <c r="C878" s="8">
        <f>-PV(B878/100,$B$3,B877/100,1)</f>
        <v/>
      </c>
      <c r="D878" s="8">
        <f>B877/100/12+(C878-1)</f>
        <v/>
      </c>
      <c r="E878" s="8">
        <f>E877*(1+D878)</f>
        <v/>
      </c>
    </row>
    <row r="879">
      <c r="A879" s="8" t="inlineStr">
        <is>
          <t>1943-10-01</t>
        </is>
      </c>
      <c r="B879" s="6" t="n">
        <v>2.4775</v>
      </c>
      <c r="C879" s="8">
        <f>-PV(B879/100,$B$3,B878/100,1)</f>
        <v/>
      </c>
      <c r="D879" s="8">
        <f>B878/100/12+(C879-1)</f>
        <v/>
      </c>
      <c r="E879" s="8">
        <f>E878*(1+D879)</f>
        <v/>
      </c>
    </row>
    <row r="880">
      <c r="A880" s="8" t="inlineStr">
        <is>
          <t>1943-11-01</t>
        </is>
      </c>
      <c r="B880" s="6" t="n">
        <v>2.4783</v>
      </c>
      <c r="C880" s="8">
        <f>-PV(B880/100,$B$3,B879/100,1)</f>
        <v/>
      </c>
      <c r="D880" s="8">
        <f>B879/100/12+(C880-1)</f>
        <v/>
      </c>
      <c r="E880" s="8">
        <f>E879*(1+D880)</f>
        <v/>
      </c>
    </row>
    <row r="881">
      <c r="A881" s="8" t="inlineStr">
        <is>
          <t>1943-12-01</t>
        </is>
      </c>
      <c r="B881" s="6" t="n">
        <v>2.4792</v>
      </c>
      <c r="C881" s="8">
        <f>-PV(B881/100,$B$3,B880/100,1)</f>
        <v/>
      </c>
      <c r="D881" s="8">
        <f>B880/100/12+(C881-1)</f>
        <v/>
      </c>
      <c r="E881" s="8">
        <f>E880*(1+D881)</f>
        <v/>
      </c>
    </row>
    <row r="882">
      <c r="A882" s="8" t="inlineStr">
        <is>
          <t>1944-01-01</t>
        </is>
      </c>
      <c r="B882" s="6" t="n">
        <v>2.48</v>
      </c>
      <c r="C882" s="8">
        <f>-PV(B882/100,$B$3,B881/100,1)</f>
        <v/>
      </c>
      <c r="D882" s="8">
        <f>B881/100/12+(C882-1)</f>
        <v/>
      </c>
      <c r="E882" s="8">
        <f>E881*(1+D882)</f>
        <v/>
      </c>
    </row>
    <row r="883">
      <c r="A883" s="8" t="inlineStr">
        <is>
          <t>1944-02-01</t>
        </is>
      </c>
      <c r="B883" s="6" t="n">
        <v>2.4708</v>
      </c>
      <c r="C883" s="8">
        <f>-PV(B883/100,$B$3,B882/100,1)</f>
        <v/>
      </c>
      <c r="D883" s="8">
        <f>B882/100/12+(C883-1)</f>
        <v/>
      </c>
      <c r="E883" s="8">
        <f>E882*(1+D883)</f>
        <v/>
      </c>
    </row>
    <row r="884">
      <c r="A884" s="8" t="inlineStr">
        <is>
          <t>1944-03-01</t>
        </is>
      </c>
      <c r="B884" s="6" t="n">
        <v>2.4617</v>
      </c>
      <c r="C884" s="8">
        <f>-PV(B884/100,$B$3,B883/100,1)</f>
        <v/>
      </c>
      <c r="D884" s="8">
        <f>B883/100/12+(C884-1)</f>
        <v/>
      </c>
      <c r="E884" s="8">
        <f>E883*(1+D884)</f>
        <v/>
      </c>
    </row>
    <row r="885">
      <c r="A885" s="8" t="inlineStr">
        <is>
          <t>1944-04-01</t>
        </is>
      </c>
      <c r="B885" s="6" t="n">
        <v>2.4525</v>
      </c>
      <c r="C885" s="8">
        <f>-PV(B885/100,$B$3,B884/100,1)</f>
        <v/>
      </c>
      <c r="D885" s="8">
        <f>B884/100/12+(C885-1)</f>
        <v/>
      </c>
      <c r="E885" s="8">
        <f>E884*(1+D885)</f>
        <v/>
      </c>
    </row>
    <row r="886">
      <c r="A886" s="8" t="inlineStr">
        <is>
          <t>1944-05-01</t>
        </is>
      </c>
      <c r="B886" s="6" t="n">
        <v>2.4433</v>
      </c>
      <c r="C886" s="8">
        <f>-PV(B886/100,$B$3,B885/100,1)</f>
        <v/>
      </c>
      <c r="D886" s="8">
        <f>B885/100/12+(C886-1)</f>
        <v/>
      </c>
      <c r="E886" s="8">
        <f>E885*(1+D886)</f>
        <v/>
      </c>
    </row>
    <row r="887">
      <c r="A887" s="8" t="inlineStr">
        <is>
          <t>1944-06-01</t>
        </is>
      </c>
      <c r="B887" s="6" t="n">
        <v>2.4342</v>
      </c>
      <c r="C887" s="8">
        <f>-PV(B887/100,$B$3,B886/100,1)</f>
        <v/>
      </c>
      <c r="D887" s="8">
        <f>B886/100/12+(C887-1)</f>
        <v/>
      </c>
      <c r="E887" s="8">
        <f>E886*(1+D887)</f>
        <v/>
      </c>
    </row>
    <row r="888">
      <c r="A888" s="8" t="inlineStr">
        <is>
          <t>1944-07-01</t>
        </is>
      </c>
      <c r="B888" s="6" t="n">
        <v>2.425</v>
      </c>
      <c r="C888" s="8">
        <f>-PV(B888/100,$B$3,B887/100,1)</f>
        <v/>
      </c>
      <c r="D888" s="8">
        <f>B887/100/12+(C888-1)</f>
        <v/>
      </c>
      <c r="E888" s="8">
        <f>E887*(1+D888)</f>
        <v/>
      </c>
    </row>
    <row r="889">
      <c r="A889" s="8" t="inlineStr">
        <is>
          <t>1944-08-01</t>
        </is>
      </c>
      <c r="B889" s="6" t="n">
        <v>2.4158</v>
      </c>
      <c r="C889" s="8">
        <f>-PV(B889/100,$B$3,B888/100,1)</f>
        <v/>
      </c>
      <c r="D889" s="8">
        <f>B888/100/12+(C889-1)</f>
        <v/>
      </c>
      <c r="E889" s="8">
        <f>E888*(1+D889)</f>
        <v/>
      </c>
    </row>
    <row r="890">
      <c r="A890" s="8" t="inlineStr">
        <is>
          <t>1944-09-01</t>
        </is>
      </c>
      <c r="B890" s="6" t="n">
        <v>2.4067</v>
      </c>
      <c r="C890" s="8">
        <f>-PV(B890/100,$B$3,B889/100,1)</f>
        <v/>
      </c>
      <c r="D890" s="8">
        <f>B889/100/12+(C890-1)</f>
        <v/>
      </c>
      <c r="E890" s="8">
        <f>E889*(1+D890)</f>
        <v/>
      </c>
    </row>
    <row r="891">
      <c r="A891" s="8" t="inlineStr">
        <is>
          <t>1944-10-01</t>
        </is>
      </c>
      <c r="B891" s="6" t="n">
        <v>2.3975</v>
      </c>
      <c r="C891" s="8">
        <f>-PV(B891/100,$B$3,B890/100,1)</f>
        <v/>
      </c>
      <c r="D891" s="8">
        <f>B890/100/12+(C891-1)</f>
        <v/>
      </c>
      <c r="E891" s="8">
        <f>E890*(1+D891)</f>
        <v/>
      </c>
    </row>
    <row r="892">
      <c r="A892" s="8" t="inlineStr">
        <is>
          <t>1944-11-01</t>
        </is>
      </c>
      <c r="B892" s="6" t="n">
        <v>2.3883</v>
      </c>
      <c r="C892" s="8">
        <f>-PV(B892/100,$B$3,B891/100,1)</f>
        <v/>
      </c>
      <c r="D892" s="8">
        <f>B891/100/12+(C892-1)</f>
        <v/>
      </c>
      <c r="E892" s="8">
        <f>E891*(1+D892)</f>
        <v/>
      </c>
    </row>
    <row r="893">
      <c r="A893" s="8" t="inlineStr">
        <is>
          <t>1944-12-01</t>
        </is>
      </c>
      <c r="B893" s="6" t="n">
        <v>2.3792</v>
      </c>
      <c r="C893" s="8">
        <f>-PV(B893/100,$B$3,B892/100,1)</f>
        <v/>
      </c>
      <c r="D893" s="8">
        <f>B892/100/12+(C893-1)</f>
        <v/>
      </c>
      <c r="E893" s="8">
        <f>E892*(1+D893)</f>
        <v/>
      </c>
    </row>
    <row r="894">
      <c r="A894" s="8" t="inlineStr">
        <is>
          <t>1945-01-01</t>
        </is>
      </c>
      <c r="B894" s="6" t="n">
        <v>2.37</v>
      </c>
      <c r="C894" s="8">
        <f>-PV(B894/100,$B$3,B893/100,1)</f>
        <v/>
      </c>
      <c r="D894" s="8">
        <f>B893/100/12+(C894-1)</f>
        <v/>
      </c>
      <c r="E894" s="8">
        <f>E893*(1+D894)</f>
        <v/>
      </c>
    </row>
    <row r="895">
      <c r="A895" s="8" t="inlineStr">
        <is>
          <t>1945-02-01</t>
        </is>
      </c>
      <c r="B895" s="6" t="n">
        <v>2.355</v>
      </c>
      <c r="C895" s="8">
        <f>-PV(B895/100,$B$3,B894/100,1)</f>
        <v/>
      </c>
      <c r="D895" s="8">
        <f>B894/100/12+(C895-1)</f>
        <v/>
      </c>
      <c r="E895" s="8">
        <f>E894*(1+D895)</f>
        <v/>
      </c>
    </row>
    <row r="896">
      <c r="A896" s="8" t="inlineStr">
        <is>
          <t>1945-03-01</t>
        </is>
      </c>
      <c r="B896" s="6" t="n">
        <v>2.34</v>
      </c>
      <c r="C896" s="8">
        <f>-PV(B896/100,$B$3,B895/100,1)</f>
        <v/>
      </c>
      <c r="D896" s="8">
        <f>B895/100/12+(C896-1)</f>
        <v/>
      </c>
      <c r="E896" s="8">
        <f>E895*(1+D896)</f>
        <v/>
      </c>
    </row>
    <row r="897">
      <c r="A897" s="8" t="inlineStr">
        <is>
          <t>1945-04-01</t>
        </is>
      </c>
      <c r="B897" s="6" t="n">
        <v>2.325</v>
      </c>
      <c r="C897" s="8">
        <f>-PV(B897/100,$B$3,B896/100,1)</f>
        <v/>
      </c>
      <c r="D897" s="8">
        <f>B896/100/12+(C897-1)</f>
        <v/>
      </c>
      <c r="E897" s="8">
        <f>E896*(1+D897)</f>
        <v/>
      </c>
    </row>
    <row r="898">
      <c r="A898" s="8" t="inlineStr">
        <is>
          <t>1945-05-01</t>
        </is>
      </c>
      <c r="B898" s="6" t="n">
        <v>2.31</v>
      </c>
      <c r="C898" s="8">
        <f>-PV(B898/100,$B$3,B897/100,1)</f>
        <v/>
      </c>
      <c r="D898" s="8">
        <f>B897/100/12+(C898-1)</f>
        <v/>
      </c>
      <c r="E898" s="8">
        <f>E897*(1+D898)</f>
        <v/>
      </c>
    </row>
    <row r="899">
      <c r="A899" s="8" t="inlineStr">
        <is>
          <t>1945-06-01</t>
        </is>
      </c>
      <c r="B899" s="6" t="n">
        <v>2.295</v>
      </c>
      <c r="C899" s="8">
        <f>-PV(B899/100,$B$3,B898/100,1)</f>
        <v/>
      </c>
      <c r="D899" s="8">
        <f>B898/100/12+(C899-1)</f>
        <v/>
      </c>
      <c r="E899" s="8">
        <f>E898*(1+D899)</f>
        <v/>
      </c>
    </row>
    <row r="900">
      <c r="A900" s="8" t="inlineStr">
        <is>
          <t>1945-07-01</t>
        </is>
      </c>
      <c r="B900" s="6" t="n">
        <v>2.28</v>
      </c>
      <c r="C900" s="8">
        <f>-PV(B900/100,$B$3,B899/100,1)</f>
        <v/>
      </c>
      <c r="D900" s="8">
        <f>B899/100/12+(C900-1)</f>
        <v/>
      </c>
      <c r="E900" s="8">
        <f>E899*(1+D900)</f>
        <v/>
      </c>
    </row>
    <row r="901">
      <c r="A901" s="8" t="inlineStr">
        <is>
          <t>1945-08-01</t>
        </is>
      </c>
      <c r="B901" s="6" t="n">
        <v>2.265</v>
      </c>
      <c r="C901" s="8">
        <f>-PV(B901/100,$B$3,B900/100,1)</f>
        <v/>
      </c>
      <c r="D901" s="8">
        <f>B900/100/12+(C901-1)</f>
        <v/>
      </c>
      <c r="E901" s="8">
        <f>E900*(1+D901)</f>
        <v/>
      </c>
    </row>
    <row r="902">
      <c r="A902" s="8" t="inlineStr">
        <is>
          <t>1945-09-01</t>
        </is>
      </c>
      <c r="B902" s="6" t="n">
        <v>2.25</v>
      </c>
      <c r="C902" s="8">
        <f>-PV(B902/100,$B$3,B901/100,1)</f>
        <v/>
      </c>
      <c r="D902" s="8">
        <f>B901/100/12+(C902-1)</f>
        <v/>
      </c>
      <c r="E902" s="8">
        <f>E901*(1+D902)</f>
        <v/>
      </c>
    </row>
    <row r="903">
      <c r="A903" s="8" t="inlineStr">
        <is>
          <t>1945-10-01</t>
        </is>
      </c>
      <c r="B903" s="6" t="n">
        <v>2.235</v>
      </c>
      <c r="C903" s="8">
        <f>-PV(B903/100,$B$3,B902/100,1)</f>
        <v/>
      </c>
      <c r="D903" s="8">
        <f>B902/100/12+(C903-1)</f>
        <v/>
      </c>
      <c r="E903" s="8">
        <f>E902*(1+D903)</f>
        <v/>
      </c>
    </row>
    <row r="904">
      <c r="A904" s="8" t="inlineStr">
        <is>
          <t>1945-11-01</t>
        </is>
      </c>
      <c r="B904" s="6" t="n">
        <v>2.22</v>
      </c>
      <c r="C904" s="8">
        <f>-PV(B904/100,$B$3,B903/100,1)</f>
        <v/>
      </c>
      <c r="D904" s="8">
        <f>B903/100/12+(C904-1)</f>
        <v/>
      </c>
      <c r="E904" s="8">
        <f>E903*(1+D904)</f>
        <v/>
      </c>
    </row>
    <row r="905">
      <c r="A905" s="8" t="inlineStr">
        <is>
          <t>1945-12-01</t>
        </is>
      </c>
      <c r="B905" s="6" t="n">
        <v>2.205</v>
      </c>
      <c r="C905" s="8">
        <f>-PV(B905/100,$B$3,B904/100,1)</f>
        <v/>
      </c>
      <c r="D905" s="8">
        <f>B904/100/12+(C905-1)</f>
        <v/>
      </c>
      <c r="E905" s="8">
        <f>E904*(1+D905)</f>
        <v/>
      </c>
    </row>
    <row r="906">
      <c r="A906" s="8" t="inlineStr">
        <is>
          <t>1946-01-01</t>
        </is>
      </c>
      <c r="B906" s="6" t="n">
        <v>2.19</v>
      </c>
      <c r="C906" s="8">
        <f>-PV(B906/100,$B$3,B905/100,1)</f>
        <v/>
      </c>
      <c r="D906" s="8">
        <f>B905/100/12+(C906-1)</f>
        <v/>
      </c>
      <c r="E906" s="8">
        <f>E905*(1+D906)</f>
        <v/>
      </c>
    </row>
    <row r="907">
      <c r="A907" s="8" t="inlineStr">
        <is>
          <t>1946-02-01</t>
        </is>
      </c>
      <c r="B907" s="6" t="n">
        <v>2.195</v>
      </c>
      <c r="C907" s="8">
        <f>-PV(B907/100,$B$3,B906/100,1)</f>
        <v/>
      </c>
      <c r="D907" s="8">
        <f>B906/100/12+(C907-1)</f>
        <v/>
      </c>
      <c r="E907" s="8">
        <f>E906*(1+D907)</f>
        <v/>
      </c>
    </row>
    <row r="908">
      <c r="A908" s="8" t="inlineStr">
        <is>
          <t>1946-03-01</t>
        </is>
      </c>
      <c r="B908" s="6" t="n">
        <v>2.2</v>
      </c>
      <c r="C908" s="8">
        <f>-PV(B908/100,$B$3,B907/100,1)</f>
        <v/>
      </c>
      <c r="D908" s="8">
        <f>B907/100/12+(C908-1)</f>
        <v/>
      </c>
      <c r="E908" s="8">
        <f>E907*(1+D908)</f>
        <v/>
      </c>
    </row>
    <row r="909">
      <c r="A909" s="8" t="inlineStr">
        <is>
          <t>1946-04-01</t>
        </is>
      </c>
      <c r="B909" s="6" t="n">
        <v>2.205</v>
      </c>
      <c r="C909" s="8">
        <f>-PV(B909/100,$B$3,B908/100,1)</f>
        <v/>
      </c>
      <c r="D909" s="8">
        <f>B908/100/12+(C909-1)</f>
        <v/>
      </c>
      <c r="E909" s="8">
        <f>E908*(1+D909)</f>
        <v/>
      </c>
    </row>
    <row r="910">
      <c r="A910" s="8" t="inlineStr">
        <is>
          <t>1946-05-01</t>
        </is>
      </c>
      <c r="B910" s="6" t="n">
        <v>2.21</v>
      </c>
      <c r="C910" s="8">
        <f>-PV(B910/100,$B$3,B909/100,1)</f>
        <v/>
      </c>
      <c r="D910" s="8">
        <f>B909/100/12+(C910-1)</f>
        <v/>
      </c>
      <c r="E910" s="8">
        <f>E909*(1+D910)</f>
        <v/>
      </c>
    </row>
    <row r="911">
      <c r="A911" s="8" t="inlineStr">
        <is>
          <t>1946-06-01</t>
        </is>
      </c>
      <c r="B911" s="6" t="n">
        <v>2.215</v>
      </c>
      <c r="C911" s="8">
        <f>-PV(B911/100,$B$3,B910/100,1)</f>
        <v/>
      </c>
      <c r="D911" s="8">
        <f>B910/100/12+(C911-1)</f>
        <v/>
      </c>
      <c r="E911" s="8">
        <f>E910*(1+D911)</f>
        <v/>
      </c>
    </row>
    <row r="912">
      <c r="A912" s="8" t="inlineStr">
        <is>
          <t>1946-07-01</t>
        </is>
      </c>
      <c r="B912" s="6" t="n">
        <v>2.22</v>
      </c>
      <c r="C912" s="8">
        <f>-PV(B912/100,$B$3,B911/100,1)</f>
        <v/>
      </c>
      <c r="D912" s="8">
        <f>B911/100/12+(C912-1)</f>
        <v/>
      </c>
      <c r="E912" s="8">
        <f>E911*(1+D912)</f>
        <v/>
      </c>
    </row>
    <row r="913">
      <c r="A913" s="8" t="inlineStr">
        <is>
          <t>1946-08-01</t>
        </is>
      </c>
      <c r="B913" s="6" t="n">
        <v>2.225</v>
      </c>
      <c r="C913" s="8">
        <f>-PV(B913/100,$B$3,B912/100,1)</f>
        <v/>
      </c>
      <c r="D913" s="8">
        <f>B912/100/12+(C913-1)</f>
        <v/>
      </c>
      <c r="E913" s="8">
        <f>E912*(1+D913)</f>
        <v/>
      </c>
    </row>
    <row r="914">
      <c r="A914" s="8" t="inlineStr">
        <is>
          <t>1946-09-01</t>
        </is>
      </c>
      <c r="B914" s="6" t="n">
        <v>2.23</v>
      </c>
      <c r="C914" s="8">
        <f>-PV(B914/100,$B$3,B913/100,1)</f>
        <v/>
      </c>
      <c r="D914" s="8">
        <f>B913/100/12+(C914-1)</f>
        <v/>
      </c>
      <c r="E914" s="8">
        <f>E913*(1+D914)</f>
        <v/>
      </c>
    </row>
    <row r="915">
      <c r="A915" s="8" t="inlineStr">
        <is>
          <t>1946-10-01</t>
        </is>
      </c>
      <c r="B915" s="6" t="n">
        <v>2.235</v>
      </c>
      <c r="C915" s="8">
        <f>-PV(B915/100,$B$3,B914/100,1)</f>
        <v/>
      </c>
      <c r="D915" s="8">
        <f>B914/100/12+(C915-1)</f>
        <v/>
      </c>
      <c r="E915" s="8">
        <f>E914*(1+D915)</f>
        <v/>
      </c>
    </row>
    <row r="916">
      <c r="A916" s="8" t="inlineStr">
        <is>
          <t>1946-11-01</t>
        </is>
      </c>
      <c r="B916" s="6" t="n">
        <v>2.24</v>
      </c>
      <c r="C916" s="8">
        <f>-PV(B916/100,$B$3,B915/100,1)</f>
        <v/>
      </c>
      <c r="D916" s="8">
        <f>B915/100/12+(C916-1)</f>
        <v/>
      </c>
      <c r="E916" s="8">
        <f>E915*(1+D916)</f>
        <v/>
      </c>
    </row>
    <row r="917">
      <c r="A917" s="8" t="inlineStr">
        <is>
          <t>1946-12-01</t>
        </is>
      </c>
      <c r="B917" s="6" t="n">
        <v>2.245</v>
      </c>
      <c r="C917" s="8">
        <f>-PV(B917/100,$B$3,B916/100,1)</f>
        <v/>
      </c>
      <c r="D917" s="8">
        <f>B916/100/12+(C917-1)</f>
        <v/>
      </c>
      <c r="E917" s="8">
        <f>E916*(1+D917)</f>
        <v/>
      </c>
    </row>
    <row r="918">
      <c r="A918" s="8" t="inlineStr">
        <is>
          <t>1947-01-01</t>
        </is>
      </c>
      <c r="B918" s="6" t="n">
        <v>2.25</v>
      </c>
      <c r="C918" s="8">
        <f>-PV(B918/100,$B$3,B917/100,1)</f>
        <v/>
      </c>
      <c r="D918" s="8">
        <f>B917/100/12+(C918-1)</f>
        <v/>
      </c>
      <c r="E918" s="8">
        <f>E917*(1+D918)</f>
        <v/>
      </c>
    </row>
    <row r="919">
      <c r="A919" s="8" t="inlineStr">
        <is>
          <t>1947-02-01</t>
        </is>
      </c>
      <c r="B919" s="6" t="n">
        <v>2.2658</v>
      </c>
      <c r="C919" s="8">
        <f>-PV(B919/100,$B$3,B918/100,1)</f>
        <v/>
      </c>
      <c r="D919" s="8">
        <f>B918/100/12+(C919-1)</f>
        <v/>
      </c>
      <c r="E919" s="8">
        <f>E918*(1+D919)</f>
        <v/>
      </c>
    </row>
    <row r="920">
      <c r="A920" s="8" t="inlineStr">
        <is>
          <t>1947-03-01</t>
        </is>
      </c>
      <c r="B920" s="6" t="n">
        <v>2.2817</v>
      </c>
      <c r="C920" s="8">
        <f>-PV(B920/100,$B$3,B919/100,1)</f>
        <v/>
      </c>
      <c r="D920" s="8">
        <f>B919/100/12+(C920-1)</f>
        <v/>
      </c>
      <c r="E920" s="8">
        <f>E919*(1+D920)</f>
        <v/>
      </c>
    </row>
    <row r="921">
      <c r="A921" s="8" t="inlineStr">
        <is>
          <t>1947-04-01</t>
        </is>
      </c>
      <c r="B921" s="6" t="n">
        <v>2.2975</v>
      </c>
      <c r="C921" s="8">
        <f>-PV(B921/100,$B$3,B920/100,1)</f>
        <v/>
      </c>
      <c r="D921" s="8">
        <f>B920/100/12+(C921-1)</f>
        <v/>
      </c>
      <c r="E921" s="8">
        <f>E920*(1+D921)</f>
        <v/>
      </c>
    </row>
    <row r="922">
      <c r="A922" s="8" t="inlineStr">
        <is>
          <t>1947-05-01</t>
        </is>
      </c>
      <c r="B922" s="6" t="n">
        <v>2.3133</v>
      </c>
      <c r="C922" s="8">
        <f>-PV(B922/100,$B$3,B921/100,1)</f>
        <v/>
      </c>
      <c r="D922" s="8">
        <f>B921/100/12+(C922-1)</f>
        <v/>
      </c>
      <c r="E922" s="8">
        <f>E921*(1+D922)</f>
        <v/>
      </c>
    </row>
    <row r="923">
      <c r="A923" s="8" t="inlineStr">
        <is>
          <t>1947-06-01</t>
        </is>
      </c>
      <c r="B923" s="6" t="n">
        <v>2.3292</v>
      </c>
      <c r="C923" s="8">
        <f>-PV(B923/100,$B$3,B922/100,1)</f>
        <v/>
      </c>
      <c r="D923" s="8">
        <f>B922/100/12+(C923-1)</f>
        <v/>
      </c>
      <c r="E923" s="8">
        <f>E922*(1+D923)</f>
        <v/>
      </c>
    </row>
    <row r="924">
      <c r="A924" s="8" t="inlineStr">
        <is>
          <t>1947-07-01</t>
        </is>
      </c>
      <c r="B924" s="6" t="n">
        <v>2.345</v>
      </c>
      <c r="C924" s="8">
        <f>-PV(B924/100,$B$3,B923/100,1)</f>
        <v/>
      </c>
      <c r="D924" s="8">
        <f>B923/100/12+(C924-1)</f>
        <v/>
      </c>
      <c r="E924" s="8">
        <f>E923*(1+D924)</f>
        <v/>
      </c>
    </row>
    <row r="925">
      <c r="A925" s="8" t="inlineStr">
        <is>
          <t>1947-08-01</t>
        </is>
      </c>
      <c r="B925" s="6" t="n">
        <v>2.3608</v>
      </c>
      <c r="C925" s="8">
        <f>-PV(B925/100,$B$3,B924/100,1)</f>
        <v/>
      </c>
      <c r="D925" s="8">
        <f>B924/100/12+(C925-1)</f>
        <v/>
      </c>
      <c r="E925" s="8">
        <f>E924*(1+D925)</f>
        <v/>
      </c>
    </row>
    <row r="926">
      <c r="A926" s="8" t="inlineStr">
        <is>
          <t>1947-09-01</t>
        </is>
      </c>
      <c r="B926" s="6" t="n">
        <v>2.3767</v>
      </c>
      <c r="C926" s="8">
        <f>-PV(B926/100,$B$3,B925/100,1)</f>
        <v/>
      </c>
      <c r="D926" s="8">
        <f>B925/100/12+(C926-1)</f>
        <v/>
      </c>
      <c r="E926" s="8">
        <f>E925*(1+D926)</f>
        <v/>
      </c>
    </row>
    <row r="927">
      <c r="A927" s="8" t="inlineStr">
        <is>
          <t>1947-10-01</t>
        </is>
      </c>
      <c r="B927" s="6" t="n">
        <v>2.3925</v>
      </c>
      <c r="C927" s="8">
        <f>-PV(B927/100,$B$3,B926/100,1)</f>
        <v/>
      </c>
      <c r="D927" s="8">
        <f>B926/100/12+(C927-1)</f>
        <v/>
      </c>
      <c r="E927" s="8">
        <f>E926*(1+D927)</f>
        <v/>
      </c>
    </row>
    <row r="928">
      <c r="A928" s="8" t="inlineStr">
        <is>
          <t>1947-11-01</t>
        </is>
      </c>
      <c r="B928" s="6" t="n">
        <v>2.4083</v>
      </c>
      <c r="C928" s="8">
        <f>-PV(B928/100,$B$3,B927/100,1)</f>
        <v/>
      </c>
      <c r="D928" s="8">
        <f>B927/100/12+(C928-1)</f>
        <v/>
      </c>
      <c r="E928" s="8">
        <f>E927*(1+D928)</f>
        <v/>
      </c>
    </row>
    <row r="929">
      <c r="A929" s="8" t="inlineStr">
        <is>
          <t>1947-12-01</t>
        </is>
      </c>
      <c r="B929" s="6" t="n">
        <v>2.4242</v>
      </c>
      <c r="C929" s="8">
        <f>-PV(B929/100,$B$3,B928/100,1)</f>
        <v/>
      </c>
      <c r="D929" s="8">
        <f>B928/100/12+(C929-1)</f>
        <v/>
      </c>
      <c r="E929" s="8">
        <f>E928*(1+D929)</f>
        <v/>
      </c>
    </row>
    <row r="930">
      <c r="A930" s="8" t="inlineStr">
        <is>
          <t>1948-01-01</t>
        </is>
      </c>
      <c r="B930" s="6" t="n">
        <v>2.44</v>
      </c>
      <c r="C930" s="8">
        <f>-PV(B930/100,$B$3,B929/100,1)</f>
        <v/>
      </c>
      <c r="D930" s="8">
        <f>B929/100/12+(C930-1)</f>
        <v/>
      </c>
      <c r="E930" s="8">
        <f>E929*(1+D930)</f>
        <v/>
      </c>
    </row>
    <row r="931">
      <c r="A931" s="8" t="inlineStr">
        <is>
          <t>1948-02-01</t>
        </is>
      </c>
      <c r="B931" s="6" t="n">
        <v>2.4292</v>
      </c>
      <c r="C931" s="8">
        <f>-PV(B931/100,$B$3,B930/100,1)</f>
        <v/>
      </c>
      <c r="D931" s="8">
        <f>B930/100/12+(C931-1)</f>
        <v/>
      </c>
      <c r="E931" s="8">
        <f>E930*(1+D931)</f>
        <v/>
      </c>
    </row>
    <row r="932">
      <c r="A932" s="8" t="inlineStr">
        <is>
          <t>1948-03-01</t>
        </is>
      </c>
      <c r="B932" s="6" t="n">
        <v>2.4183</v>
      </c>
      <c r="C932" s="8">
        <f>-PV(B932/100,$B$3,B931/100,1)</f>
        <v/>
      </c>
      <c r="D932" s="8">
        <f>B931/100/12+(C932-1)</f>
        <v/>
      </c>
      <c r="E932" s="8">
        <f>E931*(1+D932)</f>
        <v/>
      </c>
    </row>
    <row r="933">
      <c r="A933" s="8" t="inlineStr">
        <is>
          <t>1948-04-01</t>
        </is>
      </c>
      <c r="B933" s="6" t="n">
        <v>2.4075</v>
      </c>
      <c r="C933" s="8">
        <f>-PV(B933/100,$B$3,B932/100,1)</f>
        <v/>
      </c>
      <c r="D933" s="8">
        <f>B932/100/12+(C933-1)</f>
        <v/>
      </c>
      <c r="E933" s="8">
        <f>E932*(1+D933)</f>
        <v/>
      </c>
    </row>
    <row r="934">
      <c r="A934" s="8" t="inlineStr">
        <is>
          <t>1948-05-01</t>
        </is>
      </c>
      <c r="B934" s="6" t="n">
        <v>2.3967</v>
      </c>
      <c r="C934" s="8">
        <f>-PV(B934/100,$B$3,B933/100,1)</f>
        <v/>
      </c>
      <c r="D934" s="8">
        <f>B933/100/12+(C934-1)</f>
        <v/>
      </c>
      <c r="E934" s="8">
        <f>E933*(1+D934)</f>
        <v/>
      </c>
    </row>
    <row r="935">
      <c r="A935" s="8" t="inlineStr">
        <is>
          <t>1948-06-01</t>
        </is>
      </c>
      <c r="B935" s="6" t="n">
        <v>2.3858</v>
      </c>
      <c r="C935" s="8">
        <f>-PV(B935/100,$B$3,B934/100,1)</f>
        <v/>
      </c>
      <c r="D935" s="8">
        <f>B934/100/12+(C935-1)</f>
        <v/>
      </c>
      <c r="E935" s="8">
        <f>E934*(1+D935)</f>
        <v/>
      </c>
    </row>
    <row r="936">
      <c r="A936" s="8" t="inlineStr">
        <is>
          <t>1948-07-01</t>
        </is>
      </c>
      <c r="B936" s="6" t="n">
        <v>2.375</v>
      </c>
      <c r="C936" s="8">
        <f>-PV(B936/100,$B$3,B935/100,1)</f>
        <v/>
      </c>
      <c r="D936" s="8">
        <f>B935/100/12+(C936-1)</f>
        <v/>
      </c>
      <c r="E936" s="8">
        <f>E935*(1+D936)</f>
        <v/>
      </c>
    </row>
    <row r="937">
      <c r="A937" s="8" t="inlineStr">
        <is>
          <t>1948-08-01</t>
        </is>
      </c>
      <c r="B937" s="6" t="n">
        <v>2.3642</v>
      </c>
      <c r="C937" s="8">
        <f>-PV(B937/100,$B$3,B936/100,1)</f>
        <v/>
      </c>
      <c r="D937" s="8">
        <f>B936/100/12+(C937-1)</f>
        <v/>
      </c>
      <c r="E937" s="8">
        <f>E936*(1+D937)</f>
        <v/>
      </c>
    </row>
    <row r="938">
      <c r="A938" s="8" t="inlineStr">
        <is>
          <t>1948-09-01</t>
        </is>
      </c>
      <c r="B938" s="6" t="n">
        <v>2.3533</v>
      </c>
      <c r="C938" s="8">
        <f>-PV(B938/100,$B$3,B937/100,1)</f>
        <v/>
      </c>
      <c r="D938" s="8">
        <f>B937/100/12+(C938-1)</f>
        <v/>
      </c>
      <c r="E938" s="8">
        <f>E937*(1+D938)</f>
        <v/>
      </c>
    </row>
    <row r="939">
      <c r="A939" s="8" t="inlineStr">
        <is>
          <t>1948-10-01</t>
        </is>
      </c>
      <c r="B939" s="6" t="n">
        <v>2.3425</v>
      </c>
      <c r="C939" s="8">
        <f>-PV(B939/100,$B$3,B938/100,1)</f>
        <v/>
      </c>
      <c r="D939" s="8">
        <f>B938/100/12+(C939-1)</f>
        <v/>
      </c>
      <c r="E939" s="8">
        <f>E938*(1+D939)</f>
        <v/>
      </c>
    </row>
    <row r="940">
      <c r="A940" s="8" t="inlineStr">
        <is>
          <t>1948-11-01</t>
        </is>
      </c>
      <c r="B940" s="6" t="n">
        <v>2.3317</v>
      </c>
      <c r="C940" s="8">
        <f>-PV(B940/100,$B$3,B939/100,1)</f>
        <v/>
      </c>
      <c r="D940" s="8">
        <f>B939/100/12+(C940-1)</f>
        <v/>
      </c>
      <c r="E940" s="8">
        <f>E939*(1+D940)</f>
        <v/>
      </c>
    </row>
    <row r="941">
      <c r="A941" s="8" t="inlineStr">
        <is>
          <t>1948-12-01</t>
        </is>
      </c>
      <c r="B941" s="6" t="n">
        <v>2.3208</v>
      </c>
      <c r="C941" s="8">
        <f>-PV(B941/100,$B$3,B940/100,1)</f>
        <v/>
      </c>
      <c r="D941" s="8">
        <f>B940/100/12+(C941-1)</f>
        <v/>
      </c>
      <c r="E941" s="8">
        <f>E940*(1+D941)</f>
        <v/>
      </c>
    </row>
    <row r="942">
      <c r="A942" s="8" t="inlineStr">
        <is>
          <t>1949-01-01</t>
        </is>
      </c>
      <c r="B942" s="6" t="n">
        <v>2.31</v>
      </c>
      <c r="C942" s="8">
        <f>-PV(B942/100,$B$3,B941/100,1)</f>
        <v/>
      </c>
      <c r="D942" s="8">
        <f>B941/100/12+(C942-1)</f>
        <v/>
      </c>
      <c r="E942" s="8">
        <f>E941*(1+D942)</f>
        <v/>
      </c>
    </row>
    <row r="943">
      <c r="A943" s="8" t="inlineStr">
        <is>
          <t>1949-02-01</t>
        </is>
      </c>
      <c r="B943" s="6" t="n">
        <v>2.3108</v>
      </c>
      <c r="C943" s="8">
        <f>-PV(B943/100,$B$3,B942/100,1)</f>
        <v/>
      </c>
      <c r="D943" s="8">
        <f>B942/100/12+(C943-1)</f>
        <v/>
      </c>
      <c r="E943" s="8">
        <f>E942*(1+D943)</f>
        <v/>
      </c>
    </row>
    <row r="944">
      <c r="A944" s="8" t="inlineStr">
        <is>
          <t>1949-03-01</t>
        </is>
      </c>
      <c r="B944" s="6" t="n">
        <v>2.3117</v>
      </c>
      <c r="C944" s="8">
        <f>-PV(B944/100,$B$3,B943/100,1)</f>
        <v/>
      </c>
      <c r="D944" s="8">
        <f>B943/100/12+(C944-1)</f>
        <v/>
      </c>
      <c r="E944" s="8">
        <f>E943*(1+D944)</f>
        <v/>
      </c>
    </row>
    <row r="945">
      <c r="A945" s="8" t="inlineStr">
        <is>
          <t>1949-04-01</t>
        </is>
      </c>
      <c r="B945" s="6" t="n">
        <v>2.3125</v>
      </c>
      <c r="C945" s="8">
        <f>-PV(B945/100,$B$3,B944/100,1)</f>
        <v/>
      </c>
      <c r="D945" s="8">
        <f>B944/100/12+(C945-1)</f>
        <v/>
      </c>
      <c r="E945" s="8">
        <f>E944*(1+D945)</f>
        <v/>
      </c>
    </row>
    <row r="946">
      <c r="A946" s="8" t="inlineStr">
        <is>
          <t>1949-05-01</t>
        </is>
      </c>
      <c r="B946" s="6" t="n">
        <v>2.3133</v>
      </c>
      <c r="C946" s="8">
        <f>-PV(B946/100,$B$3,B945/100,1)</f>
        <v/>
      </c>
      <c r="D946" s="8">
        <f>B945/100/12+(C946-1)</f>
        <v/>
      </c>
      <c r="E946" s="8">
        <f>E945*(1+D946)</f>
        <v/>
      </c>
    </row>
    <row r="947">
      <c r="A947" s="8" t="inlineStr">
        <is>
          <t>1949-06-01</t>
        </is>
      </c>
      <c r="B947" s="6" t="n">
        <v>2.3142</v>
      </c>
      <c r="C947" s="8">
        <f>-PV(B947/100,$B$3,B946/100,1)</f>
        <v/>
      </c>
      <c r="D947" s="8">
        <f>B946/100/12+(C947-1)</f>
        <v/>
      </c>
      <c r="E947" s="8">
        <f>E946*(1+D947)</f>
        <v/>
      </c>
    </row>
    <row r="948">
      <c r="A948" s="8" t="inlineStr">
        <is>
          <t>1949-07-01</t>
        </is>
      </c>
      <c r="B948" s="6" t="n">
        <v>2.315</v>
      </c>
      <c r="C948" s="8">
        <f>-PV(B948/100,$B$3,B947/100,1)</f>
        <v/>
      </c>
      <c r="D948" s="8">
        <f>B947/100/12+(C948-1)</f>
        <v/>
      </c>
      <c r="E948" s="8">
        <f>E947*(1+D948)</f>
        <v/>
      </c>
    </row>
    <row r="949">
      <c r="A949" s="8" t="inlineStr">
        <is>
          <t>1949-08-01</t>
        </is>
      </c>
      <c r="B949" s="6" t="n">
        <v>2.3158</v>
      </c>
      <c r="C949" s="8">
        <f>-PV(B949/100,$B$3,B948/100,1)</f>
        <v/>
      </c>
      <c r="D949" s="8">
        <f>B948/100/12+(C949-1)</f>
        <v/>
      </c>
      <c r="E949" s="8">
        <f>E948*(1+D949)</f>
        <v/>
      </c>
    </row>
    <row r="950">
      <c r="A950" s="8" t="inlineStr">
        <is>
          <t>1949-09-01</t>
        </is>
      </c>
      <c r="B950" s="6" t="n">
        <v>2.3167</v>
      </c>
      <c r="C950" s="8">
        <f>-PV(B950/100,$B$3,B949/100,1)</f>
        <v/>
      </c>
      <c r="D950" s="8">
        <f>B949/100/12+(C950-1)</f>
        <v/>
      </c>
      <c r="E950" s="8">
        <f>E949*(1+D950)</f>
        <v/>
      </c>
    </row>
    <row r="951">
      <c r="A951" s="8" t="inlineStr">
        <is>
          <t>1949-10-01</t>
        </is>
      </c>
      <c r="B951" s="6" t="n">
        <v>2.3175</v>
      </c>
      <c r="C951" s="8">
        <f>-PV(B951/100,$B$3,B950/100,1)</f>
        <v/>
      </c>
      <c r="D951" s="8">
        <f>B950/100/12+(C951-1)</f>
        <v/>
      </c>
      <c r="E951" s="8">
        <f>E950*(1+D951)</f>
        <v/>
      </c>
    </row>
    <row r="952">
      <c r="A952" s="8" t="inlineStr">
        <is>
          <t>1949-11-01</t>
        </is>
      </c>
      <c r="B952" s="6" t="n">
        <v>2.3183</v>
      </c>
      <c r="C952" s="8">
        <f>-PV(B952/100,$B$3,B951/100,1)</f>
        <v/>
      </c>
      <c r="D952" s="8">
        <f>B951/100/12+(C952-1)</f>
        <v/>
      </c>
      <c r="E952" s="8">
        <f>E951*(1+D952)</f>
        <v/>
      </c>
    </row>
    <row r="953">
      <c r="A953" s="8" t="inlineStr">
        <is>
          <t>1949-12-01</t>
        </is>
      </c>
      <c r="B953" s="6" t="n">
        <v>2.3192</v>
      </c>
      <c r="C953" s="8">
        <f>-PV(B953/100,$B$3,B952/100,1)</f>
        <v/>
      </c>
      <c r="D953" s="8">
        <f>B952/100/12+(C953-1)</f>
        <v/>
      </c>
      <c r="E953" s="8">
        <f>E952*(1+D953)</f>
        <v/>
      </c>
    </row>
    <row r="954">
      <c r="A954" s="8" t="inlineStr">
        <is>
          <t>1950-01-01</t>
        </is>
      </c>
      <c r="B954" s="6" t="n">
        <v>2.32</v>
      </c>
      <c r="C954" s="8">
        <f>-PV(B954/100,$B$3,B953/100,1)</f>
        <v/>
      </c>
      <c r="D954" s="8">
        <f>B953/100/12+(C954-1)</f>
        <v/>
      </c>
      <c r="E954" s="8">
        <f>E953*(1+D954)</f>
        <v/>
      </c>
    </row>
    <row r="955">
      <c r="A955" s="8" t="inlineStr">
        <is>
          <t>1950-02-01</t>
        </is>
      </c>
      <c r="B955" s="6" t="n">
        <v>2.3408</v>
      </c>
      <c r="C955" s="8">
        <f>-PV(B955/100,$B$3,B954/100,1)</f>
        <v/>
      </c>
      <c r="D955" s="8">
        <f>B954/100/12+(C955-1)</f>
        <v/>
      </c>
      <c r="E955" s="8">
        <f>E954*(1+D955)</f>
        <v/>
      </c>
    </row>
    <row r="956">
      <c r="A956" s="8" t="inlineStr">
        <is>
          <t>1950-03-01</t>
        </is>
      </c>
      <c r="B956" s="6" t="n">
        <v>2.3617</v>
      </c>
      <c r="C956" s="8">
        <f>-PV(B956/100,$B$3,B955/100,1)</f>
        <v/>
      </c>
      <c r="D956" s="8">
        <f>B955/100/12+(C956-1)</f>
        <v/>
      </c>
      <c r="E956" s="8">
        <f>E955*(1+D956)</f>
        <v/>
      </c>
    </row>
    <row r="957">
      <c r="A957" s="8" t="inlineStr">
        <is>
          <t>1950-04-01</t>
        </is>
      </c>
      <c r="B957" s="6" t="n">
        <v>2.3825</v>
      </c>
      <c r="C957" s="8">
        <f>-PV(B957/100,$B$3,B956/100,1)</f>
        <v/>
      </c>
      <c r="D957" s="8">
        <f>B956/100/12+(C957-1)</f>
        <v/>
      </c>
      <c r="E957" s="8">
        <f>E956*(1+D957)</f>
        <v/>
      </c>
    </row>
    <row r="958">
      <c r="A958" s="8" t="inlineStr">
        <is>
          <t>1950-05-01</t>
        </is>
      </c>
      <c r="B958" s="6" t="n">
        <v>2.4033</v>
      </c>
      <c r="C958" s="8">
        <f>-PV(B958/100,$B$3,B957/100,1)</f>
        <v/>
      </c>
      <c r="D958" s="8">
        <f>B957/100/12+(C958-1)</f>
        <v/>
      </c>
      <c r="E958" s="8">
        <f>E957*(1+D958)</f>
        <v/>
      </c>
    </row>
    <row r="959">
      <c r="A959" s="8" t="inlineStr">
        <is>
          <t>1950-06-01</t>
        </is>
      </c>
      <c r="B959" s="6" t="n">
        <v>2.4242</v>
      </c>
      <c r="C959" s="8">
        <f>-PV(B959/100,$B$3,B958/100,1)</f>
        <v/>
      </c>
      <c r="D959" s="8">
        <f>B958/100/12+(C959-1)</f>
        <v/>
      </c>
      <c r="E959" s="8">
        <f>E958*(1+D959)</f>
        <v/>
      </c>
    </row>
    <row r="960">
      <c r="A960" s="8" t="inlineStr">
        <is>
          <t>1950-07-01</t>
        </is>
      </c>
      <c r="B960" s="6" t="n">
        <v>2.445</v>
      </c>
      <c r="C960" s="8">
        <f>-PV(B960/100,$B$3,B959/100,1)</f>
        <v/>
      </c>
      <c r="D960" s="8">
        <f>B959/100/12+(C960-1)</f>
        <v/>
      </c>
      <c r="E960" s="8">
        <f>E959*(1+D960)</f>
        <v/>
      </c>
    </row>
    <row r="961">
      <c r="A961" s="8" t="inlineStr">
        <is>
          <t>1950-08-01</t>
        </is>
      </c>
      <c r="B961" s="6" t="n">
        <v>2.4658</v>
      </c>
      <c r="C961" s="8">
        <f>-PV(B961/100,$B$3,B960/100,1)</f>
        <v/>
      </c>
      <c r="D961" s="8">
        <f>B960/100/12+(C961-1)</f>
        <v/>
      </c>
      <c r="E961" s="8">
        <f>E960*(1+D961)</f>
        <v/>
      </c>
    </row>
    <row r="962">
      <c r="A962" s="8" t="inlineStr">
        <is>
          <t>1950-09-01</t>
        </is>
      </c>
      <c r="B962" s="6" t="n">
        <v>2.4867</v>
      </c>
      <c r="C962" s="8">
        <f>-PV(B962/100,$B$3,B961/100,1)</f>
        <v/>
      </c>
      <c r="D962" s="8">
        <f>B961/100/12+(C962-1)</f>
        <v/>
      </c>
      <c r="E962" s="8">
        <f>E961*(1+D962)</f>
        <v/>
      </c>
    </row>
    <row r="963">
      <c r="A963" s="8" t="inlineStr">
        <is>
          <t>1950-10-01</t>
        </is>
      </c>
      <c r="B963" s="6" t="n">
        <v>2.5075</v>
      </c>
      <c r="C963" s="8">
        <f>-PV(B963/100,$B$3,B962/100,1)</f>
        <v/>
      </c>
      <c r="D963" s="8">
        <f>B962/100/12+(C963-1)</f>
        <v/>
      </c>
      <c r="E963" s="8">
        <f>E962*(1+D963)</f>
        <v/>
      </c>
    </row>
    <row r="964">
      <c r="A964" s="8" t="inlineStr">
        <is>
          <t>1950-11-01</t>
        </is>
      </c>
      <c r="B964" s="6" t="n">
        <v>2.5283</v>
      </c>
      <c r="C964" s="8">
        <f>-PV(B964/100,$B$3,B963/100,1)</f>
        <v/>
      </c>
      <c r="D964" s="8">
        <f>B963/100/12+(C964-1)</f>
        <v/>
      </c>
      <c r="E964" s="8">
        <f>E963*(1+D964)</f>
        <v/>
      </c>
    </row>
    <row r="965">
      <c r="A965" s="8" t="inlineStr">
        <is>
          <t>1950-12-01</t>
        </is>
      </c>
      <c r="B965" s="6" t="n">
        <v>2.5492</v>
      </c>
      <c r="C965" s="8">
        <f>-PV(B965/100,$B$3,B964/100,1)</f>
        <v/>
      </c>
      <c r="D965" s="8">
        <f>B964/100/12+(C965-1)</f>
        <v/>
      </c>
      <c r="E965" s="8">
        <f>E964*(1+D965)</f>
        <v/>
      </c>
    </row>
    <row r="966">
      <c r="A966" s="8" t="inlineStr">
        <is>
          <t>1951-01-01</t>
        </is>
      </c>
      <c r="B966" s="6" t="n">
        <v>2.57</v>
      </c>
      <c r="C966" s="8">
        <f>-PV(B966/100,$B$3,B965/100,1)</f>
        <v/>
      </c>
      <c r="D966" s="8">
        <f>B965/100/12+(C966-1)</f>
        <v/>
      </c>
      <c r="E966" s="8">
        <f>E965*(1+D966)</f>
        <v/>
      </c>
    </row>
    <row r="967">
      <c r="A967" s="8" t="inlineStr">
        <is>
          <t>1951-02-01</t>
        </is>
      </c>
      <c r="B967" s="6" t="n">
        <v>2.5792</v>
      </c>
      <c r="C967" s="8">
        <f>-PV(B967/100,$B$3,B966/100,1)</f>
        <v/>
      </c>
      <c r="D967" s="8">
        <f>B966/100/12+(C967-1)</f>
        <v/>
      </c>
      <c r="E967" s="8">
        <f>E966*(1+D967)</f>
        <v/>
      </c>
    </row>
    <row r="968">
      <c r="A968" s="8" t="inlineStr">
        <is>
          <t>1951-03-01</t>
        </is>
      </c>
      <c r="B968" s="6" t="n">
        <v>2.5883</v>
      </c>
      <c r="C968" s="8">
        <f>-PV(B968/100,$B$3,B967/100,1)</f>
        <v/>
      </c>
      <c r="D968" s="8">
        <f>B967/100/12+(C968-1)</f>
        <v/>
      </c>
      <c r="E968" s="8">
        <f>E967*(1+D968)</f>
        <v/>
      </c>
    </row>
    <row r="969">
      <c r="A969" s="8" t="inlineStr">
        <is>
          <t>1951-04-01</t>
        </is>
      </c>
      <c r="B969" s="6" t="n">
        <v>2.5975</v>
      </c>
      <c r="C969" s="8">
        <f>-PV(B969/100,$B$3,B968/100,1)</f>
        <v/>
      </c>
      <c r="D969" s="8">
        <f>B968/100/12+(C969-1)</f>
        <v/>
      </c>
      <c r="E969" s="8">
        <f>E968*(1+D969)</f>
        <v/>
      </c>
    </row>
    <row r="970">
      <c r="A970" s="8" t="inlineStr">
        <is>
          <t>1951-05-01</t>
        </is>
      </c>
      <c r="B970" s="6" t="n">
        <v>2.6067</v>
      </c>
      <c r="C970" s="8">
        <f>-PV(B970/100,$B$3,B969/100,1)</f>
        <v/>
      </c>
      <c r="D970" s="8">
        <f>B969/100/12+(C970-1)</f>
        <v/>
      </c>
      <c r="E970" s="8">
        <f>E969*(1+D970)</f>
        <v/>
      </c>
    </row>
    <row r="971">
      <c r="A971" s="8" t="inlineStr">
        <is>
          <t>1951-06-01</t>
        </is>
      </c>
      <c r="B971" s="6" t="n">
        <v>2.6158</v>
      </c>
      <c r="C971" s="8">
        <f>-PV(B971/100,$B$3,B970/100,1)</f>
        <v/>
      </c>
      <c r="D971" s="8">
        <f>B970/100/12+(C971-1)</f>
        <v/>
      </c>
      <c r="E971" s="8">
        <f>E970*(1+D971)</f>
        <v/>
      </c>
    </row>
    <row r="972">
      <c r="A972" s="8" t="inlineStr">
        <is>
          <t>1951-07-01</t>
        </is>
      </c>
      <c r="B972" s="6" t="n">
        <v>2.625</v>
      </c>
      <c r="C972" s="8">
        <f>-PV(B972/100,$B$3,B971/100,1)</f>
        <v/>
      </c>
      <c r="D972" s="8">
        <f>B971/100/12+(C972-1)</f>
        <v/>
      </c>
      <c r="E972" s="8">
        <f>E971*(1+D972)</f>
        <v/>
      </c>
    </row>
    <row r="973">
      <c r="A973" s="8" t="inlineStr">
        <is>
          <t>1951-08-01</t>
        </is>
      </c>
      <c r="B973" s="6" t="n">
        <v>2.6342</v>
      </c>
      <c r="C973" s="8">
        <f>-PV(B973/100,$B$3,B972/100,1)</f>
        <v/>
      </c>
      <c r="D973" s="8">
        <f>B972/100/12+(C973-1)</f>
        <v/>
      </c>
      <c r="E973" s="8">
        <f>E972*(1+D973)</f>
        <v/>
      </c>
    </row>
    <row r="974">
      <c r="A974" s="8" t="inlineStr">
        <is>
          <t>1951-09-01</t>
        </is>
      </c>
      <c r="B974" s="6" t="n">
        <v>2.6433</v>
      </c>
      <c r="C974" s="8">
        <f>-PV(B974/100,$B$3,B973/100,1)</f>
        <v/>
      </c>
      <c r="D974" s="8">
        <f>B973/100/12+(C974-1)</f>
        <v/>
      </c>
      <c r="E974" s="8">
        <f>E973*(1+D974)</f>
        <v/>
      </c>
    </row>
    <row r="975">
      <c r="A975" s="8" t="inlineStr">
        <is>
          <t>1951-10-01</t>
        </is>
      </c>
      <c r="B975" s="6" t="n">
        <v>2.6525</v>
      </c>
      <c r="C975" s="8">
        <f>-PV(B975/100,$B$3,B974/100,1)</f>
        <v/>
      </c>
      <c r="D975" s="8">
        <f>B974/100/12+(C975-1)</f>
        <v/>
      </c>
      <c r="E975" s="8">
        <f>E974*(1+D975)</f>
        <v/>
      </c>
    </row>
    <row r="976">
      <c r="A976" s="8" t="inlineStr">
        <is>
          <t>1951-11-01</t>
        </is>
      </c>
      <c r="B976" s="6" t="n">
        <v>2.6617</v>
      </c>
      <c r="C976" s="8">
        <f>-PV(B976/100,$B$3,B975/100,1)</f>
        <v/>
      </c>
      <c r="D976" s="8">
        <f>B975/100/12+(C976-1)</f>
        <v/>
      </c>
      <c r="E976" s="8">
        <f>E975*(1+D976)</f>
        <v/>
      </c>
    </row>
    <row r="977">
      <c r="A977" s="8" t="inlineStr">
        <is>
          <t>1951-12-01</t>
        </is>
      </c>
      <c r="B977" s="6" t="n">
        <v>2.6708</v>
      </c>
      <c r="C977" s="8">
        <f>-PV(B977/100,$B$3,B976/100,1)</f>
        <v/>
      </c>
      <c r="D977" s="8">
        <f>B976/100/12+(C977-1)</f>
        <v/>
      </c>
      <c r="E977" s="8">
        <f>E976*(1+D977)</f>
        <v/>
      </c>
    </row>
    <row r="978">
      <c r="A978" s="8" t="inlineStr">
        <is>
          <t>1952-01-01</t>
        </is>
      </c>
      <c r="B978" s="6" t="n">
        <v>2.68</v>
      </c>
      <c r="C978" s="8">
        <f>-PV(B978/100,$B$3,B977/100,1)</f>
        <v/>
      </c>
      <c r="D978" s="8">
        <f>B977/100/12+(C978-1)</f>
        <v/>
      </c>
      <c r="E978" s="8">
        <f>E977*(1+D978)</f>
        <v/>
      </c>
    </row>
    <row r="979">
      <c r="A979" s="8" t="inlineStr">
        <is>
          <t>1952-02-01</t>
        </is>
      </c>
      <c r="B979" s="6" t="n">
        <v>2.6925</v>
      </c>
      <c r="C979" s="8">
        <f>-PV(B979/100,$B$3,B978/100,1)</f>
        <v/>
      </c>
      <c r="D979" s="8">
        <f>B978/100/12+(C979-1)</f>
        <v/>
      </c>
      <c r="E979" s="8">
        <f>E978*(1+D979)</f>
        <v/>
      </c>
    </row>
    <row r="980">
      <c r="A980" s="8" t="inlineStr">
        <is>
          <t>1952-03-01</t>
        </is>
      </c>
      <c r="B980" s="6" t="n">
        <v>2.705</v>
      </c>
      <c r="C980" s="8">
        <f>-PV(B980/100,$B$3,B979/100,1)</f>
        <v/>
      </c>
      <c r="D980" s="8">
        <f>B979/100/12+(C980-1)</f>
        <v/>
      </c>
      <c r="E980" s="8">
        <f>E979*(1+D980)</f>
        <v/>
      </c>
    </row>
    <row r="981">
      <c r="A981" s="8" t="inlineStr">
        <is>
          <t>1952-04-01</t>
        </is>
      </c>
      <c r="B981" s="6" t="n">
        <v>2.7175</v>
      </c>
      <c r="C981" s="8">
        <f>-PV(B981/100,$B$3,B980/100,1)</f>
        <v/>
      </c>
      <c r="D981" s="8">
        <f>B980/100/12+(C981-1)</f>
        <v/>
      </c>
      <c r="E981" s="8">
        <f>E980*(1+D981)</f>
        <v/>
      </c>
    </row>
    <row r="982">
      <c r="A982" s="8" t="inlineStr">
        <is>
          <t>1952-05-01</t>
        </is>
      </c>
      <c r="B982" s="6" t="n">
        <v>2.73</v>
      </c>
      <c r="C982" s="8">
        <f>-PV(B982/100,$B$3,B981/100,1)</f>
        <v/>
      </c>
      <c r="D982" s="8">
        <f>B981/100/12+(C982-1)</f>
        <v/>
      </c>
      <c r="E982" s="8">
        <f>E981*(1+D982)</f>
        <v/>
      </c>
    </row>
    <row r="983">
      <c r="A983" s="8" t="inlineStr">
        <is>
          <t>1952-06-01</t>
        </is>
      </c>
      <c r="B983" s="6" t="n">
        <v>2.7425</v>
      </c>
      <c r="C983" s="8">
        <f>-PV(B983/100,$B$3,B982/100,1)</f>
        <v/>
      </c>
      <c r="D983" s="8">
        <f>B982/100/12+(C983-1)</f>
        <v/>
      </c>
      <c r="E983" s="8">
        <f>E982*(1+D983)</f>
        <v/>
      </c>
    </row>
    <row r="984">
      <c r="A984" s="8" t="inlineStr">
        <is>
          <t>1952-07-01</t>
        </is>
      </c>
      <c r="B984" s="6" t="n">
        <v>2.755</v>
      </c>
      <c r="C984" s="8">
        <f>-PV(B984/100,$B$3,B983/100,1)</f>
        <v/>
      </c>
      <c r="D984" s="8">
        <f>B983/100/12+(C984-1)</f>
        <v/>
      </c>
      <c r="E984" s="8">
        <f>E983*(1+D984)</f>
        <v/>
      </c>
    </row>
    <row r="985">
      <c r="A985" s="8" t="inlineStr">
        <is>
          <t>1952-08-01</t>
        </is>
      </c>
      <c r="B985" s="6" t="n">
        <v>2.7675</v>
      </c>
      <c r="C985" s="8">
        <f>-PV(B985/100,$B$3,B984/100,1)</f>
        <v/>
      </c>
      <c r="D985" s="8">
        <f>B984/100/12+(C985-1)</f>
        <v/>
      </c>
      <c r="E985" s="8">
        <f>E984*(1+D985)</f>
        <v/>
      </c>
    </row>
    <row r="986">
      <c r="A986" s="8" t="inlineStr">
        <is>
          <t>1952-09-01</t>
        </is>
      </c>
      <c r="B986" s="6" t="n">
        <v>2.78</v>
      </c>
      <c r="C986" s="8">
        <f>-PV(B986/100,$B$3,B985/100,1)</f>
        <v/>
      </c>
      <c r="D986" s="8">
        <f>B985/100/12+(C986-1)</f>
        <v/>
      </c>
      <c r="E986" s="8">
        <f>E985*(1+D986)</f>
        <v/>
      </c>
    </row>
    <row r="987">
      <c r="A987" s="8" t="inlineStr">
        <is>
          <t>1952-10-01</t>
        </is>
      </c>
      <c r="B987" s="6" t="n">
        <v>2.7925</v>
      </c>
      <c r="C987" s="8">
        <f>-PV(B987/100,$B$3,B986/100,1)</f>
        <v/>
      </c>
      <c r="D987" s="8">
        <f>B986/100/12+(C987-1)</f>
        <v/>
      </c>
      <c r="E987" s="8">
        <f>E986*(1+D987)</f>
        <v/>
      </c>
    </row>
    <row r="988">
      <c r="A988" s="8" t="inlineStr">
        <is>
          <t>1952-11-01</t>
        </is>
      </c>
      <c r="B988" s="6" t="n">
        <v>2.805</v>
      </c>
      <c r="C988" s="8">
        <f>-PV(B988/100,$B$3,B987/100,1)</f>
        <v/>
      </c>
      <c r="D988" s="8">
        <f>B987/100/12+(C988-1)</f>
        <v/>
      </c>
      <c r="E988" s="8">
        <f>E987*(1+D988)</f>
        <v/>
      </c>
    </row>
    <row r="989">
      <c r="A989" s="8" t="inlineStr">
        <is>
          <t>1952-12-01</t>
        </is>
      </c>
      <c r="B989" s="6" t="n">
        <v>2.8175</v>
      </c>
      <c r="C989" s="8">
        <f>-PV(B989/100,$B$3,B988/100,1)</f>
        <v/>
      </c>
      <c r="D989" s="8">
        <f>B988/100/12+(C989-1)</f>
        <v/>
      </c>
      <c r="E989" s="8">
        <f>E988*(1+D989)</f>
        <v/>
      </c>
    </row>
    <row r="990">
      <c r="A990" s="8" t="inlineStr">
        <is>
          <t>1953-01-01</t>
        </is>
      </c>
      <c r="B990" s="6" t="n">
        <v>2.83</v>
      </c>
      <c r="C990" s="8">
        <f>-PV(B990/100,$B$3,B989/100,1)</f>
        <v/>
      </c>
      <c r="D990" s="8">
        <f>B989/100/12+(C990-1)</f>
        <v/>
      </c>
      <c r="E990" s="8">
        <f>E989*(1+D990)</f>
        <v/>
      </c>
    </row>
    <row r="991">
      <c r="A991" s="8" t="inlineStr">
        <is>
          <t>1953-02-01</t>
        </is>
      </c>
      <c r="B991" s="6" t="n">
        <v>2.8008</v>
      </c>
      <c r="C991" s="8">
        <f>-PV(B991/100,$B$3,B990/100,1)</f>
        <v/>
      </c>
      <c r="D991" s="8">
        <f>B990/100/12+(C991-1)</f>
        <v/>
      </c>
      <c r="E991" s="8">
        <f>E990*(1+D991)</f>
        <v/>
      </c>
    </row>
    <row r="992">
      <c r="A992" s="8" t="inlineStr">
        <is>
          <t>1953-03-01</t>
        </is>
      </c>
      <c r="B992" s="6" t="n">
        <v>2.7717</v>
      </c>
      <c r="C992" s="8">
        <f>-PV(B992/100,$B$3,B991/100,1)</f>
        <v/>
      </c>
      <c r="D992" s="8">
        <f>B991/100/12+(C992-1)</f>
        <v/>
      </c>
      <c r="E992" s="8">
        <f>E991*(1+D992)</f>
        <v/>
      </c>
    </row>
    <row r="993">
      <c r="A993" s="8" t="inlineStr">
        <is>
          <t>1953-04-01</t>
        </is>
      </c>
      <c r="B993" s="6" t="n">
        <v>2.83</v>
      </c>
      <c r="C993" s="8">
        <f>-PV(B993/100,$B$3,B992/100,1)</f>
        <v/>
      </c>
      <c r="D993" s="8">
        <f>B992/100/12+(C993-1)</f>
        <v/>
      </c>
      <c r="E993" s="8">
        <f>E992*(1+D993)</f>
        <v/>
      </c>
    </row>
    <row r="994">
      <c r="A994" s="8" t="inlineStr">
        <is>
          <t>1953-05-01</t>
        </is>
      </c>
      <c r="B994" s="6" t="n">
        <v>3.05</v>
      </c>
      <c r="C994" s="8">
        <f>-PV(B994/100,$B$3,B993/100,1)</f>
        <v/>
      </c>
      <c r="D994" s="8">
        <f>B993/100/12+(C994-1)</f>
        <v/>
      </c>
      <c r="E994" s="8">
        <f>E993*(1+D994)</f>
        <v/>
      </c>
    </row>
    <row r="995">
      <c r="A995" s="8" t="inlineStr">
        <is>
          <t>1953-06-01</t>
        </is>
      </c>
      <c r="B995" s="6" t="n">
        <v>3.11</v>
      </c>
      <c r="C995" s="8">
        <f>-PV(B995/100,$B$3,B994/100,1)</f>
        <v/>
      </c>
      <c r="D995" s="8">
        <f>B994/100/12+(C995-1)</f>
        <v/>
      </c>
      <c r="E995" s="8">
        <f>E994*(1+D995)</f>
        <v/>
      </c>
    </row>
    <row r="996">
      <c r="A996" s="8" t="inlineStr">
        <is>
          <t>1953-07-01</t>
        </is>
      </c>
      <c r="B996" s="6" t="n">
        <v>2.93</v>
      </c>
      <c r="C996" s="8">
        <f>-PV(B996/100,$B$3,B995/100,1)</f>
        <v/>
      </c>
      <c r="D996" s="8">
        <f>B995/100/12+(C996-1)</f>
        <v/>
      </c>
      <c r="E996" s="8">
        <f>E995*(1+D996)</f>
        <v/>
      </c>
    </row>
    <row r="997">
      <c r="A997" s="8" t="inlineStr">
        <is>
          <t>1953-08-01</t>
        </is>
      </c>
      <c r="B997" s="6" t="n">
        <v>2.95</v>
      </c>
      <c r="C997" s="8">
        <f>-PV(B997/100,$B$3,B996/100,1)</f>
        <v/>
      </c>
      <c r="D997" s="8">
        <f>B996/100/12+(C997-1)</f>
        <v/>
      </c>
      <c r="E997" s="8">
        <f>E996*(1+D997)</f>
        <v/>
      </c>
    </row>
    <row r="998">
      <c r="A998" s="8" t="inlineStr">
        <is>
          <t>1953-09-01</t>
        </is>
      </c>
      <c r="B998" s="6" t="n">
        <v>2.87</v>
      </c>
      <c r="C998" s="8">
        <f>-PV(B998/100,$B$3,B997/100,1)</f>
        <v/>
      </c>
      <c r="D998" s="8">
        <f>B997/100/12+(C998-1)</f>
        <v/>
      </c>
      <c r="E998" s="8">
        <f>E997*(1+D998)</f>
        <v/>
      </c>
    </row>
    <row r="999">
      <c r="A999" s="8" t="inlineStr">
        <is>
          <t>1953-10-01</t>
        </is>
      </c>
      <c r="B999" s="6" t="n">
        <v>2.66</v>
      </c>
      <c r="C999" s="8">
        <f>-PV(B999/100,$B$3,B998/100,1)</f>
        <v/>
      </c>
      <c r="D999" s="8">
        <f>B998/100/12+(C999-1)</f>
        <v/>
      </c>
      <c r="E999" s="8">
        <f>E998*(1+D999)</f>
        <v/>
      </c>
    </row>
    <row r="1000">
      <c r="A1000" s="8" t="inlineStr">
        <is>
          <t>1953-11-01</t>
        </is>
      </c>
      <c r="B1000" s="6" t="n">
        <v>2.68</v>
      </c>
      <c r="C1000" s="8">
        <f>-PV(B1000/100,$B$3,B999/100,1)</f>
        <v/>
      </c>
      <c r="D1000" s="8">
        <f>B999/100/12+(C1000-1)</f>
        <v/>
      </c>
      <c r="E1000" s="8">
        <f>E999*(1+D1000)</f>
        <v/>
      </c>
    </row>
    <row r="1001">
      <c r="A1001" s="8" t="inlineStr">
        <is>
          <t>1953-12-01</t>
        </is>
      </c>
      <c r="B1001" s="6" t="n">
        <v>2.59</v>
      </c>
      <c r="C1001" s="8">
        <f>-PV(B1001/100,$B$3,B1000/100,1)</f>
        <v/>
      </c>
      <c r="D1001" s="8">
        <f>B1000/100/12+(C1001-1)</f>
        <v/>
      </c>
      <c r="E1001" s="8">
        <f>E1000*(1+D1001)</f>
        <v/>
      </c>
    </row>
    <row r="1002">
      <c r="A1002" s="8" t="inlineStr">
        <is>
          <t>1954-01-01</t>
        </is>
      </c>
      <c r="B1002" s="6" t="n">
        <v>2.48</v>
      </c>
      <c r="C1002" s="8">
        <f>-PV(B1002/100,$B$3,B1001/100,1)</f>
        <v/>
      </c>
      <c r="D1002" s="8">
        <f>B1001/100/12+(C1002-1)</f>
        <v/>
      </c>
      <c r="E1002" s="8">
        <f>E1001*(1+D1002)</f>
        <v/>
      </c>
    </row>
    <row r="1003">
      <c r="A1003" s="8" t="inlineStr">
        <is>
          <t>1954-02-01</t>
        </is>
      </c>
      <c r="B1003" s="6" t="n">
        <v>2.47</v>
      </c>
      <c r="C1003" s="8">
        <f>-PV(B1003/100,$B$3,B1002/100,1)</f>
        <v/>
      </c>
      <c r="D1003" s="8">
        <f>B1002/100/12+(C1003-1)</f>
        <v/>
      </c>
      <c r="E1003" s="8">
        <f>E1002*(1+D1003)</f>
        <v/>
      </c>
    </row>
    <row r="1004">
      <c r="A1004" s="8" t="inlineStr">
        <is>
          <t>1954-03-01</t>
        </is>
      </c>
      <c r="B1004" s="6" t="n">
        <v>2.37</v>
      </c>
      <c r="C1004" s="8">
        <f>-PV(B1004/100,$B$3,B1003/100,1)</f>
        <v/>
      </c>
      <c r="D1004" s="8">
        <f>B1003/100/12+(C1004-1)</f>
        <v/>
      </c>
      <c r="E1004" s="8">
        <f>E1003*(1+D1004)</f>
        <v/>
      </c>
    </row>
    <row r="1005">
      <c r="A1005" s="8" t="inlineStr">
        <is>
          <t>1954-04-01</t>
        </is>
      </c>
      <c r="B1005" s="6" t="n">
        <v>2.29</v>
      </c>
      <c r="C1005" s="8">
        <f>-PV(B1005/100,$B$3,B1004/100,1)</f>
        <v/>
      </c>
      <c r="D1005" s="8">
        <f>B1004/100/12+(C1005-1)</f>
        <v/>
      </c>
      <c r="E1005" s="8">
        <f>E1004*(1+D1005)</f>
        <v/>
      </c>
    </row>
    <row r="1006">
      <c r="A1006" s="8" t="inlineStr">
        <is>
          <t>1954-05-01</t>
        </is>
      </c>
      <c r="B1006" s="6" t="n">
        <v>2.37</v>
      </c>
      <c r="C1006" s="8">
        <f>-PV(B1006/100,$B$3,B1005/100,1)</f>
        <v/>
      </c>
      <c r="D1006" s="8">
        <f>B1005/100/12+(C1006-1)</f>
        <v/>
      </c>
      <c r="E1006" s="8">
        <f>E1005*(1+D1006)</f>
        <v/>
      </c>
    </row>
    <row r="1007">
      <c r="A1007" s="8" t="inlineStr">
        <is>
          <t>1954-06-01</t>
        </is>
      </c>
      <c r="B1007" s="6" t="n">
        <v>2.38</v>
      </c>
      <c r="C1007" s="8">
        <f>-PV(B1007/100,$B$3,B1006/100,1)</f>
        <v/>
      </c>
      <c r="D1007" s="8">
        <f>B1006/100/12+(C1007-1)</f>
        <v/>
      </c>
      <c r="E1007" s="8">
        <f>E1006*(1+D1007)</f>
        <v/>
      </c>
    </row>
    <row r="1008">
      <c r="A1008" s="8" t="inlineStr">
        <is>
          <t>1954-07-01</t>
        </is>
      </c>
      <c r="B1008" s="6" t="n">
        <v>2.3</v>
      </c>
      <c r="C1008" s="8">
        <f>-PV(B1008/100,$B$3,B1007/100,1)</f>
        <v/>
      </c>
      <c r="D1008" s="8">
        <f>B1007/100/12+(C1008-1)</f>
        <v/>
      </c>
      <c r="E1008" s="8">
        <f>E1007*(1+D1008)</f>
        <v/>
      </c>
    </row>
    <row r="1009">
      <c r="A1009" s="8" t="inlineStr">
        <is>
          <t>1954-08-01</t>
        </is>
      </c>
      <c r="B1009" s="6" t="n">
        <v>2.36</v>
      </c>
      <c r="C1009" s="8">
        <f>-PV(B1009/100,$B$3,B1008/100,1)</f>
        <v/>
      </c>
      <c r="D1009" s="8">
        <f>B1008/100/12+(C1009-1)</f>
        <v/>
      </c>
      <c r="E1009" s="8">
        <f>E1008*(1+D1009)</f>
        <v/>
      </c>
    </row>
    <row r="1010">
      <c r="A1010" s="8" t="inlineStr">
        <is>
          <t>1954-09-01</t>
        </is>
      </c>
      <c r="B1010" s="6" t="n">
        <v>2.38</v>
      </c>
      <c r="C1010" s="8">
        <f>-PV(B1010/100,$B$3,B1009/100,1)</f>
        <v/>
      </c>
      <c r="D1010" s="8">
        <f>B1009/100/12+(C1010-1)</f>
        <v/>
      </c>
      <c r="E1010" s="8">
        <f>E1009*(1+D1010)</f>
        <v/>
      </c>
    </row>
    <row r="1011">
      <c r="A1011" s="8" t="inlineStr">
        <is>
          <t>1954-10-01</t>
        </is>
      </c>
      <c r="B1011" s="6" t="n">
        <v>2.43</v>
      </c>
      <c r="C1011" s="8">
        <f>-PV(B1011/100,$B$3,B1010/100,1)</f>
        <v/>
      </c>
      <c r="D1011" s="8">
        <f>B1010/100/12+(C1011-1)</f>
        <v/>
      </c>
      <c r="E1011" s="8">
        <f>E1010*(1+D1011)</f>
        <v/>
      </c>
    </row>
    <row r="1012">
      <c r="A1012" s="8" t="inlineStr">
        <is>
          <t>1954-11-01</t>
        </is>
      </c>
      <c r="B1012" s="6" t="n">
        <v>2.48</v>
      </c>
      <c r="C1012" s="8">
        <f>-PV(B1012/100,$B$3,B1011/100,1)</f>
        <v/>
      </c>
      <c r="D1012" s="8">
        <f>B1011/100/12+(C1012-1)</f>
        <v/>
      </c>
      <c r="E1012" s="8">
        <f>E1011*(1+D1012)</f>
        <v/>
      </c>
    </row>
    <row r="1013">
      <c r="A1013" s="8" t="inlineStr">
        <is>
          <t>1954-12-01</t>
        </is>
      </c>
      <c r="B1013" s="6" t="n">
        <v>2.51</v>
      </c>
      <c r="C1013" s="8">
        <f>-PV(B1013/100,$B$3,B1012/100,1)</f>
        <v/>
      </c>
      <c r="D1013" s="8">
        <f>B1012/100/12+(C1013-1)</f>
        <v/>
      </c>
      <c r="E1013" s="8">
        <f>E1012*(1+D1013)</f>
        <v/>
      </c>
    </row>
    <row r="1014">
      <c r="A1014" s="8" t="inlineStr">
        <is>
          <t>1955-01-01</t>
        </is>
      </c>
      <c r="B1014" s="6" t="n">
        <v>2.61</v>
      </c>
      <c r="C1014" s="8">
        <f>-PV(B1014/100,$B$3,B1013/100,1)</f>
        <v/>
      </c>
      <c r="D1014" s="8">
        <f>B1013/100/12+(C1014-1)</f>
        <v/>
      </c>
      <c r="E1014" s="8">
        <f>E1013*(1+D1014)</f>
        <v/>
      </c>
    </row>
    <row r="1015">
      <c r="A1015" s="8" t="inlineStr">
        <is>
          <t>1955-02-01</t>
        </is>
      </c>
      <c r="B1015" s="6" t="n">
        <v>2.65</v>
      </c>
      <c r="C1015" s="8">
        <f>-PV(B1015/100,$B$3,B1014/100,1)</f>
        <v/>
      </c>
      <c r="D1015" s="8">
        <f>B1014/100/12+(C1015-1)</f>
        <v/>
      </c>
      <c r="E1015" s="8">
        <f>E1014*(1+D1015)</f>
        <v/>
      </c>
    </row>
    <row r="1016">
      <c r="A1016" s="8" t="inlineStr">
        <is>
          <t>1955-03-01</t>
        </is>
      </c>
      <c r="B1016" s="6" t="n">
        <v>2.68</v>
      </c>
      <c r="C1016" s="8">
        <f>-PV(B1016/100,$B$3,B1015/100,1)</f>
        <v/>
      </c>
      <c r="D1016" s="8">
        <f>B1015/100/12+(C1016-1)</f>
        <v/>
      </c>
      <c r="E1016" s="8">
        <f>E1015*(1+D1016)</f>
        <v/>
      </c>
    </row>
    <row r="1017">
      <c r="A1017" s="8" t="inlineStr">
        <is>
          <t>1955-04-01</t>
        </is>
      </c>
      <c r="B1017" s="6" t="n">
        <v>2.75</v>
      </c>
      <c r="C1017" s="8">
        <f>-PV(B1017/100,$B$3,B1016/100,1)</f>
        <v/>
      </c>
      <c r="D1017" s="8">
        <f>B1016/100/12+(C1017-1)</f>
        <v/>
      </c>
      <c r="E1017" s="8">
        <f>E1016*(1+D1017)</f>
        <v/>
      </c>
    </row>
    <row r="1018">
      <c r="A1018" s="8" t="inlineStr">
        <is>
          <t>1955-05-01</t>
        </is>
      </c>
      <c r="B1018" s="6" t="n">
        <v>2.76</v>
      </c>
      <c r="C1018" s="8">
        <f>-PV(B1018/100,$B$3,B1017/100,1)</f>
        <v/>
      </c>
      <c r="D1018" s="8">
        <f>B1017/100/12+(C1018-1)</f>
        <v/>
      </c>
      <c r="E1018" s="8">
        <f>E1017*(1+D1018)</f>
        <v/>
      </c>
    </row>
    <row r="1019">
      <c r="A1019" s="8" t="inlineStr">
        <is>
          <t>1955-06-01</t>
        </is>
      </c>
      <c r="B1019" s="6" t="n">
        <v>2.78</v>
      </c>
      <c r="C1019" s="8">
        <f>-PV(B1019/100,$B$3,B1018/100,1)</f>
        <v/>
      </c>
      <c r="D1019" s="8">
        <f>B1018/100/12+(C1019-1)</f>
        <v/>
      </c>
      <c r="E1019" s="8">
        <f>E1018*(1+D1019)</f>
        <v/>
      </c>
    </row>
    <row r="1020">
      <c r="A1020" s="8" t="inlineStr">
        <is>
          <t>1955-07-01</t>
        </is>
      </c>
      <c r="B1020" s="6" t="n">
        <v>2.9</v>
      </c>
      <c r="C1020" s="8">
        <f>-PV(B1020/100,$B$3,B1019/100,1)</f>
        <v/>
      </c>
      <c r="D1020" s="8">
        <f>B1019/100/12+(C1020-1)</f>
        <v/>
      </c>
      <c r="E1020" s="8">
        <f>E1019*(1+D1020)</f>
        <v/>
      </c>
    </row>
    <row r="1021">
      <c r="A1021" s="8" t="inlineStr">
        <is>
          <t>1955-08-01</t>
        </is>
      </c>
      <c r="B1021" s="6" t="n">
        <v>2.97</v>
      </c>
      <c r="C1021" s="8">
        <f>-PV(B1021/100,$B$3,B1020/100,1)</f>
        <v/>
      </c>
      <c r="D1021" s="8">
        <f>B1020/100/12+(C1021-1)</f>
        <v/>
      </c>
      <c r="E1021" s="8">
        <f>E1020*(1+D1021)</f>
        <v/>
      </c>
    </row>
    <row r="1022">
      <c r="A1022" s="8" t="inlineStr">
        <is>
          <t>1955-09-01</t>
        </is>
      </c>
      <c r="B1022" s="6" t="n">
        <v>2.97</v>
      </c>
      <c r="C1022" s="8">
        <f>-PV(B1022/100,$B$3,B1021/100,1)</f>
        <v/>
      </c>
      <c r="D1022" s="8">
        <f>B1021/100/12+(C1022-1)</f>
        <v/>
      </c>
      <c r="E1022" s="8">
        <f>E1021*(1+D1022)</f>
        <v/>
      </c>
    </row>
    <row r="1023">
      <c r="A1023" s="8" t="inlineStr">
        <is>
          <t>1955-10-01</t>
        </is>
      </c>
      <c r="B1023" s="6" t="n">
        <v>2.88</v>
      </c>
      <c r="C1023" s="8">
        <f>-PV(B1023/100,$B$3,B1022/100,1)</f>
        <v/>
      </c>
      <c r="D1023" s="8">
        <f>B1022/100/12+(C1023-1)</f>
        <v/>
      </c>
      <c r="E1023" s="8">
        <f>E1022*(1+D1023)</f>
        <v/>
      </c>
    </row>
    <row r="1024">
      <c r="A1024" s="8" t="inlineStr">
        <is>
          <t>1955-11-01</t>
        </is>
      </c>
      <c r="B1024" s="6" t="n">
        <v>2.89</v>
      </c>
      <c r="C1024" s="8">
        <f>-PV(B1024/100,$B$3,B1023/100,1)</f>
        <v/>
      </c>
      <c r="D1024" s="8">
        <f>B1023/100/12+(C1024-1)</f>
        <v/>
      </c>
      <c r="E1024" s="8">
        <f>E1023*(1+D1024)</f>
        <v/>
      </c>
    </row>
    <row r="1025">
      <c r="A1025" s="8" t="inlineStr">
        <is>
          <t>1955-12-01</t>
        </is>
      </c>
      <c r="B1025" s="6" t="n">
        <v>2.96</v>
      </c>
      <c r="C1025" s="8">
        <f>-PV(B1025/100,$B$3,B1024/100,1)</f>
        <v/>
      </c>
      <c r="D1025" s="8">
        <f>B1024/100/12+(C1025-1)</f>
        <v/>
      </c>
      <c r="E1025" s="8">
        <f>E1024*(1+D1025)</f>
        <v/>
      </c>
    </row>
    <row r="1026">
      <c r="A1026" s="8" t="inlineStr">
        <is>
          <t>1956-01-01</t>
        </is>
      </c>
      <c r="B1026" s="6" t="n">
        <v>2.9</v>
      </c>
      <c r="C1026" s="8">
        <f>-PV(B1026/100,$B$3,B1025/100,1)</f>
        <v/>
      </c>
      <c r="D1026" s="8">
        <f>B1025/100/12+(C1026-1)</f>
        <v/>
      </c>
      <c r="E1026" s="8">
        <f>E1025*(1+D1026)</f>
        <v/>
      </c>
    </row>
    <row r="1027">
      <c r="A1027" s="8" t="inlineStr">
        <is>
          <t>1956-02-01</t>
        </is>
      </c>
      <c r="B1027" s="6" t="n">
        <v>2.84</v>
      </c>
      <c r="C1027" s="8">
        <f>-PV(B1027/100,$B$3,B1026/100,1)</f>
        <v/>
      </c>
      <c r="D1027" s="8">
        <f>B1026/100/12+(C1027-1)</f>
        <v/>
      </c>
      <c r="E1027" s="8">
        <f>E1026*(1+D1027)</f>
        <v/>
      </c>
    </row>
    <row r="1028">
      <c r="A1028" s="8" t="inlineStr">
        <is>
          <t>1956-03-01</t>
        </is>
      </c>
      <c r="B1028" s="6" t="n">
        <v>2.96</v>
      </c>
      <c r="C1028" s="8">
        <f>-PV(B1028/100,$B$3,B1027/100,1)</f>
        <v/>
      </c>
      <c r="D1028" s="8">
        <f>B1027/100/12+(C1028-1)</f>
        <v/>
      </c>
      <c r="E1028" s="8">
        <f>E1027*(1+D1028)</f>
        <v/>
      </c>
    </row>
    <row r="1029">
      <c r="A1029" s="8" t="inlineStr">
        <is>
          <t>1956-04-01</t>
        </is>
      </c>
      <c r="B1029" s="6" t="n">
        <v>3.18</v>
      </c>
      <c r="C1029" s="8">
        <f>-PV(B1029/100,$B$3,B1028/100,1)</f>
        <v/>
      </c>
      <c r="D1029" s="8">
        <f>B1028/100/12+(C1029-1)</f>
        <v/>
      </c>
      <c r="E1029" s="8">
        <f>E1028*(1+D1029)</f>
        <v/>
      </c>
    </row>
    <row r="1030">
      <c r="A1030" s="8" t="inlineStr">
        <is>
          <t>1956-05-01</t>
        </is>
      </c>
      <c r="B1030" s="6" t="n">
        <v>3.07</v>
      </c>
      <c r="C1030" s="8">
        <f>-PV(B1030/100,$B$3,B1029/100,1)</f>
        <v/>
      </c>
      <c r="D1030" s="8">
        <f>B1029/100/12+(C1030-1)</f>
        <v/>
      </c>
      <c r="E1030" s="8">
        <f>E1029*(1+D1030)</f>
        <v/>
      </c>
    </row>
    <row r="1031">
      <c r="A1031" s="8" t="inlineStr">
        <is>
          <t>1956-06-01</t>
        </is>
      </c>
      <c r="B1031" s="6" t="n">
        <v>3</v>
      </c>
      <c r="C1031" s="8">
        <f>-PV(B1031/100,$B$3,B1030/100,1)</f>
        <v/>
      </c>
      <c r="D1031" s="8">
        <f>B1030/100/12+(C1031-1)</f>
        <v/>
      </c>
      <c r="E1031" s="8">
        <f>E1030*(1+D1031)</f>
        <v/>
      </c>
    </row>
    <row r="1032">
      <c r="A1032" s="8" t="inlineStr">
        <is>
          <t>1956-07-01</t>
        </is>
      </c>
      <c r="B1032" s="6" t="n">
        <v>3.11</v>
      </c>
      <c r="C1032" s="8">
        <f>-PV(B1032/100,$B$3,B1031/100,1)</f>
        <v/>
      </c>
      <c r="D1032" s="8">
        <f>B1031/100/12+(C1032-1)</f>
        <v/>
      </c>
      <c r="E1032" s="8">
        <f>E1031*(1+D1032)</f>
        <v/>
      </c>
    </row>
    <row r="1033">
      <c r="A1033" s="8" t="inlineStr">
        <is>
          <t>1956-08-01</t>
        </is>
      </c>
      <c r="B1033" s="6" t="n">
        <v>3.33</v>
      </c>
      <c r="C1033" s="8">
        <f>-PV(B1033/100,$B$3,B1032/100,1)</f>
        <v/>
      </c>
      <c r="D1033" s="8">
        <f>B1032/100/12+(C1033-1)</f>
        <v/>
      </c>
      <c r="E1033" s="8">
        <f>E1032*(1+D1033)</f>
        <v/>
      </c>
    </row>
    <row r="1034">
      <c r="A1034" s="8" t="inlineStr">
        <is>
          <t>1956-09-01</t>
        </is>
      </c>
      <c r="B1034" s="6" t="n">
        <v>3.38</v>
      </c>
      <c r="C1034" s="8">
        <f>-PV(B1034/100,$B$3,B1033/100,1)</f>
        <v/>
      </c>
      <c r="D1034" s="8">
        <f>B1033/100/12+(C1034-1)</f>
        <v/>
      </c>
      <c r="E1034" s="8">
        <f>E1033*(1+D1034)</f>
        <v/>
      </c>
    </row>
    <row r="1035">
      <c r="A1035" s="8" t="inlineStr">
        <is>
          <t>1956-10-01</t>
        </is>
      </c>
      <c r="B1035" s="6" t="n">
        <v>3.34</v>
      </c>
      <c r="C1035" s="8">
        <f>-PV(B1035/100,$B$3,B1034/100,1)</f>
        <v/>
      </c>
      <c r="D1035" s="8">
        <f>B1034/100/12+(C1035-1)</f>
        <v/>
      </c>
      <c r="E1035" s="8">
        <f>E1034*(1+D1035)</f>
        <v/>
      </c>
    </row>
    <row r="1036">
      <c r="A1036" s="8" t="inlineStr">
        <is>
          <t>1956-11-01</t>
        </is>
      </c>
      <c r="B1036" s="6" t="n">
        <v>3.49</v>
      </c>
      <c r="C1036" s="8">
        <f>-PV(B1036/100,$B$3,B1035/100,1)</f>
        <v/>
      </c>
      <c r="D1036" s="8">
        <f>B1035/100/12+(C1036-1)</f>
        <v/>
      </c>
      <c r="E1036" s="8">
        <f>E1035*(1+D1036)</f>
        <v/>
      </c>
    </row>
    <row r="1037">
      <c r="A1037" s="8" t="inlineStr">
        <is>
          <t>1956-12-01</t>
        </is>
      </c>
      <c r="B1037" s="6" t="n">
        <v>3.59</v>
      </c>
      <c r="C1037" s="8">
        <f>-PV(B1037/100,$B$3,B1036/100,1)</f>
        <v/>
      </c>
      <c r="D1037" s="8">
        <f>B1036/100/12+(C1037-1)</f>
        <v/>
      </c>
      <c r="E1037" s="8">
        <f>E1036*(1+D1037)</f>
        <v/>
      </c>
    </row>
    <row r="1038">
      <c r="A1038" s="8" t="inlineStr">
        <is>
          <t>1957-01-01</t>
        </is>
      </c>
      <c r="B1038" s="6" t="n">
        <v>3.46</v>
      </c>
      <c r="C1038" s="8">
        <f>-PV(B1038/100,$B$3,B1037/100,1)</f>
        <v/>
      </c>
      <c r="D1038" s="8">
        <f>B1037/100/12+(C1038-1)</f>
        <v/>
      </c>
      <c r="E1038" s="8">
        <f>E1037*(1+D1038)</f>
        <v/>
      </c>
    </row>
    <row r="1039">
      <c r="A1039" s="8" t="inlineStr">
        <is>
          <t>1957-02-01</t>
        </is>
      </c>
      <c r="B1039" s="6" t="n">
        <v>3.34</v>
      </c>
      <c r="C1039" s="8">
        <f>-PV(B1039/100,$B$3,B1038/100,1)</f>
        <v/>
      </c>
      <c r="D1039" s="8">
        <f>B1038/100/12+(C1039-1)</f>
        <v/>
      </c>
      <c r="E1039" s="8">
        <f>E1038*(1+D1039)</f>
        <v/>
      </c>
    </row>
    <row r="1040">
      <c r="A1040" s="8" t="inlineStr">
        <is>
          <t>1957-03-01</t>
        </is>
      </c>
      <c r="B1040" s="6" t="n">
        <v>3.41</v>
      </c>
      <c r="C1040" s="8">
        <f>-PV(B1040/100,$B$3,B1039/100,1)</f>
        <v/>
      </c>
      <c r="D1040" s="8">
        <f>B1039/100/12+(C1040-1)</f>
        <v/>
      </c>
      <c r="E1040" s="8">
        <f>E1039*(1+D1040)</f>
        <v/>
      </c>
    </row>
    <row r="1041">
      <c r="A1041" s="8" t="inlineStr">
        <is>
          <t>1957-04-01</t>
        </is>
      </c>
      <c r="B1041" s="6" t="n">
        <v>3.48</v>
      </c>
      <c r="C1041" s="8">
        <f>-PV(B1041/100,$B$3,B1040/100,1)</f>
        <v/>
      </c>
      <c r="D1041" s="8">
        <f>B1040/100/12+(C1041-1)</f>
        <v/>
      </c>
      <c r="E1041" s="8">
        <f>E1040*(1+D1041)</f>
        <v/>
      </c>
    </row>
    <row r="1042">
      <c r="A1042" s="8" t="inlineStr">
        <is>
          <t>1957-05-01</t>
        </is>
      </c>
      <c r="B1042" s="6" t="n">
        <v>3.6</v>
      </c>
      <c r="C1042" s="8">
        <f>-PV(B1042/100,$B$3,B1041/100,1)</f>
        <v/>
      </c>
      <c r="D1042" s="8">
        <f>B1041/100/12+(C1042-1)</f>
        <v/>
      </c>
      <c r="E1042" s="8">
        <f>E1041*(1+D1042)</f>
        <v/>
      </c>
    </row>
    <row r="1043">
      <c r="A1043" s="8" t="inlineStr">
        <is>
          <t>1957-06-01</t>
        </is>
      </c>
      <c r="B1043" s="6" t="n">
        <v>3.8</v>
      </c>
      <c r="C1043" s="8">
        <f>-PV(B1043/100,$B$3,B1042/100,1)</f>
        <v/>
      </c>
      <c r="D1043" s="8">
        <f>B1042/100/12+(C1043-1)</f>
        <v/>
      </c>
      <c r="E1043" s="8">
        <f>E1042*(1+D1043)</f>
        <v/>
      </c>
    </row>
    <row r="1044">
      <c r="A1044" s="8" t="inlineStr">
        <is>
          <t>1957-07-01</t>
        </is>
      </c>
      <c r="B1044" s="6" t="n">
        <v>3.93</v>
      </c>
      <c r="C1044" s="8">
        <f>-PV(B1044/100,$B$3,B1043/100,1)</f>
        <v/>
      </c>
      <c r="D1044" s="8">
        <f>B1043/100/12+(C1044-1)</f>
        <v/>
      </c>
      <c r="E1044" s="8">
        <f>E1043*(1+D1044)</f>
        <v/>
      </c>
    </row>
    <row r="1045">
      <c r="A1045" s="8" t="inlineStr">
        <is>
          <t>1957-08-01</t>
        </is>
      </c>
      <c r="B1045" s="6" t="n">
        <v>3.93</v>
      </c>
      <c r="C1045" s="8">
        <f>-PV(B1045/100,$B$3,B1044/100,1)</f>
        <v/>
      </c>
      <c r="D1045" s="8">
        <f>B1044/100/12+(C1045-1)</f>
        <v/>
      </c>
      <c r="E1045" s="8">
        <f>E1044*(1+D1045)</f>
        <v/>
      </c>
    </row>
    <row r="1046">
      <c r="A1046" s="8" t="inlineStr">
        <is>
          <t>1957-09-01</t>
        </is>
      </c>
      <c r="B1046" s="6" t="n">
        <v>3.92</v>
      </c>
      <c r="C1046" s="8">
        <f>-PV(B1046/100,$B$3,B1045/100,1)</f>
        <v/>
      </c>
      <c r="D1046" s="8">
        <f>B1045/100/12+(C1046-1)</f>
        <v/>
      </c>
      <c r="E1046" s="8">
        <f>E1045*(1+D1046)</f>
        <v/>
      </c>
    </row>
    <row r="1047">
      <c r="A1047" s="8" t="inlineStr">
        <is>
          <t>1957-10-01</t>
        </is>
      </c>
      <c r="B1047" s="6" t="n">
        <v>3.97</v>
      </c>
      <c r="C1047" s="8">
        <f>-PV(B1047/100,$B$3,B1046/100,1)</f>
        <v/>
      </c>
      <c r="D1047" s="8">
        <f>B1046/100/12+(C1047-1)</f>
        <v/>
      </c>
      <c r="E1047" s="8">
        <f>E1046*(1+D1047)</f>
        <v/>
      </c>
    </row>
    <row r="1048">
      <c r="A1048" s="8" t="inlineStr">
        <is>
          <t>1957-11-01</t>
        </is>
      </c>
      <c r="B1048" s="6" t="n">
        <v>3.72</v>
      </c>
      <c r="C1048" s="8">
        <f>-PV(B1048/100,$B$3,B1047/100,1)</f>
        <v/>
      </c>
      <c r="D1048" s="8">
        <f>B1047/100/12+(C1048-1)</f>
        <v/>
      </c>
      <c r="E1048" s="8">
        <f>E1047*(1+D1048)</f>
        <v/>
      </c>
    </row>
    <row r="1049">
      <c r="A1049" s="8" t="inlineStr">
        <is>
          <t>1957-12-01</t>
        </is>
      </c>
      <c r="B1049" s="6" t="n">
        <v>3.21</v>
      </c>
      <c r="C1049" s="8">
        <f>-PV(B1049/100,$B$3,B1048/100,1)</f>
        <v/>
      </c>
      <c r="D1049" s="8">
        <f>B1048/100/12+(C1049-1)</f>
        <v/>
      </c>
      <c r="E1049" s="8">
        <f>E1048*(1+D1049)</f>
        <v/>
      </c>
    </row>
    <row r="1050">
      <c r="A1050" s="8" t="inlineStr">
        <is>
          <t>1958-01-01</t>
        </is>
      </c>
      <c r="B1050" s="6" t="n">
        <v>3.09</v>
      </c>
      <c r="C1050" s="8">
        <f>-PV(B1050/100,$B$3,B1049/100,1)</f>
        <v/>
      </c>
      <c r="D1050" s="8">
        <f>B1049/100/12+(C1050-1)</f>
        <v/>
      </c>
      <c r="E1050" s="8">
        <f>E1049*(1+D1050)</f>
        <v/>
      </c>
    </row>
    <row r="1051">
      <c r="A1051" s="8" t="inlineStr">
        <is>
          <t>1958-02-01</t>
        </is>
      </c>
      <c r="B1051" s="6" t="n">
        <v>3.05</v>
      </c>
      <c r="C1051" s="8">
        <f>-PV(B1051/100,$B$3,B1050/100,1)</f>
        <v/>
      </c>
      <c r="D1051" s="8">
        <f>B1050/100/12+(C1051-1)</f>
        <v/>
      </c>
      <c r="E1051" s="8">
        <f>E1050*(1+D1051)</f>
        <v/>
      </c>
    </row>
    <row r="1052">
      <c r="A1052" s="8" t="inlineStr">
        <is>
          <t>1958-03-01</t>
        </is>
      </c>
      <c r="B1052" s="6" t="n">
        <v>2.98</v>
      </c>
      <c r="C1052" s="8">
        <f>-PV(B1052/100,$B$3,B1051/100,1)</f>
        <v/>
      </c>
      <c r="D1052" s="8">
        <f>B1051/100/12+(C1052-1)</f>
        <v/>
      </c>
      <c r="E1052" s="8">
        <f>E1051*(1+D1052)</f>
        <v/>
      </c>
    </row>
    <row r="1053">
      <c r="A1053" s="8" t="inlineStr">
        <is>
          <t>1958-04-01</t>
        </is>
      </c>
      <c r="B1053" s="6" t="n">
        <v>2.88</v>
      </c>
      <c r="C1053" s="8">
        <f>-PV(B1053/100,$B$3,B1052/100,1)</f>
        <v/>
      </c>
      <c r="D1053" s="8">
        <f>B1052/100/12+(C1053-1)</f>
        <v/>
      </c>
      <c r="E1053" s="8">
        <f>E1052*(1+D1053)</f>
        <v/>
      </c>
    </row>
    <row r="1054">
      <c r="A1054" s="8" t="inlineStr">
        <is>
          <t>1958-05-01</t>
        </is>
      </c>
      <c r="B1054" s="6" t="n">
        <v>2.92</v>
      </c>
      <c r="C1054" s="8">
        <f>-PV(B1054/100,$B$3,B1053/100,1)</f>
        <v/>
      </c>
      <c r="D1054" s="8">
        <f>B1053/100/12+(C1054-1)</f>
        <v/>
      </c>
      <c r="E1054" s="8">
        <f>E1053*(1+D1054)</f>
        <v/>
      </c>
    </row>
    <row r="1055">
      <c r="A1055" s="8" t="inlineStr">
        <is>
          <t>1958-06-01</t>
        </is>
      </c>
      <c r="B1055" s="6" t="n">
        <v>2.97</v>
      </c>
      <c r="C1055" s="8">
        <f>-PV(B1055/100,$B$3,B1054/100,1)</f>
        <v/>
      </c>
      <c r="D1055" s="8">
        <f>B1054/100/12+(C1055-1)</f>
        <v/>
      </c>
      <c r="E1055" s="8">
        <f>E1054*(1+D1055)</f>
        <v/>
      </c>
    </row>
    <row r="1056">
      <c r="A1056" s="8" t="inlineStr">
        <is>
          <t>1958-07-01</t>
        </is>
      </c>
      <c r="B1056" s="6" t="n">
        <v>3.2</v>
      </c>
      <c r="C1056" s="8">
        <f>-PV(B1056/100,$B$3,B1055/100,1)</f>
        <v/>
      </c>
      <c r="D1056" s="8">
        <f>B1055/100/12+(C1056-1)</f>
        <v/>
      </c>
      <c r="E1056" s="8">
        <f>E1055*(1+D1056)</f>
        <v/>
      </c>
    </row>
    <row r="1057">
      <c r="A1057" s="8" t="inlineStr">
        <is>
          <t>1958-08-01</t>
        </is>
      </c>
      <c r="B1057" s="6" t="n">
        <v>3.54</v>
      </c>
      <c r="C1057" s="8">
        <f>-PV(B1057/100,$B$3,B1056/100,1)</f>
        <v/>
      </c>
      <c r="D1057" s="8">
        <f>B1056/100/12+(C1057-1)</f>
        <v/>
      </c>
      <c r="E1057" s="8">
        <f>E1056*(1+D1057)</f>
        <v/>
      </c>
    </row>
    <row r="1058">
      <c r="A1058" s="8" t="inlineStr">
        <is>
          <t>1958-09-01</t>
        </is>
      </c>
      <c r="B1058" s="6" t="n">
        <v>3.76</v>
      </c>
      <c r="C1058" s="8">
        <f>-PV(B1058/100,$B$3,B1057/100,1)</f>
        <v/>
      </c>
      <c r="D1058" s="8">
        <f>B1057/100/12+(C1058-1)</f>
        <v/>
      </c>
      <c r="E1058" s="8">
        <f>E1057*(1+D1058)</f>
        <v/>
      </c>
    </row>
    <row r="1059">
      <c r="A1059" s="8" t="inlineStr">
        <is>
          <t>1958-10-01</t>
        </is>
      </c>
      <c r="B1059" s="6" t="n">
        <v>3.8</v>
      </c>
      <c r="C1059" s="8">
        <f>-PV(B1059/100,$B$3,B1058/100,1)</f>
        <v/>
      </c>
      <c r="D1059" s="8">
        <f>B1058/100/12+(C1059-1)</f>
        <v/>
      </c>
      <c r="E1059" s="8">
        <f>E1058*(1+D1059)</f>
        <v/>
      </c>
    </row>
    <row r="1060">
      <c r="A1060" s="8" t="inlineStr">
        <is>
          <t>1958-11-01</t>
        </is>
      </c>
      <c r="B1060" s="6" t="n">
        <v>3.74</v>
      </c>
      <c r="C1060" s="8">
        <f>-PV(B1060/100,$B$3,B1059/100,1)</f>
        <v/>
      </c>
      <c r="D1060" s="8">
        <f>B1059/100/12+(C1060-1)</f>
        <v/>
      </c>
      <c r="E1060" s="8">
        <f>E1059*(1+D1060)</f>
        <v/>
      </c>
    </row>
    <row r="1061">
      <c r="A1061" s="8" t="inlineStr">
        <is>
          <t>1958-12-01</t>
        </is>
      </c>
      <c r="B1061" s="6" t="n">
        <v>3.86</v>
      </c>
      <c r="C1061" s="8">
        <f>-PV(B1061/100,$B$3,B1060/100,1)</f>
        <v/>
      </c>
      <c r="D1061" s="8">
        <f>B1060/100/12+(C1061-1)</f>
        <v/>
      </c>
      <c r="E1061" s="8">
        <f>E1060*(1+D1061)</f>
        <v/>
      </c>
    </row>
    <row r="1062">
      <c r="A1062" s="8" t="inlineStr">
        <is>
          <t>1959-01-01</t>
        </is>
      </c>
      <c r="B1062" s="6" t="n">
        <v>4.02</v>
      </c>
      <c r="C1062" s="8">
        <f>-PV(B1062/100,$B$3,B1061/100,1)</f>
        <v/>
      </c>
      <c r="D1062" s="8">
        <f>B1061/100/12+(C1062-1)</f>
        <v/>
      </c>
      <c r="E1062" s="8">
        <f>E1061*(1+D1062)</f>
        <v/>
      </c>
    </row>
    <row r="1063">
      <c r="A1063" s="8" t="inlineStr">
        <is>
          <t>1959-02-01</t>
        </is>
      </c>
      <c r="B1063" s="6" t="n">
        <v>3.96</v>
      </c>
      <c r="C1063" s="8">
        <f>-PV(B1063/100,$B$3,B1062/100,1)</f>
        <v/>
      </c>
      <c r="D1063" s="8">
        <f>B1062/100/12+(C1063-1)</f>
        <v/>
      </c>
      <c r="E1063" s="8">
        <f>E1062*(1+D1063)</f>
        <v/>
      </c>
    </row>
    <row r="1064">
      <c r="A1064" s="8" t="inlineStr">
        <is>
          <t>1959-03-01</t>
        </is>
      </c>
      <c r="B1064" s="6" t="n">
        <v>3.99</v>
      </c>
      <c r="C1064" s="8">
        <f>-PV(B1064/100,$B$3,B1063/100,1)</f>
        <v/>
      </c>
      <c r="D1064" s="8">
        <f>B1063/100/12+(C1064-1)</f>
        <v/>
      </c>
      <c r="E1064" s="8">
        <f>E1063*(1+D1064)</f>
        <v/>
      </c>
    </row>
    <row r="1065">
      <c r="A1065" s="8" t="inlineStr">
        <is>
          <t>1959-04-01</t>
        </is>
      </c>
      <c r="B1065" s="6" t="n">
        <v>4.12</v>
      </c>
      <c r="C1065" s="8">
        <f>-PV(B1065/100,$B$3,B1064/100,1)</f>
        <v/>
      </c>
      <c r="D1065" s="8">
        <f>B1064/100/12+(C1065-1)</f>
        <v/>
      </c>
      <c r="E1065" s="8">
        <f>E1064*(1+D1065)</f>
        <v/>
      </c>
    </row>
    <row r="1066">
      <c r="A1066" s="8" t="inlineStr">
        <is>
          <t>1959-05-01</t>
        </is>
      </c>
      <c r="B1066" s="6" t="n">
        <v>4.31</v>
      </c>
      <c r="C1066" s="8">
        <f>-PV(B1066/100,$B$3,B1065/100,1)</f>
        <v/>
      </c>
      <c r="D1066" s="8">
        <f>B1065/100/12+(C1066-1)</f>
        <v/>
      </c>
      <c r="E1066" s="8">
        <f>E1065*(1+D1066)</f>
        <v/>
      </c>
    </row>
    <row r="1067">
      <c r="A1067" s="8" t="inlineStr">
        <is>
          <t>1959-06-01</t>
        </is>
      </c>
      <c r="B1067" s="6" t="n">
        <v>4.34</v>
      </c>
      <c r="C1067" s="8">
        <f>-PV(B1067/100,$B$3,B1066/100,1)</f>
        <v/>
      </c>
      <c r="D1067" s="8">
        <f>B1066/100/12+(C1067-1)</f>
        <v/>
      </c>
      <c r="E1067" s="8">
        <f>E1066*(1+D1067)</f>
        <v/>
      </c>
    </row>
    <row r="1068">
      <c r="A1068" s="8" t="inlineStr">
        <is>
          <t>1959-07-01</t>
        </is>
      </c>
      <c r="B1068" s="6" t="n">
        <v>4.4</v>
      </c>
      <c r="C1068" s="8">
        <f>-PV(B1068/100,$B$3,B1067/100,1)</f>
        <v/>
      </c>
      <c r="D1068" s="8">
        <f>B1067/100/12+(C1068-1)</f>
        <v/>
      </c>
      <c r="E1068" s="8">
        <f>E1067*(1+D1068)</f>
        <v/>
      </c>
    </row>
    <row r="1069">
      <c r="A1069" s="8" t="inlineStr">
        <is>
          <t>1959-08-01</t>
        </is>
      </c>
      <c r="B1069" s="6" t="n">
        <v>4.43</v>
      </c>
      <c r="C1069" s="8">
        <f>-PV(B1069/100,$B$3,B1068/100,1)</f>
        <v/>
      </c>
      <c r="D1069" s="8">
        <f>B1068/100/12+(C1069-1)</f>
        <v/>
      </c>
      <c r="E1069" s="8">
        <f>E1068*(1+D1069)</f>
        <v/>
      </c>
    </row>
    <row r="1070">
      <c r="A1070" s="8" t="inlineStr">
        <is>
          <t>1959-09-01</t>
        </is>
      </c>
      <c r="B1070" s="6" t="n">
        <v>4.68</v>
      </c>
      <c r="C1070" s="8">
        <f>-PV(B1070/100,$B$3,B1069/100,1)</f>
        <v/>
      </c>
      <c r="D1070" s="8">
        <f>B1069/100/12+(C1070-1)</f>
        <v/>
      </c>
      <c r="E1070" s="8">
        <f>E1069*(1+D1070)</f>
        <v/>
      </c>
    </row>
    <row r="1071">
      <c r="A1071" s="8" t="inlineStr">
        <is>
          <t>1959-10-01</t>
        </is>
      </c>
      <c r="B1071" s="6" t="n">
        <v>4.53</v>
      </c>
      <c r="C1071" s="8">
        <f>-PV(B1071/100,$B$3,B1070/100,1)</f>
        <v/>
      </c>
      <c r="D1071" s="8">
        <f>B1070/100/12+(C1071-1)</f>
        <v/>
      </c>
      <c r="E1071" s="8">
        <f>E1070*(1+D1071)</f>
        <v/>
      </c>
    </row>
    <row r="1072">
      <c r="A1072" s="8" t="inlineStr">
        <is>
          <t>1959-11-01</t>
        </is>
      </c>
      <c r="B1072" s="6" t="n">
        <v>4.53</v>
      </c>
      <c r="C1072" s="8">
        <f>-PV(B1072/100,$B$3,B1071/100,1)</f>
        <v/>
      </c>
      <c r="D1072" s="8">
        <f>B1071/100/12+(C1072-1)</f>
        <v/>
      </c>
      <c r="E1072" s="8">
        <f>E1071*(1+D1072)</f>
        <v/>
      </c>
    </row>
    <row r="1073">
      <c r="A1073" s="8" t="inlineStr">
        <is>
          <t>1959-12-01</t>
        </is>
      </c>
      <c r="B1073" s="6" t="n">
        <v>4.69</v>
      </c>
      <c r="C1073" s="8">
        <f>-PV(B1073/100,$B$3,B1072/100,1)</f>
        <v/>
      </c>
      <c r="D1073" s="8">
        <f>B1072/100/12+(C1073-1)</f>
        <v/>
      </c>
      <c r="E1073" s="8">
        <f>E1072*(1+D1073)</f>
        <v/>
      </c>
    </row>
    <row r="1074">
      <c r="A1074" s="8" t="inlineStr">
        <is>
          <t>1960-01-01</t>
        </is>
      </c>
      <c r="B1074" s="6" t="n">
        <v>4.72</v>
      </c>
      <c r="C1074" s="8">
        <f>-PV(B1074/100,$B$3,B1073/100,1)</f>
        <v/>
      </c>
      <c r="D1074" s="8">
        <f>B1073/100/12+(C1074-1)</f>
        <v/>
      </c>
      <c r="E1074" s="8">
        <f>E1073*(1+D1074)</f>
        <v/>
      </c>
    </row>
    <row r="1075">
      <c r="A1075" s="8" t="inlineStr">
        <is>
          <t>1960-02-01</t>
        </is>
      </c>
      <c r="B1075" s="6" t="n">
        <v>4.49</v>
      </c>
      <c r="C1075" s="8">
        <f>-PV(B1075/100,$B$3,B1074/100,1)</f>
        <v/>
      </c>
      <c r="D1075" s="8">
        <f>B1074/100/12+(C1075-1)</f>
        <v/>
      </c>
      <c r="E1075" s="8">
        <f>E1074*(1+D1075)</f>
        <v/>
      </c>
    </row>
    <row r="1076">
      <c r="A1076" s="8" t="inlineStr">
        <is>
          <t>1960-03-01</t>
        </is>
      </c>
      <c r="B1076" s="6" t="n">
        <v>4.25</v>
      </c>
      <c r="C1076" s="8">
        <f>-PV(B1076/100,$B$3,B1075/100,1)</f>
        <v/>
      </c>
      <c r="D1076" s="8">
        <f>B1075/100/12+(C1076-1)</f>
        <v/>
      </c>
      <c r="E1076" s="8">
        <f>E1075*(1+D1076)</f>
        <v/>
      </c>
    </row>
    <row r="1077">
      <c r="A1077" s="8" t="inlineStr">
        <is>
          <t>1960-04-01</t>
        </is>
      </c>
      <c r="B1077" s="6" t="n">
        <v>4.28</v>
      </c>
      <c r="C1077" s="8">
        <f>-PV(B1077/100,$B$3,B1076/100,1)</f>
        <v/>
      </c>
      <c r="D1077" s="8">
        <f>B1076/100/12+(C1077-1)</f>
        <v/>
      </c>
      <c r="E1077" s="8">
        <f>E1076*(1+D1077)</f>
        <v/>
      </c>
    </row>
    <row r="1078">
      <c r="A1078" s="8" t="inlineStr">
        <is>
          <t>1960-05-01</t>
        </is>
      </c>
      <c r="B1078" s="6" t="n">
        <v>4.35</v>
      </c>
      <c r="C1078" s="8">
        <f>-PV(B1078/100,$B$3,B1077/100,1)</f>
        <v/>
      </c>
      <c r="D1078" s="8">
        <f>B1077/100/12+(C1078-1)</f>
        <v/>
      </c>
      <c r="E1078" s="8">
        <f>E1077*(1+D1078)</f>
        <v/>
      </c>
    </row>
    <row r="1079">
      <c r="A1079" s="8" t="inlineStr">
        <is>
          <t>1960-06-01</t>
        </is>
      </c>
      <c r="B1079" s="6" t="n">
        <v>4.15</v>
      </c>
      <c r="C1079" s="8">
        <f>-PV(B1079/100,$B$3,B1078/100,1)</f>
        <v/>
      </c>
      <c r="D1079" s="8">
        <f>B1078/100/12+(C1079-1)</f>
        <v/>
      </c>
      <c r="E1079" s="8">
        <f>E1078*(1+D1079)</f>
        <v/>
      </c>
    </row>
    <row r="1080">
      <c r="A1080" s="8" t="inlineStr">
        <is>
          <t>1960-07-01</t>
        </is>
      </c>
      <c r="B1080" s="6" t="n">
        <v>3.9</v>
      </c>
      <c r="C1080" s="8">
        <f>-PV(B1080/100,$B$3,B1079/100,1)</f>
        <v/>
      </c>
      <c r="D1080" s="8">
        <f>B1079/100/12+(C1080-1)</f>
        <v/>
      </c>
      <c r="E1080" s="8">
        <f>E1079*(1+D1080)</f>
        <v/>
      </c>
    </row>
    <row r="1081">
      <c r="A1081" s="8" t="inlineStr">
        <is>
          <t>1960-08-01</t>
        </is>
      </c>
      <c r="B1081" s="6" t="n">
        <v>3.8</v>
      </c>
      <c r="C1081" s="8">
        <f>-PV(B1081/100,$B$3,B1080/100,1)</f>
        <v/>
      </c>
      <c r="D1081" s="8">
        <f>B1080/100/12+(C1081-1)</f>
        <v/>
      </c>
      <c r="E1081" s="8">
        <f>E1080*(1+D1081)</f>
        <v/>
      </c>
    </row>
    <row r="1082">
      <c r="A1082" s="8" t="inlineStr">
        <is>
          <t>1960-09-01</t>
        </is>
      </c>
      <c r="B1082" s="6" t="n">
        <v>3.8</v>
      </c>
      <c r="C1082" s="8">
        <f>-PV(B1082/100,$B$3,B1081/100,1)</f>
        <v/>
      </c>
      <c r="D1082" s="8">
        <f>B1081/100/12+(C1082-1)</f>
        <v/>
      </c>
      <c r="E1082" s="8">
        <f>E1081*(1+D1082)</f>
        <v/>
      </c>
    </row>
    <row r="1083">
      <c r="A1083" s="8" t="inlineStr">
        <is>
          <t>1960-10-01</t>
        </is>
      </c>
      <c r="B1083" s="6" t="n">
        <v>3.89</v>
      </c>
      <c r="C1083" s="8">
        <f>-PV(B1083/100,$B$3,B1082/100,1)</f>
        <v/>
      </c>
      <c r="D1083" s="8">
        <f>B1082/100/12+(C1083-1)</f>
        <v/>
      </c>
      <c r="E1083" s="8">
        <f>E1082*(1+D1083)</f>
        <v/>
      </c>
    </row>
    <row r="1084">
      <c r="A1084" s="8" t="inlineStr">
        <is>
          <t>1960-11-01</t>
        </is>
      </c>
      <c r="B1084" s="6" t="n">
        <v>3.93</v>
      </c>
      <c r="C1084" s="8">
        <f>-PV(B1084/100,$B$3,B1083/100,1)</f>
        <v/>
      </c>
      <c r="D1084" s="8">
        <f>B1083/100/12+(C1084-1)</f>
        <v/>
      </c>
      <c r="E1084" s="8">
        <f>E1083*(1+D1084)</f>
        <v/>
      </c>
    </row>
    <row r="1085">
      <c r="A1085" s="8" t="inlineStr">
        <is>
          <t>1960-12-01</t>
        </is>
      </c>
      <c r="B1085" s="6" t="n">
        <v>3.84</v>
      </c>
      <c r="C1085" s="8">
        <f>-PV(B1085/100,$B$3,B1084/100,1)</f>
        <v/>
      </c>
      <c r="D1085" s="8">
        <f>B1084/100/12+(C1085-1)</f>
        <v/>
      </c>
      <c r="E1085" s="8">
        <f>E1084*(1+D1085)</f>
        <v/>
      </c>
    </row>
    <row r="1086">
      <c r="A1086" s="8" t="inlineStr">
        <is>
          <t>1961-01-01</t>
        </is>
      </c>
      <c r="B1086" s="6" t="n">
        <v>3.84</v>
      </c>
      <c r="C1086" s="8">
        <f>-PV(B1086/100,$B$3,B1085/100,1)</f>
        <v/>
      </c>
      <c r="D1086" s="8">
        <f>B1085/100/12+(C1086-1)</f>
        <v/>
      </c>
      <c r="E1086" s="8">
        <f>E1085*(1+D1086)</f>
        <v/>
      </c>
    </row>
    <row r="1087">
      <c r="A1087" s="8" t="inlineStr">
        <is>
          <t>1961-02-01</t>
        </is>
      </c>
      <c r="B1087" s="6" t="n">
        <v>3.78</v>
      </c>
      <c r="C1087" s="8">
        <f>-PV(B1087/100,$B$3,B1086/100,1)</f>
        <v/>
      </c>
      <c r="D1087" s="8">
        <f>B1086/100/12+(C1087-1)</f>
        <v/>
      </c>
      <c r="E1087" s="8">
        <f>E1086*(1+D1087)</f>
        <v/>
      </c>
    </row>
    <row r="1088">
      <c r="A1088" s="8" t="inlineStr">
        <is>
          <t>1961-03-01</t>
        </is>
      </c>
      <c r="B1088" s="6" t="n">
        <v>3.74</v>
      </c>
      <c r="C1088" s="8">
        <f>-PV(B1088/100,$B$3,B1087/100,1)</f>
        <v/>
      </c>
      <c r="D1088" s="8">
        <f>B1087/100/12+(C1088-1)</f>
        <v/>
      </c>
      <c r="E1088" s="8">
        <f>E1087*(1+D1088)</f>
        <v/>
      </c>
    </row>
    <row r="1089">
      <c r="A1089" s="8" t="inlineStr">
        <is>
          <t>1961-04-01</t>
        </is>
      </c>
      <c r="B1089" s="6" t="n">
        <v>3.78</v>
      </c>
      <c r="C1089" s="8">
        <f>-PV(B1089/100,$B$3,B1088/100,1)</f>
        <v/>
      </c>
      <c r="D1089" s="8">
        <f>B1088/100/12+(C1089-1)</f>
        <v/>
      </c>
      <c r="E1089" s="8">
        <f>E1088*(1+D1089)</f>
        <v/>
      </c>
    </row>
    <row r="1090">
      <c r="A1090" s="8" t="inlineStr">
        <is>
          <t>1961-05-01</t>
        </is>
      </c>
      <c r="B1090" s="6" t="n">
        <v>3.71</v>
      </c>
      <c r="C1090" s="8">
        <f>-PV(B1090/100,$B$3,B1089/100,1)</f>
        <v/>
      </c>
      <c r="D1090" s="8">
        <f>B1089/100/12+(C1090-1)</f>
        <v/>
      </c>
      <c r="E1090" s="8">
        <f>E1089*(1+D1090)</f>
        <v/>
      </c>
    </row>
    <row r="1091">
      <c r="A1091" s="8" t="inlineStr">
        <is>
          <t>1961-06-01</t>
        </is>
      </c>
      <c r="B1091" s="6" t="n">
        <v>3.88</v>
      </c>
      <c r="C1091" s="8">
        <f>-PV(B1091/100,$B$3,B1090/100,1)</f>
        <v/>
      </c>
      <c r="D1091" s="8">
        <f>B1090/100/12+(C1091-1)</f>
        <v/>
      </c>
      <c r="E1091" s="8">
        <f>E1090*(1+D1091)</f>
        <v/>
      </c>
    </row>
    <row r="1092">
      <c r="A1092" s="8" t="inlineStr">
        <is>
          <t>1961-07-01</t>
        </is>
      </c>
      <c r="B1092" s="6" t="n">
        <v>3.92</v>
      </c>
      <c r="C1092" s="8">
        <f>-PV(B1092/100,$B$3,B1091/100,1)</f>
        <v/>
      </c>
      <c r="D1092" s="8">
        <f>B1091/100/12+(C1092-1)</f>
        <v/>
      </c>
      <c r="E1092" s="8">
        <f>E1091*(1+D1092)</f>
        <v/>
      </c>
    </row>
    <row r="1093">
      <c r="A1093" s="8" t="inlineStr">
        <is>
          <t>1961-08-01</t>
        </is>
      </c>
      <c r="B1093" s="6" t="n">
        <v>4.04</v>
      </c>
      <c r="C1093" s="8">
        <f>-PV(B1093/100,$B$3,B1092/100,1)</f>
        <v/>
      </c>
      <c r="D1093" s="8">
        <f>B1092/100/12+(C1093-1)</f>
        <v/>
      </c>
      <c r="E1093" s="8">
        <f>E1092*(1+D1093)</f>
        <v/>
      </c>
    </row>
    <row r="1094">
      <c r="A1094" s="8" t="inlineStr">
        <is>
          <t>1961-09-01</t>
        </is>
      </c>
      <c r="B1094" s="6" t="n">
        <v>3.98</v>
      </c>
      <c r="C1094" s="8">
        <f>-PV(B1094/100,$B$3,B1093/100,1)</f>
        <v/>
      </c>
      <c r="D1094" s="8">
        <f>B1093/100/12+(C1094-1)</f>
        <v/>
      </c>
      <c r="E1094" s="8">
        <f>E1093*(1+D1094)</f>
        <v/>
      </c>
    </row>
    <row r="1095">
      <c r="A1095" s="8" t="inlineStr">
        <is>
          <t>1961-10-01</t>
        </is>
      </c>
      <c r="B1095" s="6" t="n">
        <v>3.92</v>
      </c>
      <c r="C1095" s="8">
        <f>-PV(B1095/100,$B$3,B1094/100,1)</f>
        <v/>
      </c>
      <c r="D1095" s="8">
        <f>B1094/100/12+(C1095-1)</f>
        <v/>
      </c>
      <c r="E1095" s="8">
        <f>E1094*(1+D1095)</f>
        <v/>
      </c>
    </row>
    <row r="1096">
      <c r="A1096" s="8" t="inlineStr">
        <is>
          <t>1961-11-01</t>
        </is>
      </c>
      <c r="B1096" s="6" t="n">
        <v>3.94</v>
      </c>
      <c r="C1096" s="8">
        <f>-PV(B1096/100,$B$3,B1095/100,1)</f>
        <v/>
      </c>
      <c r="D1096" s="8">
        <f>B1095/100/12+(C1096-1)</f>
        <v/>
      </c>
      <c r="E1096" s="8">
        <f>E1095*(1+D1096)</f>
        <v/>
      </c>
    </row>
    <row r="1097">
      <c r="A1097" s="8" t="inlineStr">
        <is>
          <t>1961-12-01</t>
        </is>
      </c>
      <c r="B1097" s="6" t="n">
        <v>4.06</v>
      </c>
      <c r="C1097" s="8">
        <f>-PV(B1097/100,$B$3,B1096/100,1)</f>
        <v/>
      </c>
      <c r="D1097" s="8">
        <f>B1096/100/12+(C1097-1)</f>
        <v/>
      </c>
      <c r="E1097" s="8">
        <f>E1096*(1+D1097)</f>
        <v/>
      </c>
    </row>
    <row r="1098">
      <c r="A1098" s="8" t="inlineStr">
        <is>
          <t>1962-01-01</t>
        </is>
      </c>
      <c r="B1098" s="6" t="n">
        <v>4.08</v>
      </c>
      <c r="C1098" s="8">
        <f>-PV(B1098/100,$B$3,B1097/100,1)</f>
        <v/>
      </c>
      <c r="D1098" s="8">
        <f>B1097/100/12+(C1098-1)</f>
        <v/>
      </c>
      <c r="E1098" s="8">
        <f>E1097*(1+D1098)</f>
        <v/>
      </c>
    </row>
    <row r="1099">
      <c r="A1099" s="8" t="inlineStr">
        <is>
          <t>1962-02-01</t>
        </is>
      </c>
      <c r="B1099" s="6" t="n">
        <v>4.04</v>
      </c>
      <c r="C1099" s="8">
        <f>-PV(B1099/100,$B$3,B1098/100,1)</f>
        <v/>
      </c>
      <c r="D1099" s="8">
        <f>B1098/100/12+(C1099-1)</f>
        <v/>
      </c>
      <c r="E1099" s="8">
        <f>E1098*(1+D1099)</f>
        <v/>
      </c>
    </row>
    <row r="1100">
      <c r="A1100" s="8" t="inlineStr">
        <is>
          <t>1962-03-01</t>
        </is>
      </c>
      <c r="B1100" s="6" t="n">
        <v>3.93</v>
      </c>
      <c r="C1100" s="8">
        <f>-PV(B1100/100,$B$3,B1099/100,1)</f>
        <v/>
      </c>
      <c r="D1100" s="8">
        <f>B1099/100/12+(C1100-1)</f>
        <v/>
      </c>
      <c r="E1100" s="8">
        <f>E1099*(1+D1100)</f>
        <v/>
      </c>
    </row>
    <row r="1101">
      <c r="A1101" s="8" t="inlineStr">
        <is>
          <t>1962-04-01</t>
        </is>
      </c>
      <c r="B1101" s="6" t="n">
        <v>3.84</v>
      </c>
      <c r="C1101" s="8">
        <f>-PV(B1101/100,$B$3,B1100/100,1)</f>
        <v/>
      </c>
      <c r="D1101" s="8">
        <f>B1100/100/12+(C1101-1)</f>
        <v/>
      </c>
      <c r="E1101" s="8">
        <f>E1100*(1+D1101)</f>
        <v/>
      </c>
    </row>
    <row r="1102">
      <c r="A1102" s="8" t="inlineStr">
        <is>
          <t>1962-05-01</t>
        </is>
      </c>
      <c r="B1102" s="6" t="n">
        <v>3.87</v>
      </c>
      <c r="C1102" s="8">
        <f>-PV(B1102/100,$B$3,B1101/100,1)</f>
        <v/>
      </c>
      <c r="D1102" s="8">
        <f>B1101/100/12+(C1102-1)</f>
        <v/>
      </c>
      <c r="E1102" s="8">
        <f>E1101*(1+D1102)</f>
        <v/>
      </c>
    </row>
    <row r="1103">
      <c r="A1103" s="8" t="inlineStr">
        <is>
          <t>1962-06-01</t>
        </is>
      </c>
      <c r="B1103" s="6" t="n">
        <v>3.91</v>
      </c>
      <c r="C1103" s="8">
        <f>-PV(B1103/100,$B$3,B1102/100,1)</f>
        <v/>
      </c>
      <c r="D1103" s="8">
        <f>B1102/100/12+(C1103-1)</f>
        <v/>
      </c>
      <c r="E1103" s="8">
        <f>E1102*(1+D1103)</f>
        <v/>
      </c>
    </row>
    <row r="1104">
      <c r="A1104" s="8" t="inlineStr">
        <is>
          <t>1962-07-01</t>
        </is>
      </c>
      <c r="B1104" s="6" t="n">
        <v>4.01</v>
      </c>
      <c r="C1104" s="8">
        <f>-PV(B1104/100,$B$3,B1103/100,1)</f>
        <v/>
      </c>
      <c r="D1104" s="8">
        <f>B1103/100/12+(C1104-1)</f>
        <v/>
      </c>
      <c r="E1104" s="8">
        <f>E1103*(1+D1104)</f>
        <v/>
      </c>
    </row>
    <row r="1105">
      <c r="A1105" s="8" t="inlineStr">
        <is>
          <t>1962-08-01</t>
        </is>
      </c>
      <c r="B1105" s="6" t="n">
        <v>3.98</v>
      </c>
      <c r="C1105" s="8">
        <f>-PV(B1105/100,$B$3,B1104/100,1)</f>
        <v/>
      </c>
      <c r="D1105" s="8">
        <f>B1104/100/12+(C1105-1)</f>
        <v/>
      </c>
      <c r="E1105" s="8">
        <f>E1104*(1+D1105)</f>
        <v/>
      </c>
    </row>
    <row r="1106">
      <c r="A1106" s="8" t="inlineStr">
        <is>
          <t>1962-09-01</t>
        </is>
      </c>
      <c r="B1106" s="6" t="n">
        <v>3.98</v>
      </c>
      <c r="C1106" s="8">
        <f>-PV(B1106/100,$B$3,B1105/100,1)</f>
        <v/>
      </c>
      <c r="D1106" s="8">
        <f>B1105/100/12+(C1106-1)</f>
        <v/>
      </c>
      <c r="E1106" s="8">
        <f>E1105*(1+D1106)</f>
        <v/>
      </c>
    </row>
    <row r="1107">
      <c r="A1107" s="8" t="inlineStr">
        <is>
          <t>1962-10-01</t>
        </is>
      </c>
      <c r="B1107" s="6" t="n">
        <v>3.93</v>
      </c>
      <c r="C1107" s="8">
        <f>-PV(B1107/100,$B$3,B1106/100,1)</f>
        <v/>
      </c>
      <c r="D1107" s="8">
        <f>B1106/100/12+(C1107-1)</f>
        <v/>
      </c>
      <c r="E1107" s="8">
        <f>E1106*(1+D1107)</f>
        <v/>
      </c>
    </row>
    <row r="1108">
      <c r="A1108" s="8" t="inlineStr">
        <is>
          <t>1962-11-01</t>
        </is>
      </c>
      <c r="B1108" s="6" t="n">
        <v>3.92</v>
      </c>
      <c r="C1108" s="8">
        <f>-PV(B1108/100,$B$3,B1107/100,1)</f>
        <v/>
      </c>
      <c r="D1108" s="8">
        <f>B1107/100/12+(C1108-1)</f>
        <v/>
      </c>
      <c r="E1108" s="8">
        <f>E1107*(1+D1108)</f>
        <v/>
      </c>
    </row>
    <row r="1109">
      <c r="A1109" s="8" t="inlineStr">
        <is>
          <t>1962-12-01</t>
        </is>
      </c>
      <c r="B1109" s="6" t="n">
        <v>3.86</v>
      </c>
      <c r="C1109" s="8">
        <f>-PV(B1109/100,$B$3,B1108/100,1)</f>
        <v/>
      </c>
      <c r="D1109" s="8">
        <f>B1108/100/12+(C1109-1)</f>
        <v/>
      </c>
      <c r="E1109" s="8">
        <f>E1108*(1+D1109)</f>
        <v/>
      </c>
    </row>
    <row r="1110">
      <c r="A1110" s="8" t="inlineStr">
        <is>
          <t>1963-01-01</t>
        </is>
      </c>
      <c r="B1110" s="6" t="n">
        <v>3.83</v>
      </c>
      <c r="C1110" s="8">
        <f>-PV(B1110/100,$B$3,B1109/100,1)</f>
        <v/>
      </c>
      <c r="D1110" s="8">
        <f>B1109/100/12+(C1110-1)</f>
        <v/>
      </c>
      <c r="E1110" s="8">
        <f>E1109*(1+D1110)</f>
        <v/>
      </c>
    </row>
    <row r="1111">
      <c r="A1111" s="8" t="inlineStr">
        <is>
          <t>1963-02-01</t>
        </is>
      </c>
      <c r="B1111" s="6" t="n">
        <v>3.92</v>
      </c>
      <c r="C1111" s="8">
        <f>-PV(B1111/100,$B$3,B1110/100,1)</f>
        <v/>
      </c>
      <c r="D1111" s="8">
        <f>B1110/100/12+(C1111-1)</f>
        <v/>
      </c>
      <c r="E1111" s="8">
        <f>E1110*(1+D1111)</f>
        <v/>
      </c>
    </row>
    <row r="1112">
      <c r="A1112" s="8" t="inlineStr">
        <is>
          <t>1963-03-01</t>
        </is>
      </c>
      <c r="B1112" s="6" t="n">
        <v>3.93</v>
      </c>
      <c r="C1112" s="8">
        <f>-PV(B1112/100,$B$3,B1111/100,1)</f>
        <v/>
      </c>
      <c r="D1112" s="8">
        <f>B1111/100/12+(C1112-1)</f>
        <v/>
      </c>
      <c r="E1112" s="8">
        <f>E1111*(1+D1112)</f>
        <v/>
      </c>
    </row>
    <row r="1113">
      <c r="A1113" s="8" t="inlineStr">
        <is>
          <t>1963-04-01</t>
        </is>
      </c>
      <c r="B1113" s="6" t="n">
        <v>3.97</v>
      </c>
      <c r="C1113" s="8">
        <f>-PV(B1113/100,$B$3,B1112/100,1)</f>
        <v/>
      </c>
      <c r="D1113" s="8">
        <f>B1112/100/12+(C1113-1)</f>
        <v/>
      </c>
      <c r="E1113" s="8">
        <f>E1112*(1+D1113)</f>
        <v/>
      </c>
    </row>
    <row r="1114">
      <c r="A1114" s="8" t="inlineStr">
        <is>
          <t>1963-05-01</t>
        </is>
      </c>
      <c r="B1114" s="6" t="n">
        <v>3.93</v>
      </c>
      <c r="C1114" s="8">
        <f>-PV(B1114/100,$B$3,B1113/100,1)</f>
        <v/>
      </c>
      <c r="D1114" s="8">
        <f>B1113/100/12+(C1114-1)</f>
        <v/>
      </c>
      <c r="E1114" s="8">
        <f>E1113*(1+D1114)</f>
        <v/>
      </c>
    </row>
    <row r="1115">
      <c r="A1115" s="8" t="inlineStr">
        <is>
          <t>1963-06-01</t>
        </is>
      </c>
      <c r="B1115" s="6" t="n">
        <v>3.99</v>
      </c>
      <c r="C1115" s="8">
        <f>-PV(B1115/100,$B$3,B1114/100,1)</f>
        <v/>
      </c>
      <c r="D1115" s="8">
        <f>B1114/100/12+(C1115-1)</f>
        <v/>
      </c>
      <c r="E1115" s="8">
        <f>E1114*(1+D1115)</f>
        <v/>
      </c>
    </row>
    <row r="1116">
      <c r="A1116" s="8" t="inlineStr">
        <is>
          <t>1963-07-01</t>
        </is>
      </c>
      <c r="B1116" s="6" t="n">
        <v>4.02</v>
      </c>
      <c r="C1116" s="8">
        <f>-PV(B1116/100,$B$3,B1115/100,1)</f>
        <v/>
      </c>
      <c r="D1116" s="8">
        <f>B1115/100/12+(C1116-1)</f>
        <v/>
      </c>
      <c r="E1116" s="8">
        <f>E1115*(1+D1116)</f>
        <v/>
      </c>
    </row>
    <row r="1117">
      <c r="A1117" s="8" t="inlineStr">
        <is>
          <t>1963-08-01</t>
        </is>
      </c>
      <c r="B1117" s="6" t="n">
        <v>4</v>
      </c>
      <c r="C1117" s="8">
        <f>-PV(B1117/100,$B$3,B1116/100,1)</f>
        <v/>
      </c>
      <c r="D1117" s="8">
        <f>B1116/100/12+(C1117-1)</f>
        <v/>
      </c>
      <c r="E1117" s="8">
        <f>E1116*(1+D1117)</f>
        <v/>
      </c>
    </row>
    <row r="1118">
      <c r="A1118" s="8" t="inlineStr">
        <is>
          <t>1963-09-01</t>
        </is>
      </c>
      <c r="B1118" s="6" t="n">
        <v>4.08</v>
      </c>
      <c r="C1118" s="8">
        <f>-PV(B1118/100,$B$3,B1117/100,1)</f>
        <v/>
      </c>
      <c r="D1118" s="8">
        <f>B1117/100/12+(C1118-1)</f>
        <v/>
      </c>
      <c r="E1118" s="8">
        <f>E1117*(1+D1118)</f>
        <v/>
      </c>
    </row>
    <row r="1119">
      <c r="A1119" s="8" t="inlineStr">
        <is>
          <t>1963-10-01</t>
        </is>
      </c>
      <c r="B1119" s="6" t="n">
        <v>4.11</v>
      </c>
      <c r="C1119" s="8">
        <f>-PV(B1119/100,$B$3,B1118/100,1)</f>
        <v/>
      </c>
      <c r="D1119" s="8">
        <f>B1118/100/12+(C1119-1)</f>
        <v/>
      </c>
      <c r="E1119" s="8">
        <f>E1118*(1+D1119)</f>
        <v/>
      </c>
    </row>
    <row r="1120">
      <c r="A1120" s="8" t="inlineStr">
        <is>
          <t>1963-11-01</t>
        </is>
      </c>
      <c r="B1120" s="6" t="n">
        <v>4.12</v>
      </c>
      <c r="C1120" s="8">
        <f>-PV(B1120/100,$B$3,B1119/100,1)</f>
        <v/>
      </c>
      <c r="D1120" s="8">
        <f>B1119/100/12+(C1120-1)</f>
        <v/>
      </c>
      <c r="E1120" s="8">
        <f>E1119*(1+D1120)</f>
        <v/>
      </c>
    </row>
    <row r="1121">
      <c r="A1121" s="8" t="inlineStr">
        <is>
          <t>1963-12-01</t>
        </is>
      </c>
      <c r="B1121" s="6" t="n">
        <v>4.13</v>
      </c>
      <c r="C1121" s="8">
        <f>-PV(B1121/100,$B$3,B1120/100,1)</f>
        <v/>
      </c>
      <c r="D1121" s="8">
        <f>B1120/100/12+(C1121-1)</f>
        <v/>
      </c>
      <c r="E1121" s="8">
        <f>E1120*(1+D1121)</f>
        <v/>
      </c>
    </row>
    <row r="1122">
      <c r="A1122" s="8" t="inlineStr">
        <is>
          <t>1964-01-01</t>
        </is>
      </c>
      <c r="B1122" s="6" t="n">
        <v>4.17</v>
      </c>
      <c r="C1122" s="8">
        <f>-PV(B1122/100,$B$3,B1121/100,1)</f>
        <v/>
      </c>
      <c r="D1122" s="8">
        <f>B1121/100/12+(C1122-1)</f>
        <v/>
      </c>
      <c r="E1122" s="8">
        <f>E1121*(1+D1122)</f>
        <v/>
      </c>
    </row>
    <row r="1123">
      <c r="A1123" s="8" t="inlineStr">
        <is>
          <t>1964-02-01</t>
        </is>
      </c>
      <c r="B1123" s="6" t="n">
        <v>4.15</v>
      </c>
      <c r="C1123" s="8">
        <f>-PV(B1123/100,$B$3,B1122/100,1)</f>
        <v/>
      </c>
      <c r="D1123" s="8">
        <f>B1122/100/12+(C1123-1)</f>
        <v/>
      </c>
      <c r="E1123" s="8">
        <f>E1122*(1+D1123)</f>
        <v/>
      </c>
    </row>
    <row r="1124">
      <c r="A1124" s="8" t="inlineStr">
        <is>
          <t>1964-03-01</t>
        </is>
      </c>
      <c r="B1124" s="6" t="n">
        <v>4.22</v>
      </c>
      <c r="C1124" s="8">
        <f>-PV(B1124/100,$B$3,B1123/100,1)</f>
        <v/>
      </c>
      <c r="D1124" s="8">
        <f>B1123/100/12+(C1124-1)</f>
        <v/>
      </c>
      <c r="E1124" s="8">
        <f>E1123*(1+D1124)</f>
        <v/>
      </c>
    </row>
    <row r="1125">
      <c r="A1125" s="8" t="inlineStr">
        <is>
          <t>1964-04-01</t>
        </is>
      </c>
      <c r="B1125" s="6" t="n">
        <v>4.23</v>
      </c>
      <c r="C1125" s="8">
        <f>-PV(B1125/100,$B$3,B1124/100,1)</f>
        <v/>
      </c>
      <c r="D1125" s="8">
        <f>B1124/100/12+(C1125-1)</f>
        <v/>
      </c>
      <c r="E1125" s="8">
        <f>E1124*(1+D1125)</f>
        <v/>
      </c>
    </row>
    <row r="1126">
      <c r="A1126" s="8" t="inlineStr">
        <is>
          <t>1964-05-01</t>
        </is>
      </c>
      <c r="B1126" s="6" t="n">
        <v>4.2</v>
      </c>
      <c r="C1126" s="8">
        <f>-PV(B1126/100,$B$3,B1125/100,1)</f>
        <v/>
      </c>
      <c r="D1126" s="8">
        <f>B1125/100/12+(C1126-1)</f>
        <v/>
      </c>
      <c r="E1126" s="8">
        <f>E1125*(1+D1126)</f>
        <v/>
      </c>
    </row>
    <row r="1127">
      <c r="A1127" s="8" t="inlineStr">
        <is>
          <t>1964-06-01</t>
        </is>
      </c>
      <c r="B1127" s="6" t="n">
        <v>4.17</v>
      </c>
      <c r="C1127" s="8">
        <f>-PV(B1127/100,$B$3,B1126/100,1)</f>
        <v/>
      </c>
      <c r="D1127" s="8">
        <f>B1126/100/12+(C1127-1)</f>
        <v/>
      </c>
      <c r="E1127" s="8">
        <f>E1126*(1+D1127)</f>
        <v/>
      </c>
    </row>
    <row r="1128">
      <c r="A1128" s="8" t="inlineStr">
        <is>
          <t>1964-07-01</t>
        </is>
      </c>
      <c r="B1128" s="6" t="n">
        <v>4.19</v>
      </c>
      <c r="C1128" s="8">
        <f>-PV(B1128/100,$B$3,B1127/100,1)</f>
        <v/>
      </c>
      <c r="D1128" s="8">
        <f>B1127/100/12+(C1128-1)</f>
        <v/>
      </c>
      <c r="E1128" s="8">
        <f>E1127*(1+D1128)</f>
        <v/>
      </c>
    </row>
    <row r="1129">
      <c r="A1129" s="8" t="inlineStr">
        <is>
          <t>1964-08-01</t>
        </is>
      </c>
      <c r="B1129" s="6" t="n">
        <v>4.19</v>
      </c>
      <c r="C1129" s="8">
        <f>-PV(B1129/100,$B$3,B1128/100,1)</f>
        <v/>
      </c>
      <c r="D1129" s="8">
        <f>B1128/100/12+(C1129-1)</f>
        <v/>
      </c>
      <c r="E1129" s="8">
        <f>E1128*(1+D1129)</f>
        <v/>
      </c>
    </row>
    <row r="1130">
      <c r="A1130" s="8" t="inlineStr">
        <is>
          <t>1964-09-01</t>
        </is>
      </c>
      <c r="B1130" s="6" t="n">
        <v>4.2</v>
      </c>
      <c r="C1130" s="8">
        <f>-PV(B1130/100,$B$3,B1129/100,1)</f>
        <v/>
      </c>
      <c r="D1130" s="8">
        <f>B1129/100/12+(C1130-1)</f>
        <v/>
      </c>
      <c r="E1130" s="8">
        <f>E1129*(1+D1130)</f>
        <v/>
      </c>
    </row>
    <row r="1131">
      <c r="A1131" s="8" t="inlineStr">
        <is>
          <t>1964-10-01</t>
        </is>
      </c>
      <c r="B1131" s="6" t="n">
        <v>4.19</v>
      </c>
      <c r="C1131" s="8">
        <f>-PV(B1131/100,$B$3,B1130/100,1)</f>
        <v/>
      </c>
      <c r="D1131" s="8">
        <f>B1130/100/12+(C1131-1)</f>
        <v/>
      </c>
      <c r="E1131" s="8">
        <f>E1130*(1+D1131)</f>
        <v/>
      </c>
    </row>
    <row r="1132">
      <c r="A1132" s="8" t="inlineStr">
        <is>
          <t>1964-11-01</t>
        </is>
      </c>
      <c r="B1132" s="6" t="n">
        <v>4.15</v>
      </c>
      <c r="C1132" s="8">
        <f>-PV(B1132/100,$B$3,B1131/100,1)</f>
        <v/>
      </c>
      <c r="D1132" s="8">
        <f>B1131/100/12+(C1132-1)</f>
        <v/>
      </c>
      <c r="E1132" s="8">
        <f>E1131*(1+D1132)</f>
        <v/>
      </c>
    </row>
    <row r="1133">
      <c r="A1133" s="8" t="inlineStr">
        <is>
          <t>1964-12-01</t>
        </is>
      </c>
      <c r="B1133" s="6" t="n">
        <v>4.18</v>
      </c>
      <c r="C1133" s="8">
        <f>-PV(B1133/100,$B$3,B1132/100,1)</f>
        <v/>
      </c>
      <c r="D1133" s="8">
        <f>B1132/100/12+(C1133-1)</f>
        <v/>
      </c>
      <c r="E1133" s="8">
        <f>E1132*(1+D1133)</f>
        <v/>
      </c>
    </row>
    <row r="1134">
      <c r="A1134" s="8" t="inlineStr">
        <is>
          <t>1965-01-01</t>
        </is>
      </c>
      <c r="B1134" s="6" t="n">
        <v>4.19</v>
      </c>
      <c r="C1134" s="8">
        <f>-PV(B1134/100,$B$3,B1133/100,1)</f>
        <v/>
      </c>
      <c r="D1134" s="8">
        <f>B1133/100/12+(C1134-1)</f>
        <v/>
      </c>
      <c r="E1134" s="8">
        <f>E1133*(1+D1134)</f>
        <v/>
      </c>
    </row>
    <row r="1135">
      <c r="A1135" s="8" t="inlineStr">
        <is>
          <t>1965-02-01</t>
        </is>
      </c>
      <c r="B1135" s="6" t="n">
        <v>4.21</v>
      </c>
      <c r="C1135" s="8">
        <f>-PV(B1135/100,$B$3,B1134/100,1)</f>
        <v/>
      </c>
      <c r="D1135" s="8">
        <f>B1134/100/12+(C1135-1)</f>
        <v/>
      </c>
      <c r="E1135" s="8">
        <f>E1134*(1+D1135)</f>
        <v/>
      </c>
    </row>
    <row r="1136">
      <c r="A1136" s="8" t="inlineStr">
        <is>
          <t>1965-03-01</t>
        </is>
      </c>
      <c r="B1136" s="6" t="n">
        <v>4.21</v>
      </c>
      <c r="C1136" s="8">
        <f>-PV(B1136/100,$B$3,B1135/100,1)</f>
        <v/>
      </c>
      <c r="D1136" s="8">
        <f>B1135/100/12+(C1136-1)</f>
        <v/>
      </c>
      <c r="E1136" s="8">
        <f>E1135*(1+D1136)</f>
        <v/>
      </c>
    </row>
    <row r="1137">
      <c r="A1137" s="8" t="inlineStr">
        <is>
          <t>1965-04-01</t>
        </is>
      </c>
      <c r="B1137" s="6" t="n">
        <v>4.2</v>
      </c>
      <c r="C1137" s="8">
        <f>-PV(B1137/100,$B$3,B1136/100,1)</f>
        <v/>
      </c>
      <c r="D1137" s="8">
        <f>B1136/100/12+(C1137-1)</f>
        <v/>
      </c>
      <c r="E1137" s="8">
        <f>E1136*(1+D1137)</f>
        <v/>
      </c>
    </row>
    <row r="1138">
      <c r="A1138" s="8" t="inlineStr">
        <is>
          <t>1965-05-01</t>
        </is>
      </c>
      <c r="B1138" s="6" t="n">
        <v>4.21</v>
      </c>
      <c r="C1138" s="8">
        <f>-PV(B1138/100,$B$3,B1137/100,1)</f>
        <v/>
      </c>
      <c r="D1138" s="8">
        <f>B1137/100/12+(C1138-1)</f>
        <v/>
      </c>
      <c r="E1138" s="8">
        <f>E1137*(1+D1138)</f>
        <v/>
      </c>
    </row>
    <row r="1139">
      <c r="A1139" s="8" t="inlineStr">
        <is>
          <t>1965-06-01</t>
        </is>
      </c>
      <c r="B1139" s="6" t="n">
        <v>4.21</v>
      </c>
      <c r="C1139" s="8">
        <f>-PV(B1139/100,$B$3,B1138/100,1)</f>
        <v/>
      </c>
      <c r="D1139" s="8">
        <f>B1138/100/12+(C1139-1)</f>
        <v/>
      </c>
      <c r="E1139" s="8">
        <f>E1138*(1+D1139)</f>
        <v/>
      </c>
    </row>
    <row r="1140">
      <c r="A1140" s="8" t="inlineStr">
        <is>
          <t>1965-07-01</t>
        </is>
      </c>
      <c r="B1140" s="6" t="n">
        <v>4.2</v>
      </c>
      <c r="C1140" s="8">
        <f>-PV(B1140/100,$B$3,B1139/100,1)</f>
        <v/>
      </c>
      <c r="D1140" s="8">
        <f>B1139/100/12+(C1140-1)</f>
        <v/>
      </c>
      <c r="E1140" s="8">
        <f>E1139*(1+D1140)</f>
        <v/>
      </c>
    </row>
    <row r="1141">
      <c r="A1141" s="8" t="inlineStr">
        <is>
          <t>1965-08-01</t>
        </is>
      </c>
      <c r="B1141" s="6" t="n">
        <v>4.25</v>
      </c>
      <c r="C1141" s="8">
        <f>-PV(B1141/100,$B$3,B1140/100,1)</f>
        <v/>
      </c>
      <c r="D1141" s="8">
        <f>B1140/100/12+(C1141-1)</f>
        <v/>
      </c>
      <c r="E1141" s="8">
        <f>E1140*(1+D1141)</f>
        <v/>
      </c>
    </row>
    <row r="1142">
      <c r="A1142" s="8" t="inlineStr">
        <is>
          <t>1965-09-01</t>
        </is>
      </c>
      <c r="B1142" s="6" t="n">
        <v>4.29</v>
      </c>
      <c r="C1142" s="8">
        <f>-PV(B1142/100,$B$3,B1141/100,1)</f>
        <v/>
      </c>
      <c r="D1142" s="8">
        <f>B1141/100/12+(C1142-1)</f>
        <v/>
      </c>
      <c r="E1142" s="8">
        <f>E1141*(1+D1142)</f>
        <v/>
      </c>
    </row>
    <row r="1143">
      <c r="A1143" s="8" t="inlineStr">
        <is>
          <t>1965-10-01</t>
        </is>
      </c>
      <c r="B1143" s="6" t="n">
        <v>4.35</v>
      </c>
      <c r="C1143" s="8">
        <f>-PV(B1143/100,$B$3,B1142/100,1)</f>
        <v/>
      </c>
      <c r="D1143" s="8">
        <f>B1142/100/12+(C1143-1)</f>
        <v/>
      </c>
      <c r="E1143" s="8">
        <f>E1142*(1+D1143)</f>
        <v/>
      </c>
    </row>
    <row r="1144">
      <c r="A1144" s="8" t="inlineStr">
        <is>
          <t>1965-11-01</t>
        </is>
      </c>
      <c r="B1144" s="6" t="n">
        <v>4.45</v>
      </c>
      <c r="C1144" s="8">
        <f>-PV(B1144/100,$B$3,B1143/100,1)</f>
        <v/>
      </c>
      <c r="D1144" s="8">
        <f>B1143/100/12+(C1144-1)</f>
        <v/>
      </c>
      <c r="E1144" s="8">
        <f>E1143*(1+D1144)</f>
        <v/>
      </c>
    </row>
    <row r="1145">
      <c r="A1145" s="8" t="inlineStr">
        <is>
          <t>1965-12-01</t>
        </is>
      </c>
      <c r="B1145" s="6" t="n">
        <v>4.62</v>
      </c>
      <c r="C1145" s="8">
        <f>-PV(B1145/100,$B$3,B1144/100,1)</f>
        <v/>
      </c>
      <c r="D1145" s="8">
        <f>B1144/100/12+(C1145-1)</f>
        <v/>
      </c>
      <c r="E1145" s="8">
        <f>E1144*(1+D1145)</f>
        <v/>
      </c>
    </row>
    <row r="1146">
      <c r="A1146" s="8" t="inlineStr">
        <is>
          <t>1966-01-01</t>
        </is>
      </c>
      <c r="B1146" s="6" t="n">
        <v>4.61</v>
      </c>
      <c r="C1146" s="8">
        <f>-PV(B1146/100,$B$3,B1145/100,1)</f>
        <v/>
      </c>
      <c r="D1146" s="8">
        <f>B1145/100/12+(C1146-1)</f>
        <v/>
      </c>
      <c r="E1146" s="8">
        <f>E1145*(1+D1146)</f>
        <v/>
      </c>
    </row>
    <row r="1147">
      <c r="A1147" s="8" t="inlineStr">
        <is>
          <t>1966-02-01</t>
        </is>
      </c>
      <c r="B1147" s="6" t="n">
        <v>4.83</v>
      </c>
      <c r="C1147" s="8">
        <f>-PV(B1147/100,$B$3,B1146/100,1)</f>
        <v/>
      </c>
      <c r="D1147" s="8">
        <f>B1146/100/12+(C1147-1)</f>
        <v/>
      </c>
      <c r="E1147" s="8">
        <f>E1146*(1+D1147)</f>
        <v/>
      </c>
    </row>
    <row r="1148">
      <c r="A1148" s="8" t="inlineStr">
        <is>
          <t>1966-03-01</t>
        </is>
      </c>
      <c r="B1148" s="6" t="n">
        <v>4.87</v>
      </c>
      <c r="C1148" s="8">
        <f>-PV(B1148/100,$B$3,B1147/100,1)</f>
        <v/>
      </c>
      <c r="D1148" s="8">
        <f>B1147/100/12+(C1148-1)</f>
        <v/>
      </c>
      <c r="E1148" s="8">
        <f>E1147*(1+D1148)</f>
        <v/>
      </c>
    </row>
    <row r="1149">
      <c r="A1149" s="8" t="inlineStr">
        <is>
          <t>1966-04-01</t>
        </is>
      </c>
      <c r="B1149" s="6" t="n">
        <v>4.75</v>
      </c>
      <c r="C1149" s="8">
        <f>-PV(B1149/100,$B$3,B1148/100,1)</f>
        <v/>
      </c>
      <c r="D1149" s="8">
        <f>B1148/100/12+(C1149-1)</f>
        <v/>
      </c>
      <c r="E1149" s="8">
        <f>E1148*(1+D1149)</f>
        <v/>
      </c>
    </row>
    <row r="1150">
      <c r="A1150" s="8" t="inlineStr">
        <is>
          <t>1966-05-01</t>
        </is>
      </c>
      <c r="B1150" s="6" t="n">
        <v>4.78</v>
      </c>
      <c r="C1150" s="8">
        <f>-PV(B1150/100,$B$3,B1149/100,1)</f>
        <v/>
      </c>
      <c r="D1150" s="8">
        <f>B1149/100/12+(C1150-1)</f>
        <v/>
      </c>
      <c r="E1150" s="8">
        <f>E1149*(1+D1150)</f>
        <v/>
      </c>
    </row>
    <row r="1151">
      <c r="A1151" s="8" t="inlineStr">
        <is>
          <t>1966-06-01</t>
        </is>
      </c>
      <c r="B1151" s="6" t="n">
        <v>4.81</v>
      </c>
      <c r="C1151" s="8">
        <f>-PV(B1151/100,$B$3,B1150/100,1)</f>
        <v/>
      </c>
      <c r="D1151" s="8">
        <f>B1150/100/12+(C1151-1)</f>
        <v/>
      </c>
      <c r="E1151" s="8">
        <f>E1150*(1+D1151)</f>
        <v/>
      </c>
    </row>
    <row r="1152">
      <c r="A1152" s="8" t="inlineStr">
        <is>
          <t>1966-07-01</t>
        </is>
      </c>
      <c r="B1152" s="6" t="n">
        <v>5.02</v>
      </c>
      <c r="C1152" s="8">
        <f>-PV(B1152/100,$B$3,B1151/100,1)</f>
        <v/>
      </c>
      <c r="D1152" s="8">
        <f>B1151/100/12+(C1152-1)</f>
        <v/>
      </c>
      <c r="E1152" s="8">
        <f>E1151*(1+D1152)</f>
        <v/>
      </c>
    </row>
    <row r="1153">
      <c r="A1153" s="8" t="inlineStr">
        <is>
          <t>1966-08-01</t>
        </is>
      </c>
      <c r="B1153" s="6" t="n">
        <v>5.22</v>
      </c>
      <c r="C1153" s="8">
        <f>-PV(B1153/100,$B$3,B1152/100,1)</f>
        <v/>
      </c>
      <c r="D1153" s="8">
        <f>B1152/100/12+(C1153-1)</f>
        <v/>
      </c>
      <c r="E1153" s="8">
        <f>E1152*(1+D1153)</f>
        <v/>
      </c>
    </row>
    <row r="1154">
      <c r="A1154" s="8" t="inlineStr">
        <is>
          <t>1966-09-01</t>
        </is>
      </c>
      <c r="B1154" s="6" t="n">
        <v>5.18</v>
      </c>
      <c r="C1154" s="8">
        <f>-PV(B1154/100,$B$3,B1153/100,1)</f>
        <v/>
      </c>
      <c r="D1154" s="8">
        <f>B1153/100/12+(C1154-1)</f>
        <v/>
      </c>
      <c r="E1154" s="8">
        <f>E1153*(1+D1154)</f>
        <v/>
      </c>
    </row>
    <row r="1155">
      <c r="A1155" s="8" t="inlineStr">
        <is>
          <t>1966-10-01</t>
        </is>
      </c>
      <c r="B1155" s="6" t="n">
        <v>5.01</v>
      </c>
      <c r="C1155" s="8">
        <f>-PV(B1155/100,$B$3,B1154/100,1)</f>
        <v/>
      </c>
      <c r="D1155" s="8">
        <f>B1154/100/12+(C1155-1)</f>
        <v/>
      </c>
      <c r="E1155" s="8">
        <f>E1154*(1+D1155)</f>
        <v/>
      </c>
    </row>
    <row r="1156">
      <c r="A1156" s="8" t="inlineStr">
        <is>
          <t>1966-11-01</t>
        </is>
      </c>
      <c r="B1156" s="6" t="n">
        <v>5.16</v>
      </c>
      <c r="C1156" s="8">
        <f>-PV(B1156/100,$B$3,B1155/100,1)</f>
        <v/>
      </c>
      <c r="D1156" s="8">
        <f>B1155/100/12+(C1156-1)</f>
        <v/>
      </c>
      <c r="E1156" s="8">
        <f>E1155*(1+D1156)</f>
        <v/>
      </c>
    </row>
    <row r="1157">
      <c r="A1157" s="8" t="inlineStr">
        <is>
          <t>1966-12-01</t>
        </is>
      </c>
      <c r="B1157" s="6" t="n">
        <v>4.84</v>
      </c>
      <c r="C1157" s="8">
        <f>-PV(B1157/100,$B$3,B1156/100,1)</f>
        <v/>
      </c>
      <c r="D1157" s="8">
        <f>B1156/100/12+(C1157-1)</f>
        <v/>
      </c>
      <c r="E1157" s="8">
        <f>E1156*(1+D1157)</f>
        <v/>
      </c>
    </row>
    <row r="1158">
      <c r="A1158" s="8" t="inlineStr">
        <is>
          <t>1967-01-01</t>
        </is>
      </c>
      <c r="B1158" s="6" t="n">
        <v>4.58</v>
      </c>
      <c r="C1158" s="8">
        <f>-PV(B1158/100,$B$3,B1157/100,1)</f>
        <v/>
      </c>
      <c r="D1158" s="8">
        <f>B1157/100/12+(C1158-1)</f>
        <v/>
      </c>
      <c r="E1158" s="8">
        <f>E1157*(1+D1158)</f>
        <v/>
      </c>
    </row>
    <row r="1159">
      <c r="A1159" s="8" t="inlineStr">
        <is>
          <t>1967-02-01</t>
        </is>
      </c>
      <c r="B1159" s="6" t="n">
        <v>4.63</v>
      </c>
      <c r="C1159" s="8">
        <f>-PV(B1159/100,$B$3,B1158/100,1)</f>
        <v/>
      </c>
      <c r="D1159" s="8">
        <f>B1158/100/12+(C1159-1)</f>
        <v/>
      </c>
      <c r="E1159" s="8">
        <f>E1158*(1+D1159)</f>
        <v/>
      </c>
    </row>
    <row r="1160">
      <c r="A1160" s="8" t="inlineStr">
        <is>
          <t>1967-03-01</t>
        </is>
      </c>
      <c r="B1160" s="6" t="n">
        <v>4.54</v>
      </c>
      <c r="C1160" s="8">
        <f>-PV(B1160/100,$B$3,B1159/100,1)</f>
        <v/>
      </c>
      <c r="D1160" s="8">
        <f>B1159/100/12+(C1160-1)</f>
        <v/>
      </c>
      <c r="E1160" s="8">
        <f>E1159*(1+D1160)</f>
        <v/>
      </c>
    </row>
    <row r="1161">
      <c r="A1161" s="8" t="inlineStr">
        <is>
          <t>1967-04-01</t>
        </is>
      </c>
      <c r="B1161" s="6" t="n">
        <v>4.59</v>
      </c>
      <c r="C1161" s="8">
        <f>-PV(B1161/100,$B$3,B1160/100,1)</f>
        <v/>
      </c>
      <c r="D1161" s="8">
        <f>B1160/100/12+(C1161-1)</f>
        <v/>
      </c>
      <c r="E1161" s="8">
        <f>E1160*(1+D1161)</f>
        <v/>
      </c>
    </row>
    <row r="1162">
      <c r="A1162" s="8" t="inlineStr">
        <is>
          <t>1967-05-01</t>
        </is>
      </c>
      <c r="B1162" s="6" t="n">
        <v>4.85</v>
      </c>
      <c r="C1162" s="8">
        <f>-PV(B1162/100,$B$3,B1161/100,1)</f>
        <v/>
      </c>
      <c r="D1162" s="8">
        <f>B1161/100/12+(C1162-1)</f>
        <v/>
      </c>
      <c r="E1162" s="8">
        <f>E1161*(1+D1162)</f>
        <v/>
      </c>
    </row>
    <row r="1163">
      <c r="A1163" s="8" t="inlineStr">
        <is>
          <t>1967-06-01</t>
        </is>
      </c>
      <c r="B1163" s="6" t="n">
        <v>5.02</v>
      </c>
      <c r="C1163" s="8">
        <f>-PV(B1163/100,$B$3,B1162/100,1)</f>
        <v/>
      </c>
      <c r="D1163" s="8">
        <f>B1162/100/12+(C1163-1)</f>
        <v/>
      </c>
      <c r="E1163" s="8">
        <f>E1162*(1+D1163)</f>
        <v/>
      </c>
    </row>
    <row r="1164">
      <c r="A1164" s="8" t="inlineStr">
        <is>
          <t>1967-07-01</t>
        </is>
      </c>
      <c r="B1164" s="6" t="n">
        <v>5.16</v>
      </c>
      <c r="C1164" s="8">
        <f>-PV(B1164/100,$B$3,B1163/100,1)</f>
        <v/>
      </c>
      <c r="D1164" s="8">
        <f>B1163/100/12+(C1164-1)</f>
        <v/>
      </c>
      <c r="E1164" s="8">
        <f>E1163*(1+D1164)</f>
        <v/>
      </c>
    </row>
    <row r="1165">
      <c r="A1165" s="8" t="inlineStr">
        <is>
          <t>1967-08-01</t>
        </is>
      </c>
      <c r="B1165" s="6" t="n">
        <v>5.28</v>
      </c>
      <c r="C1165" s="8">
        <f>-PV(B1165/100,$B$3,B1164/100,1)</f>
        <v/>
      </c>
      <c r="D1165" s="8">
        <f>B1164/100/12+(C1165-1)</f>
        <v/>
      </c>
      <c r="E1165" s="8">
        <f>E1164*(1+D1165)</f>
        <v/>
      </c>
    </row>
    <row r="1166">
      <c r="A1166" s="8" t="inlineStr">
        <is>
          <t>1967-09-01</t>
        </is>
      </c>
      <c r="B1166" s="6" t="n">
        <v>5.3</v>
      </c>
      <c r="C1166" s="8">
        <f>-PV(B1166/100,$B$3,B1165/100,1)</f>
        <v/>
      </c>
      <c r="D1166" s="8">
        <f>B1165/100/12+(C1166-1)</f>
        <v/>
      </c>
      <c r="E1166" s="8">
        <f>E1165*(1+D1166)</f>
        <v/>
      </c>
    </row>
    <row r="1167">
      <c r="A1167" s="8" t="inlineStr">
        <is>
          <t>1967-10-01</t>
        </is>
      </c>
      <c r="B1167" s="6" t="n">
        <v>5.48</v>
      </c>
      <c r="C1167" s="8">
        <f>-PV(B1167/100,$B$3,B1166/100,1)</f>
        <v/>
      </c>
      <c r="D1167" s="8">
        <f>B1166/100/12+(C1167-1)</f>
        <v/>
      </c>
      <c r="E1167" s="8">
        <f>E1166*(1+D1167)</f>
        <v/>
      </c>
    </row>
    <row r="1168">
      <c r="A1168" s="8" t="inlineStr">
        <is>
          <t>1967-11-01</t>
        </is>
      </c>
      <c r="B1168" s="6" t="n">
        <v>5.75</v>
      </c>
      <c r="C1168" s="8">
        <f>-PV(B1168/100,$B$3,B1167/100,1)</f>
        <v/>
      </c>
      <c r="D1168" s="8">
        <f>B1167/100/12+(C1168-1)</f>
        <v/>
      </c>
      <c r="E1168" s="8">
        <f>E1167*(1+D1168)</f>
        <v/>
      </c>
    </row>
    <row r="1169">
      <c r="A1169" s="8" t="inlineStr">
        <is>
          <t>1967-12-01</t>
        </is>
      </c>
      <c r="B1169" s="6" t="n">
        <v>5.7</v>
      </c>
      <c r="C1169" s="8">
        <f>-PV(B1169/100,$B$3,B1168/100,1)</f>
        <v/>
      </c>
      <c r="D1169" s="8">
        <f>B1168/100/12+(C1169-1)</f>
        <v/>
      </c>
      <c r="E1169" s="8">
        <f>E1168*(1+D1169)</f>
        <v/>
      </c>
    </row>
    <row r="1170">
      <c r="A1170" s="8" t="inlineStr">
        <is>
          <t>1968-01-01</t>
        </is>
      </c>
      <c r="B1170" s="6" t="n">
        <v>5.53</v>
      </c>
      <c r="C1170" s="8">
        <f>-PV(B1170/100,$B$3,B1169/100,1)</f>
        <v/>
      </c>
      <c r="D1170" s="8">
        <f>B1169/100/12+(C1170-1)</f>
        <v/>
      </c>
      <c r="E1170" s="8">
        <f>E1169*(1+D1170)</f>
        <v/>
      </c>
    </row>
    <row r="1171">
      <c r="A1171" s="8" t="inlineStr">
        <is>
          <t>1968-02-01</t>
        </is>
      </c>
      <c r="B1171" s="6" t="n">
        <v>5.56</v>
      </c>
      <c r="C1171" s="8">
        <f>-PV(B1171/100,$B$3,B1170/100,1)</f>
        <v/>
      </c>
      <c r="D1171" s="8">
        <f>B1170/100/12+(C1171-1)</f>
        <v/>
      </c>
      <c r="E1171" s="8">
        <f>E1170*(1+D1171)</f>
        <v/>
      </c>
    </row>
    <row r="1172">
      <c r="A1172" s="8" t="inlineStr">
        <is>
          <t>1968-03-01</t>
        </is>
      </c>
      <c r="B1172" s="6" t="n">
        <v>5.74</v>
      </c>
      <c r="C1172" s="8">
        <f>-PV(B1172/100,$B$3,B1171/100,1)</f>
        <v/>
      </c>
      <c r="D1172" s="8">
        <f>B1171/100/12+(C1172-1)</f>
        <v/>
      </c>
      <c r="E1172" s="8">
        <f>E1171*(1+D1172)</f>
        <v/>
      </c>
    </row>
    <row r="1173">
      <c r="A1173" s="8" t="inlineStr">
        <is>
          <t>1968-04-01</t>
        </is>
      </c>
      <c r="B1173" s="6" t="n">
        <v>5.64</v>
      </c>
      <c r="C1173" s="8">
        <f>-PV(B1173/100,$B$3,B1172/100,1)</f>
        <v/>
      </c>
      <c r="D1173" s="8">
        <f>B1172/100/12+(C1173-1)</f>
        <v/>
      </c>
      <c r="E1173" s="8">
        <f>E1172*(1+D1173)</f>
        <v/>
      </c>
    </row>
    <row r="1174">
      <c r="A1174" s="8" t="inlineStr">
        <is>
          <t>1968-05-01</t>
        </is>
      </c>
      <c r="B1174" s="6" t="n">
        <v>5.87</v>
      </c>
      <c r="C1174" s="8">
        <f>-PV(B1174/100,$B$3,B1173/100,1)</f>
        <v/>
      </c>
      <c r="D1174" s="8">
        <f>B1173/100/12+(C1174-1)</f>
        <v/>
      </c>
      <c r="E1174" s="8">
        <f>E1173*(1+D1174)</f>
        <v/>
      </c>
    </row>
    <row r="1175">
      <c r="A1175" s="8" t="inlineStr">
        <is>
          <t>1968-06-01</t>
        </is>
      </c>
      <c r="B1175" s="6" t="n">
        <v>5.72</v>
      </c>
      <c r="C1175" s="8">
        <f>-PV(B1175/100,$B$3,B1174/100,1)</f>
        <v/>
      </c>
      <c r="D1175" s="8">
        <f>B1174/100/12+(C1175-1)</f>
        <v/>
      </c>
      <c r="E1175" s="8">
        <f>E1174*(1+D1175)</f>
        <v/>
      </c>
    </row>
    <row r="1176">
      <c r="A1176" s="8" t="inlineStr">
        <is>
          <t>1968-07-01</t>
        </is>
      </c>
      <c r="B1176" s="6" t="n">
        <v>5.5</v>
      </c>
      <c r="C1176" s="8">
        <f>-PV(B1176/100,$B$3,B1175/100,1)</f>
        <v/>
      </c>
      <c r="D1176" s="8">
        <f>B1175/100/12+(C1176-1)</f>
        <v/>
      </c>
      <c r="E1176" s="8">
        <f>E1175*(1+D1176)</f>
        <v/>
      </c>
    </row>
    <row r="1177">
      <c r="A1177" s="8" t="inlineStr">
        <is>
          <t>1968-08-01</t>
        </is>
      </c>
      <c r="B1177" s="6" t="n">
        <v>5.42</v>
      </c>
      <c r="C1177" s="8">
        <f>-PV(B1177/100,$B$3,B1176/100,1)</f>
        <v/>
      </c>
      <c r="D1177" s="8">
        <f>B1176/100/12+(C1177-1)</f>
        <v/>
      </c>
      <c r="E1177" s="8">
        <f>E1176*(1+D1177)</f>
        <v/>
      </c>
    </row>
    <row r="1178">
      <c r="A1178" s="8" t="inlineStr">
        <is>
          <t>1968-09-01</t>
        </is>
      </c>
      <c r="B1178" s="6" t="n">
        <v>5.46</v>
      </c>
      <c r="C1178" s="8">
        <f>-PV(B1178/100,$B$3,B1177/100,1)</f>
        <v/>
      </c>
      <c r="D1178" s="8">
        <f>B1177/100/12+(C1178-1)</f>
        <v/>
      </c>
      <c r="E1178" s="8">
        <f>E1177*(1+D1178)</f>
        <v/>
      </c>
    </row>
    <row r="1179">
      <c r="A1179" s="8" t="inlineStr">
        <is>
          <t>1968-10-01</t>
        </is>
      </c>
      <c r="B1179" s="6" t="n">
        <v>5.58</v>
      </c>
      <c r="C1179" s="8">
        <f>-PV(B1179/100,$B$3,B1178/100,1)</f>
        <v/>
      </c>
      <c r="D1179" s="8">
        <f>B1178/100/12+(C1179-1)</f>
        <v/>
      </c>
      <c r="E1179" s="8">
        <f>E1178*(1+D1179)</f>
        <v/>
      </c>
    </row>
    <row r="1180">
      <c r="A1180" s="8" t="inlineStr">
        <is>
          <t>1968-11-01</t>
        </is>
      </c>
      <c r="B1180" s="6" t="n">
        <v>5.7</v>
      </c>
      <c r="C1180" s="8">
        <f>-PV(B1180/100,$B$3,B1179/100,1)</f>
        <v/>
      </c>
      <c r="D1180" s="8">
        <f>B1179/100/12+(C1180-1)</f>
        <v/>
      </c>
      <c r="E1180" s="8">
        <f>E1179*(1+D1180)</f>
        <v/>
      </c>
    </row>
    <row r="1181">
      <c r="A1181" s="8" t="inlineStr">
        <is>
          <t>1968-12-01</t>
        </is>
      </c>
      <c r="B1181" s="6" t="n">
        <v>6.03</v>
      </c>
      <c r="C1181" s="8">
        <f>-PV(B1181/100,$B$3,B1180/100,1)</f>
        <v/>
      </c>
      <c r="D1181" s="8">
        <f>B1180/100/12+(C1181-1)</f>
        <v/>
      </c>
      <c r="E1181" s="8">
        <f>E1180*(1+D1181)</f>
        <v/>
      </c>
    </row>
    <row r="1182">
      <c r="A1182" s="8" t="inlineStr">
        <is>
          <t>1969-01-01</t>
        </is>
      </c>
      <c r="B1182" s="6" t="n">
        <v>6.04</v>
      </c>
      <c r="C1182" s="8">
        <f>-PV(B1182/100,$B$3,B1181/100,1)</f>
        <v/>
      </c>
      <c r="D1182" s="8">
        <f>B1181/100/12+(C1182-1)</f>
        <v/>
      </c>
      <c r="E1182" s="8">
        <f>E1181*(1+D1182)</f>
        <v/>
      </c>
    </row>
    <row r="1183">
      <c r="A1183" s="8" t="inlineStr">
        <is>
          <t>1969-02-01</t>
        </is>
      </c>
      <c r="B1183" s="6" t="n">
        <v>6.19</v>
      </c>
      <c r="C1183" s="8">
        <f>-PV(B1183/100,$B$3,B1182/100,1)</f>
        <v/>
      </c>
      <c r="D1183" s="8">
        <f>B1182/100/12+(C1183-1)</f>
        <v/>
      </c>
      <c r="E1183" s="8">
        <f>E1182*(1+D1183)</f>
        <v/>
      </c>
    </row>
    <row r="1184">
      <c r="A1184" s="8" t="inlineStr">
        <is>
          <t>1969-03-01</t>
        </is>
      </c>
      <c r="B1184" s="6" t="n">
        <v>6.3</v>
      </c>
      <c r="C1184" s="8">
        <f>-PV(B1184/100,$B$3,B1183/100,1)</f>
        <v/>
      </c>
      <c r="D1184" s="8">
        <f>B1183/100/12+(C1184-1)</f>
        <v/>
      </c>
      <c r="E1184" s="8">
        <f>E1183*(1+D1184)</f>
        <v/>
      </c>
    </row>
    <row r="1185">
      <c r="A1185" s="8" t="inlineStr">
        <is>
          <t>1969-04-01</t>
        </is>
      </c>
      <c r="B1185" s="6" t="n">
        <v>6.17</v>
      </c>
      <c r="C1185" s="8">
        <f>-PV(B1185/100,$B$3,B1184/100,1)</f>
        <v/>
      </c>
      <c r="D1185" s="8">
        <f>B1184/100/12+(C1185-1)</f>
        <v/>
      </c>
      <c r="E1185" s="8">
        <f>E1184*(1+D1185)</f>
        <v/>
      </c>
    </row>
    <row r="1186">
      <c r="A1186" s="8" t="inlineStr">
        <is>
          <t>1969-05-01</t>
        </is>
      </c>
      <c r="B1186" s="6" t="n">
        <v>6.32</v>
      </c>
      <c r="C1186" s="8">
        <f>-PV(B1186/100,$B$3,B1185/100,1)</f>
        <v/>
      </c>
      <c r="D1186" s="8">
        <f>B1185/100/12+(C1186-1)</f>
        <v/>
      </c>
      <c r="E1186" s="8">
        <f>E1185*(1+D1186)</f>
        <v/>
      </c>
    </row>
    <row r="1187">
      <c r="A1187" s="8" t="inlineStr">
        <is>
          <t>1969-06-01</t>
        </is>
      </c>
      <c r="B1187" s="6" t="n">
        <v>6.57</v>
      </c>
      <c r="C1187" s="8">
        <f>-PV(B1187/100,$B$3,B1186/100,1)</f>
        <v/>
      </c>
      <c r="D1187" s="8">
        <f>B1186/100/12+(C1187-1)</f>
        <v/>
      </c>
      <c r="E1187" s="8">
        <f>E1186*(1+D1187)</f>
        <v/>
      </c>
    </row>
    <row r="1188">
      <c r="A1188" s="8" t="inlineStr">
        <is>
          <t>1969-07-01</t>
        </is>
      </c>
      <c r="B1188" s="6" t="n">
        <v>6.72</v>
      </c>
      <c r="C1188" s="8">
        <f>-PV(B1188/100,$B$3,B1187/100,1)</f>
        <v/>
      </c>
      <c r="D1188" s="8">
        <f>B1187/100/12+(C1188-1)</f>
        <v/>
      </c>
      <c r="E1188" s="8">
        <f>E1187*(1+D1188)</f>
        <v/>
      </c>
    </row>
    <row r="1189">
      <c r="A1189" s="8" t="inlineStr">
        <is>
          <t>1969-08-01</t>
        </is>
      </c>
      <c r="B1189" s="6" t="n">
        <v>6.69</v>
      </c>
      <c r="C1189" s="8">
        <f>-PV(B1189/100,$B$3,B1188/100,1)</f>
        <v/>
      </c>
      <c r="D1189" s="8">
        <f>B1188/100/12+(C1189-1)</f>
        <v/>
      </c>
      <c r="E1189" s="8">
        <f>E1188*(1+D1189)</f>
        <v/>
      </c>
    </row>
    <row r="1190">
      <c r="A1190" s="8" t="inlineStr">
        <is>
          <t>1969-09-01</t>
        </is>
      </c>
      <c r="B1190" s="6" t="n">
        <v>7.16</v>
      </c>
      <c r="C1190" s="8">
        <f>-PV(B1190/100,$B$3,B1189/100,1)</f>
        <v/>
      </c>
      <c r="D1190" s="8">
        <f>B1189/100/12+(C1190-1)</f>
        <v/>
      </c>
      <c r="E1190" s="8">
        <f>E1189*(1+D1190)</f>
        <v/>
      </c>
    </row>
    <row r="1191">
      <c r="A1191" s="8" t="inlineStr">
        <is>
          <t>1969-10-01</t>
        </is>
      </c>
      <c r="B1191" s="6" t="n">
        <v>7.1</v>
      </c>
      <c r="C1191" s="8">
        <f>-PV(B1191/100,$B$3,B1190/100,1)</f>
        <v/>
      </c>
      <c r="D1191" s="8">
        <f>B1190/100/12+(C1191-1)</f>
        <v/>
      </c>
      <c r="E1191" s="8">
        <f>E1190*(1+D1191)</f>
        <v/>
      </c>
    </row>
    <row r="1192">
      <c r="A1192" s="8" t="inlineStr">
        <is>
          <t>1969-11-01</t>
        </is>
      </c>
      <c r="B1192" s="6" t="n">
        <v>7.14</v>
      </c>
      <c r="C1192" s="8">
        <f>-PV(B1192/100,$B$3,B1191/100,1)</f>
        <v/>
      </c>
      <c r="D1192" s="8">
        <f>B1191/100/12+(C1192-1)</f>
        <v/>
      </c>
      <c r="E1192" s="8">
        <f>E1191*(1+D1192)</f>
        <v/>
      </c>
    </row>
    <row r="1193">
      <c r="A1193" s="8" t="inlineStr">
        <is>
          <t>1969-12-01</t>
        </is>
      </c>
      <c r="B1193" s="6" t="n">
        <v>7.65</v>
      </c>
      <c r="C1193" s="8">
        <f>-PV(B1193/100,$B$3,B1192/100,1)</f>
        <v/>
      </c>
      <c r="D1193" s="8">
        <f>B1192/100/12+(C1193-1)</f>
        <v/>
      </c>
      <c r="E1193" s="8">
        <f>E1192*(1+D1193)</f>
        <v/>
      </c>
    </row>
    <row r="1194">
      <c r="A1194" s="8" t="inlineStr">
        <is>
          <t>1970-01-01</t>
        </is>
      </c>
      <c r="B1194" s="6" t="n">
        <v>7.79</v>
      </c>
      <c r="C1194" s="8">
        <f>-PV(B1194/100,$B$3,B1193/100,1)</f>
        <v/>
      </c>
      <c r="D1194" s="8">
        <f>B1193/100/12+(C1194-1)</f>
        <v/>
      </c>
      <c r="E1194" s="8">
        <f>E1193*(1+D1194)</f>
        <v/>
      </c>
    </row>
    <row r="1195">
      <c r="A1195" s="8" t="inlineStr">
        <is>
          <t>1970-02-01</t>
        </is>
      </c>
      <c r="B1195" s="6" t="n">
        <v>7.24</v>
      </c>
      <c r="C1195" s="8">
        <f>-PV(B1195/100,$B$3,B1194/100,1)</f>
        <v/>
      </c>
      <c r="D1195" s="8">
        <f>B1194/100/12+(C1195-1)</f>
        <v/>
      </c>
      <c r="E1195" s="8">
        <f>E1194*(1+D1195)</f>
        <v/>
      </c>
    </row>
    <row r="1196">
      <c r="A1196" s="8" t="inlineStr">
        <is>
          <t>1970-03-01</t>
        </is>
      </c>
      <c r="B1196" s="6" t="n">
        <v>7.07</v>
      </c>
      <c r="C1196" s="8">
        <f>-PV(B1196/100,$B$3,B1195/100,1)</f>
        <v/>
      </c>
      <c r="D1196" s="8">
        <f>B1195/100/12+(C1196-1)</f>
        <v/>
      </c>
      <c r="E1196" s="8">
        <f>E1195*(1+D1196)</f>
        <v/>
      </c>
    </row>
    <row r="1197">
      <c r="A1197" s="8" t="inlineStr">
        <is>
          <t>1970-04-01</t>
        </is>
      </c>
      <c r="B1197" s="6" t="n">
        <v>7.39</v>
      </c>
      <c r="C1197" s="8">
        <f>-PV(B1197/100,$B$3,B1196/100,1)</f>
        <v/>
      </c>
      <c r="D1197" s="8">
        <f>B1196/100/12+(C1197-1)</f>
        <v/>
      </c>
      <c r="E1197" s="8">
        <f>E1196*(1+D1197)</f>
        <v/>
      </c>
    </row>
    <row r="1198">
      <c r="A1198" s="8" t="inlineStr">
        <is>
          <t>1970-05-01</t>
        </is>
      </c>
      <c r="B1198" s="6" t="n">
        <v>7.91</v>
      </c>
      <c r="C1198" s="8">
        <f>-PV(B1198/100,$B$3,B1197/100,1)</f>
        <v/>
      </c>
      <c r="D1198" s="8">
        <f>B1197/100/12+(C1198-1)</f>
        <v/>
      </c>
      <c r="E1198" s="8">
        <f>E1197*(1+D1198)</f>
        <v/>
      </c>
    </row>
    <row r="1199">
      <c r="A1199" s="8" t="inlineStr">
        <is>
          <t>1970-06-01</t>
        </is>
      </c>
      <c r="B1199" s="6" t="n">
        <v>7.84</v>
      </c>
      <c r="C1199" s="8">
        <f>-PV(B1199/100,$B$3,B1198/100,1)</f>
        <v/>
      </c>
      <c r="D1199" s="8">
        <f>B1198/100/12+(C1199-1)</f>
        <v/>
      </c>
      <c r="E1199" s="8">
        <f>E1198*(1+D1199)</f>
        <v/>
      </c>
    </row>
    <row r="1200">
      <c r="A1200" s="8" t="inlineStr">
        <is>
          <t>1970-07-01</t>
        </is>
      </c>
      <c r="B1200" s="6" t="n">
        <v>7.46</v>
      </c>
      <c r="C1200" s="8">
        <f>-PV(B1200/100,$B$3,B1199/100,1)</f>
        <v/>
      </c>
      <c r="D1200" s="8">
        <f>B1199/100/12+(C1200-1)</f>
        <v/>
      </c>
      <c r="E1200" s="8">
        <f>E1199*(1+D1200)</f>
        <v/>
      </c>
    </row>
    <row r="1201">
      <c r="A1201" s="8" t="inlineStr">
        <is>
          <t>1970-08-01</t>
        </is>
      </c>
      <c r="B1201" s="6" t="n">
        <v>7.53</v>
      </c>
      <c r="C1201" s="8">
        <f>-PV(B1201/100,$B$3,B1200/100,1)</f>
        <v/>
      </c>
      <c r="D1201" s="8">
        <f>B1200/100/12+(C1201-1)</f>
        <v/>
      </c>
      <c r="E1201" s="8">
        <f>E1200*(1+D1201)</f>
        <v/>
      </c>
    </row>
    <row r="1202">
      <c r="A1202" s="8" t="inlineStr">
        <is>
          <t>1970-09-01</t>
        </is>
      </c>
      <c r="B1202" s="6" t="n">
        <v>7.39</v>
      </c>
      <c r="C1202" s="8">
        <f>-PV(B1202/100,$B$3,B1201/100,1)</f>
        <v/>
      </c>
      <c r="D1202" s="8">
        <f>B1201/100/12+(C1202-1)</f>
        <v/>
      </c>
      <c r="E1202" s="8">
        <f>E1201*(1+D1202)</f>
        <v/>
      </c>
    </row>
    <row r="1203">
      <c r="A1203" s="8" t="inlineStr">
        <is>
          <t>1970-10-01</t>
        </is>
      </c>
      <c r="B1203" s="6" t="n">
        <v>7.33</v>
      </c>
      <c r="C1203" s="8">
        <f>-PV(B1203/100,$B$3,B1202/100,1)</f>
        <v/>
      </c>
      <c r="D1203" s="8">
        <f>B1202/100/12+(C1203-1)</f>
        <v/>
      </c>
      <c r="E1203" s="8">
        <f>E1202*(1+D1203)</f>
        <v/>
      </c>
    </row>
    <row r="1204">
      <c r="A1204" s="8" t="inlineStr">
        <is>
          <t>1970-11-01</t>
        </is>
      </c>
      <c r="B1204" s="6" t="n">
        <v>6.84</v>
      </c>
      <c r="C1204" s="8">
        <f>-PV(B1204/100,$B$3,B1203/100,1)</f>
        <v/>
      </c>
      <c r="D1204" s="8">
        <f>B1203/100/12+(C1204-1)</f>
        <v/>
      </c>
      <c r="E1204" s="8">
        <f>E1203*(1+D1204)</f>
        <v/>
      </c>
    </row>
    <row r="1205">
      <c r="A1205" s="8" t="inlineStr">
        <is>
          <t>1970-12-01</t>
        </is>
      </c>
      <c r="B1205" s="6" t="n">
        <v>6.39</v>
      </c>
      <c r="C1205" s="8">
        <f>-PV(B1205/100,$B$3,B1204/100,1)</f>
        <v/>
      </c>
      <c r="D1205" s="8">
        <f>B1204/100/12+(C1205-1)</f>
        <v/>
      </c>
      <c r="E1205" s="8">
        <f>E1204*(1+D1205)</f>
        <v/>
      </c>
    </row>
    <row r="1206">
      <c r="A1206" s="8" t="inlineStr">
        <is>
          <t>1971-01-01</t>
        </is>
      </c>
      <c r="B1206" s="6" t="n">
        <v>6.24</v>
      </c>
      <c r="C1206" s="8">
        <f>-PV(B1206/100,$B$3,B1205/100,1)</f>
        <v/>
      </c>
      <c r="D1206" s="8">
        <f>B1205/100/12+(C1206-1)</f>
        <v/>
      </c>
      <c r="E1206" s="8">
        <f>E1205*(1+D1206)</f>
        <v/>
      </c>
    </row>
    <row r="1207">
      <c r="A1207" s="8" t="inlineStr">
        <is>
          <t>1971-02-01</t>
        </is>
      </c>
      <c r="B1207" s="6" t="n">
        <v>6.11</v>
      </c>
      <c r="C1207" s="8">
        <f>-PV(B1207/100,$B$3,B1206/100,1)</f>
        <v/>
      </c>
      <c r="D1207" s="8">
        <f>B1206/100/12+(C1207-1)</f>
        <v/>
      </c>
      <c r="E1207" s="8">
        <f>E1206*(1+D1207)</f>
        <v/>
      </c>
    </row>
    <row r="1208">
      <c r="A1208" s="8" t="inlineStr">
        <is>
          <t>1971-03-01</t>
        </is>
      </c>
      <c r="B1208" s="6" t="n">
        <v>5.7</v>
      </c>
      <c r="C1208" s="8">
        <f>-PV(B1208/100,$B$3,B1207/100,1)</f>
        <v/>
      </c>
      <c r="D1208" s="8">
        <f>B1207/100/12+(C1208-1)</f>
        <v/>
      </c>
      <c r="E1208" s="8">
        <f>E1207*(1+D1208)</f>
        <v/>
      </c>
    </row>
    <row r="1209">
      <c r="A1209" s="8" t="inlineStr">
        <is>
          <t>1971-04-01</t>
        </is>
      </c>
      <c r="B1209" s="6" t="n">
        <v>5.83</v>
      </c>
      <c r="C1209" s="8">
        <f>-PV(B1209/100,$B$3,B1208/100,1)</f>
        <v/>
      </c>
      <c r="D1209" s="8">
        <f>B1208/100/12+(C1209-1)</f>
        <v/>
      </c>
      <c r="E1209" s="8">
        <f>E1208*(1+D1209)</f>
        <v/>
      </c>
    </row>
    <row r="1210">
      <c r="A1210" s="8" t="inlineStr">
        <is>
          <t>1971-05-01</t>
        </is>
      </c>
      <c r="B1210" s="6" t="n">
        <v>6.39</v>
      </c>
      <c r="C1210" s="8">
        <f>-PV(B1210/100,$B$3,B1209/100,1)</f>
        <v/>
      </c>
      <c r="D1210" s="8">
        <f>B1209/100/12+(C1210-1)</f>
        <v/>
      </c>
      <c r="E1210" s="8">
        <f>E1209*(1+D1210)</f>
        <v/>
      </c>
    </row>
    <row r="1211">
      <c r="A1211" s="8" t="inlineStr">
        <is>
          <t>1971-06-01</t>
        </is>
      </c>
      <c r="B1211" s="6" t="n">
        <v>6.52</v>
      </c>
      <c r="C1211" s="8">
        <f>-PV(B1211/100,$B$3,B1210/100,1)</f>
        <v/>
      </c>
      <c r="D1211" s="8">
        <f>B1210/100/12+(C1211-1)</f>
        <v/>
      </c>
      <c r="E1211" s="8">
        <f>E1210*(1+D1211)</f>
        <v/>
      </c>
    </row>
    <row r="1212">
      <c r="A1212" s="8" t="inlineStr">
        <is>
          <t>1971-07-01</t>
        </is>
      </c>
      <c r="B1212" s="6" t="n">
        <v>6.73</v>
      </c>
      <c r="C1212" s="8">
        <f>-PV(B1212/100,$B$3,B1211/100,1)</f>
        <v/>
      </c>
      <c r="D1212" s="8">
        <f>B1211/100/12+(C1212-1)</f>
        <v/>
      </c>
      <c r="E1212" s="8">
        <f>E1211*(1+D1212)</f>
        <v/>
      </c>
    </row>
    <row r="1213">
      <c r="A1213" s="8" t="inlineStr">
        <is>
          <t>1971-08-01</t>
        </is>
      </c>
      <c r="B1213" s="6" t="n">
        <v>6.58</v>
      </c>
      <c r="C1213" s="8">
        <f>-PV(B1213/100,$B$3,B1212/100,1)</f>
        <v/>
      </c>
      <c r="D1213" s="8">
        <f>B1212/100/12+(C1213-1)</f>
        <v/>
      </c>
      <c r="E1213" s="8">
        <f>E1212*(1+D1213)</f>
        <v/>
      </c>
    </row>
    <row r="1214">
      <c r="A1214" s="8" t="inlineStr">
        <is>
          <t>1971-09-01</t>
        </is>
      </c>
      <c r="B1214" s="6" t="n">
        <v>6.14</v>
      </c>
      <c r="C1214" s="8">
        <f>-PV(B1214/100,$B$3,B1213/100,1)</f>
        <v/>
      </c>
      <c r="D1214" s="8">
        <f>B1213/100/12+(C1214-1)</f>
        <v/>
      </c>
      <c r="E1214" s="8">
        <f>E1213*(1+D1214)</f>
        <v/>
      </c>
    </row>
    <row r="1215">
      <c r="A1215" s="8" t="inlineStr">
        <is>
          <t>1971-10-01</t>
        </is>
      </c>
      <c r="B1215" s="6" t="n">
        <v>5.93</v>
      </c>
      <c r="C1215" s="8">
        <f>-PV(B1215/100,$B$3,B1214/100,1)</f>
        <v/>
      </c>
      <c r="D1215" s="8">
        <f>B1214/100/12+(C1215-1)</f>
        <v/>
      </c>
      <c r="E1215" s="8">
        <f>E1214*(1+D1215)</f>
        <v/>
      </c>
    </row>
    <row r="1216">
      <c r="A1216" s="8" t="inlineStr">
        <is>
          <t>1971-11-01</t>
        </is>
      </c>
      <c r="B1216" s="6" t="n">
        <v>5.81</v>
      </c>
      <c r="C1216" s="8">
        <f>-PV(B1216/100,$B$3,B1215/100,1)</f>
        <v/>
      </c>
      <c r="D1216" s="8">
        <f>B1215/100/12+(C1216-1)</f>
        <v/>
      </c>
      <c r="E1216" s="8">
        <f>E1215*(1+D1216)</f>
        <v/>
      </c>
    </row>
    <row r="1217">
      <c r="A1217" s="8" t="inlineStr">
        <is>
          <t>1971-12-01</t>
        </is>
      </c>
      <c r="B1217" s="6" t="n">
        <v>5.93</v>
      </c>
      <c r="C1217" s="8">
        <f>-PV(B1217/100,$B$3,B1216/100,1)</f>
        <v/>
      </c>
      <c r="D1217" s="8">
        <f>B1216/100/12+(C1217-1)</f>
        <v/>
      </c>
      <c r="E1217" s="8">
        <f>E1216*(1+D1217)</f>
        <v/>
      </c>
    </row>
    <row r="1218">
      <c r="A1218" s="8" t="inlineStr">
        <is>
          <t>1972-01-01</t>
        </is>
      </c>
      <c r="B1218" s="6" t="n">
        <v>5.95</v>
      </c>
      <c r="C1218" s="8">
        <f>-PV(B1218/100,$B$3,B1217/100,1)</f>
        <v/>
      </c>
      <c r="D1218" s="8">
        <f>B1217/100/12+(C1218-1)</f>
        <v/>
      </c>
      <c r="E1218" s="8">
        <f>E1217*(1+D1218)</f>
        <v/>
      </c>
    </row>
    <row r="1219">
      <c r="A1219" s="8" t="inlineStr">
        <is>
          <t>1972-02-01</t>
        </is>
      </c>
      <c r="B1219" s="6" t="n">
        <v>6.08</v>
      </c>
      <c r="C1219" s="8">
        <f>-PV(B1219/100,$B$3,B1218/100,1)</f>
        <v/>
      </c>
      <c r="D1219" s="8">
        <f>B1218/100/12+(C1219-1)</f>
        <v/>
      </c>
      <c r="E1219" s="8">
        <f>E1218*(1+D1219)</f>
        <v/>
      </c>
    </row>
    <row r="1220">
      <c r="A1220" s="8" t="inlineStr">
        <is>
          <t>1972-03-01</t>
        </is>
      </c>
      <c r="B1220" s="6" t="n">
        <v>6.07</v>
      </c>
      <c r="C1220" s="8">
        <f>-PV(B1220/100,$B$3,B1219/100,1)</f>
        <v/>
      </c>
      <c r="D1220" s="8">
        <f>B1219/100/12+(C1220-1)</f>
        <v/>
      </c>
      <c r="E1220" s="8">
        <f>E1219*(1+D1220)</f>
        <v/>
      </c>
    </row>
    <row r="1221">
      <c r="A1221" s="8" t="inlineStr">
        <is>
          <t>1972-04-01</t>
        </is>
      </c>
      <c r="B1221" s="6" t="n">
        <v>6.19</v>
      </c>
      <c r="C1221" s="8">
        <f>-PV(B1221/100,$B$3,B1220/100,1)</f>
        <v/>
      </c>
      <c r="D1221" s="8">
        <f>B1220/100/12+(C1221-1)</f>
        <v/>
      </c>
      <c r="E1221" s="8">
        <f>E1220*(1+D1221)</f>
        <v/>
      </c>
    </row>
    <row r="1222">
      <c r="A1222" s="8" t="inlineStr">
        <is>
          <t>1972-05-01</t>
        </is>
      </c>
      <c r="B1222" s="6" t="n">
        <v>6.13</v>
      </c>
      <c r="C1222" s="8">
        <f>-PV(B1222/100,$B$3,B1221/100,1)</f>
        <v/>
      </c>
      <c r="D1222" s="8">
        <f>B1221/100/12+(C1222-1)</f>
        <v/>
      </c>
      <c r="E1222" s="8">
        <f>E1221*(1+D1222)</f>
        <v/>
      </c>
    </row>
    <row r="1223">
      <c r="A1223" s="8" t="inlineStr">
        <is>
          <t>1972-06-01</t>
        </is>
      </c>
      <c r="B1223" s="6" t="n">
        <v>6.11</v>
      </c>
      <c r="C1223" s="8">
        <f>-PV(B1223/100,$B$3,B1222/100,1)</f>
        <v/>
      </c>
      <c r="D1223" s="8">
        <f>B1222/100/12+(C1223-1)</f>
        <v/>
      </c>
      <c r="E1223" s="8">
        <f>E1222*(1+D1223)</f>
        <v/>
      </c>
    </row>
    <row r="1224">
      <c r="A1224" s="8" t="inlineStr">
        <is>
          <t>1972-07-01</t>
        </is>
      </c>
      <c r="B1224" s="6" t="n">
        <v>6.11</v>
      </c>
      <c r="C1224" s="8">
        <f>-PV(B1224/100,$B$3,B1223/100,1)</f>
        <v/>
      </c>
      <c r="D1224" s="8">
        <f>B1223/100/12+(C1224-1)</f>
        <v/>
      </c>
      <c r="E1224" s="8">
        <f>E1223*(1+D1224)</f>
        <v/>
      </c>
    </row>
    <row r="1225">
      <c r="A1225" s="8" t="inlineStr">
        <is>
          <t>1972-08-01</t>
        </is>
      </c>
      <c r="B1225" s="6" t="n">
        <v>6.21</v>
      </c>
      <c r="C1225" s="8">
        <f>-PV(B1225/100,$B$3,B1224/100,1)</f>
        <v/>
      </c>
      <c r="D1225" s="8">
        <f>B1224/100/12+(C1225-1)</f>
        <v/>
      </c>
      <c r="E1225" s="8">
        <f>E1224*(1+D1225)</f>
        <v/>
      </c>
    </row>
    <row r="1226">
      <c r="A1226" s="8" t="inlineStr">
        <is>
          <t>1972-09-01</t>
        </is>
      </c>
      <c r="B1226" s="6" t="n">
        <v>6.55</v>
      </c>
      <c r="C1226" s="8">
        <f>-PV(B1226/100,$B$3,B1225/100,1)</f>
        <v/>
      </c>
      <c r="D1226" s="8">
        <f>B1225/100/12+(C1226-1)</f>
        <v/>
      </c>
      <c r="E1226" s="8">
        <f>E1225*(1+D1226)</f>
        <v/>
      </c>
    </row>
    <row r="1227">
      <c r="A1227" s="8" t="inlineStr">
        <is>
          <t>1972-10-01</t>
        </is>
      </c>
      <c r="B1227" s="6" t="n">
        <v>6.48</v>
      </c>
      <c r="C1227" s="8">
        <f>-PV(B1227/100,$B$3,B1226/100,1)</f>
        <v/>
      </c>
      <c r="D1227" s="8">
        <f>B1226/100/12+(C1227-1)</f>
        <v/>
      </c>
      <c r="E1227" s="8">
        <f>E1226*(1+D1227)</f>
        <v/>
      </c>
    </row>
    <row r="1228">
      <c r="A1228" s="8" t="inlineStr">
        <is>
          <t>1972-11-01</t>
        </is>
      </c>
      <c r="B1228" s="6" t="n">
        <v>6.28</v>
      </c>
      <c r="C1228" s="8">
        <f>-PV(B1228/100,$B$3,B1227/100,1)</f>
        <v/>
      </c>
      <c r="D1228" s="8">
        <f>B1227/100/12+(C1228-1)</f>
        <v/>
      </c>
      <c r="E1228" s="8">
        <f>E1227*(1+D1228)</f>
        <v/>
      </c>
    </row>
    <row r="1229">
      <c r="A1229" s="8" t="inlineStr">
        <is>
          <t>1972-12-01</t>
        </is>
      </c>
      <c r="B1229" s="6" t="n">
        <v>6.36</v>
      </c>
      <c r="C1229" s="8">
        <f>-PV(B1229/100,$B$3,B1228/100,1)</f>
        <v/>
      </c>
      <c r="D1229" s="8">
        <f>B1228/100/12+(C1229-1)</f>
        <v/>
      </c>
      <c r="E1229" s="8">
        <f>E1228*(1+D1229)</f>
        <v/>
      </c>
    </row>
    <row r="1230">
      <c r="A1230" s="8" t="inlineStr">
        <is>
          <t>1973-01-01</t>
        </is>
      </c>
      <c r="B1230" s="6" t="n">
        <v>6.46</v>
      </c>
      <c r="C1230" s="8">
        <f>-PV(B1230/100,$B$3,B1229/100,1)</f>
        <v/>
      </c>
      <c r="D1230" s="8">
        <f>B1229/100/12+(C1230-1)</f>
        <v/>
      </c>
      <c r="E1230" s="8">
        <f>E1229*(1+D1230)</f>
        <v/>
      </c>
    </row>
    <row r="1231">
      <c r="A1231" s="8" t="inlineStr">
        <is>
          <t>1973-02-01</t>
        </is>
      </c>
      <c r="B1231" s="6" t="n">
        <v>6.64</v>
      </c>
      <c r="C1231" s="8">
        <f>-PV(B1231/100,$B$3,B1230/100,1)</f>
        <v/>
      </c>
      <c r="D1231" s="8">
        <f>B1230/100/12+(C1231-1)</f>
        <v/>
      </c>
      <c r="E1231" s="8">
        <f>E1230*(1+D1231)</f>
        <v/>
      </c>
    </row>
    <row r="1232">
      <c r="A1232" s="8" t="inlineStr">
        <is>
          <t>1973-03-01</t>
        </is>
      </c>
      <c r="B1232" s="6" t="n">
        <v>6.71</v>
      </c>
      <c r="C1232" s="8">
        <f>-PV(B1232/100,$B$3,B1231/100,1)</f>
        <v/>
      </c>
      <c r="D1232" s="8">
        <f>B1231/100/12+(C1232-1)</f>
        <v/>
      </c>
      <c r="E1232" s="8">
        <f>E1231*(1+D1232)</f>
        <v/>
      </c>
    </row>
    <row r="1233">
      <c r="A1233" s="8" t="inlineStr">
        <is>
          <t>1973-04-01</t>
        </is>
      </c>
      <c r="B1233" s="6" t="n">
        <v>6.67</v>
      </c>
      <c r="C1233" s="8">
        <f>-PV(B1233/100,$B$3,B1232/100,1)</f>
        <v/>
      </c>
      <c r="D1233" s="8">
        <f>B1232/100/12+(C1233-1)</f>
        <v/>
      </c>
      <c r="E1233" s="8">
        <f>E1232*(1+D1233)</f>
        <v/>
      </c>
    </row>
    <row r="1234">
      <c r="A1234" s="8" t="inlineStr">
        <is>
          <t>1973-05-01</t>
        </is>
      </c>
      <c r="B1234" s="6" t="n">
        <v>6.85</v>
      </c>
      <c r="C1234" s="8">
        <f>-PV(B1234/100,$B$3,B1233/100,1)</f>
        <v/>
      </c>
      <c r="D1234" s="8">
        <f>B1233/100/12+(C1234-1)</f>
        <v/>
      </c>
      <c r="E1234" s="8">
        <f>E1233*(1+D1234)</f>
        <v/>
      </c>
    </row>
    <row r="1235">
      <c r="A1235" s="8" t="inlineStr">
        <is>
          <t>1973-06-01</t>
        </is>
      </c>
      <c r="B1235" s="6" t="n">
        <v>6.9</v>
      </c>
      <c r="C1235" s="8">
        <f>-PV(B1235/100,$B$3,B1234/100,1)</f>
        <v/>
      </c>
      <c r="D1235" s="8">
        <f>B1234/100/12+(C1235-1)</f>
        <v/>
      </c>
      <c r="E1235" s="8">
        <f>E1234*(1+D1235)</f>
        <v/>
      </c>
    </row>
    <row r="1236">
      <c r="A1236" s="8" t="inlineStr">
        <is>
          <t>1973-07-01</t>
        </is>
      </c>
      <c r="B1236" s="6" t="n">
        <v>7.13</v>
      </c>
      <c r="C1236" s="8">
        <f>-PV(B1236/100,$B$3,B1235/100,1)</f>
        <v/>
      </c>
      <c r="D1236" s="8">
        <f>B1235/100/12+(C1236-1)</f>
        <v/>
      </c>
      <c r="E1236" s="8">
        <f>E1235*(1+D1236)</f>
        <v/>
      </c>
    </row>
    <row r="1237">
      <c r="A1237" s="8" t="inlineStr">
        <is>
          <t>1973-08-01</t>
        </is>
      </c>
      <c r="B1237" s="6" t="n">
        <v>7.4</v>
      </c>
      <c r="C1237" s="8">
        <f>-PV(B1237/100,$B$3,B1236/100,1)</f>
        <v/>
      </c>
      <c r="D1237" s="8">
        <f>B1236/100/12+(C1237-1)</f>
        <v/>
      </c>
      <c r="E1237" s="8">
        <f>E1236*(1+D1237)</f>
        <v/>
      </c>
    </row>
    <row r="1238">
      <c r="A1238" s="8" t="inlineStr">
        <is>
          <t>1973-09-01</t>
        </is>
      </c>
      <c r="B1238" s="6" t="n">
        <v>7.09</v>
      </c>
      <c r="C1238" s="8">
        <f>-PV(B1238/100,$B$3,B1237/100,1)</f>
        <v/>
      </c>
      <c r="D1238" s="8">
        <f>B1237/100/12+(C1238-1)</f>
        <v/>
      </c>
      <c r="E1238" s="8">
        <f>E1237*(1+D1238)</f>
        <v/>
      </c>
    </row>
    <row r="1239">
      <c r="A1239" s="8" t="inlineStr">
        <is>
          <t>1973-10-01</t>
        </is>
      </c>
      <c r="B1239" s="6" t="n">
        <v>6.79</v>
      </c>
      <c r="C1239" s="8">
        <f>-PV(B1239/100,$B$3,B1238/100,1)</f>
        <v/>
      </c>
      <c r="D1239" s="8">
        <f>B1238/100/12+(C1239-1)</f>
        <v/>
      </c>
      <c r="E1239" s="8">
        <f>E1238*(1+D1239)</f>
        <v/>
      </c>
    </row>
    <row r="1240">
      <c r="A1240" s="8" t="inlineStr">
        <is>
          <t>1973-11-01</t>
        </is>
      </c>
      <c r="B1240" s="6" t="n">
        <v>6.73</v>
      </c>
      <c r="C1240" s="8">
        <f>-PV(B1240/100,$B$3,B1239/100,1)</f>
        <v/>
      </c>
      <c r="D1240" s="8">
        <f>B1239/100/12+(C1240-1)</f>
        <v/>
      </c>
      <c r="E1240" s="8">
        <f>E1239*(1+D1240)</f>
        <v/>
      </c>
    </row>
    <row r="1241">
      <c r="A1241" s="8" t="inlineStr">
        <is>
          <t>1973-12-01</t>
        </is>
      </c>
      <c r="B1241" s="6" t="n">
        <v>6.74</v>
      </c>
      <c r="C1241" s="8">
        <f>-PV(B1241/100,$B$3,B1240/100,1)</f>
        <v/>
      </c>
      <c r="D1241" s="8">
        <f>B1240/100/12+(C1241-1)</f>
        <v/>
      </c>
      <c r="E1241" s="8">
        <f>E1240*(1+D1241)</f>
        <v/>
      </c>
    </row>
    <row r="1242">
      <c r="A1242" s="8" t="inlineStr">
        <is>
          <t>1974-01-01</t>
        </is>
      </c>
      <c r="B1242" s="6" t="n">
        <v>6.99</v>
      </c>
      <c r="C1242" s="8">
        <f>-PV(B1242/100,$B$3,B1241/100,1)</f>
        <v/>
      </c>
      <c r="D1242" s="8">
        <f>B1241/100/12+(C1242-1)</f>
        <v/>
      </c>
      <c r="E1242" s="8">
        <f>E1241*(1+D1242)</f>
        <v/>
      </c>
    </row>
    <row r="1243">
      <c r="A1243" s="8" t="inlineStr">
        <is>
          <t>1974-02-01</t>
        </is>
      </c>
      <c r="B1243" s="6" t="n">
        <v>6.96</v>
      </c>
      <c r="C1243" s="8">
        <f>-PV(B1243/100,$B$3,B1242/100,1)</f>
        <v/>
      </c>
      <c r="D1243" s="8">
        <f>B1242/100/12+(C1243-1)</f>
        <v/>
      </c>
      <c r="E1243" s="8">
        <f>E1242*(1+D1243)</f>
        <v/>
      </c>
    </row>
    <row r="1244">
      <c r="A1244" s="8" t="inlineStr">
        <is>
          <t>1974-03-01</t>
        </is>
      </c>
      <c r="B1244" s="6" t="n">
        <v>7.21</v>
      </c>
      <c r="C1244" s="8">
        <f>-PV(B1244/100,$B$3,B1243/100,1)</f>
        <v/>
      </c>
      <c r="D1244" s="8">
        <f>B1243/100/12+(C1244-1)</f>
        <v/>
      </c>
      <c r="E1244" s="8">
        <f>E1243*(1+D1244)</f>
        <v/>
      </c>
    </row>
    <row r="1245">
      <c r="A1245" s="8" t="inlineStr">
        <is>
          <t>1974-04-01</t>
        </is>
      </c>
      <c r="B1245" s="6" t="n">
        <v>7.51</v>
      </c>
      <c r="C1245" s="8">
        <f>-PV(B1245/100,$B$3,B1244/100,1)</f>
        <v/>
      </c>
      <c r="D1245" s="8">
        <f>B1244/100/12+(C1245-1)</f>
        <v/>
      </c>
      <c r="E1245" s="8">
        <f>E1244*(1+D1245)</f>
        <v/>
      </c>
    </row>
    <row r="1246">
      <c r="A1246" s="8" t="inlineStr">
        <is>
          <t>1974-05-01</t>
        </is>
      </c>
      <c r="B1246" s="6" t="n">
        <v>7.58</v>
      </c>
      <c r="C1246" s="8">
        <f>-PV(B1246/100,$B$3,B1245/100,1)</f>
        <v/>
      </c>
      <c r="D1246" s="8">
        <f>B1245/100/12+(C1246-1)</f>
        <v/>
      </c>
      <c r="E1246" s="8">
        <f>E1245*(1+D1246)</f>
        <v/>
      </c>
    </row>
    <row r="1247">
      <c r="A1247" s="8" t="inlineStr">
        <is>
          <t>1974-06-01</t>
        </is>
      </c>
      <c r="B1247" s="6" t="n">
        <v>7.54</v>
      </c>
      <c r="C1247" s="8">
        <f>-PV(B1247/100,$B$3,B1246/100,1)</f>
        <v/>
      </c>
      <c r="D1247" s="8">
        <f>B1246/100/12+(C1247-1)</f>
        <v/>
      </c>
      <c r="E1247" s="8">
        <f>E1246*(1+D1247)</f>
        <v/>
      </c>
    </row>
    <row r="1248">
      <c r="A1248" s="8" t="inlineStr">
        <is>
          <t>1974-07-01</t>
        </is>
      </c>
      <c r="B1248" s="6" t="n">
        <v>7.81</v>
      </c>
      <c r="C1248" s="8">
        <f>-PV(B1248/100,$B$3,B1247/100,1)</f>
        <v/>
      </c>
      <c r="D1248" s="8">
        <f>B1247/100/12+(C1248-1)</f>
        <v/>
      </c>
      <c r="E1248" s="8">
        <f>E1247*(1+D1248)</f>
        <v/>
      </c>
    </row>
    <row r="1249">
      <c r="A1249" s="8" t="inlineStr">
        <is>
          <t>1974-08-01</t>
        </is>
      </c>
      <c r="B1249" s="6" t="n">
        <v>8.039999999999999</v>
      </c>
      <c r="C1249" s="8">
        <f>-PV(B1249/100,$B$3,B1248/100,1)</f>
        <v/>
      </c>
      <c r="D1249" s="8">
        <f>B1248/100/12+(C1249-1)</f>
        <v/>
      </c>
      <c r="E1249" s="8">
        <f>E1248*(1+D1249)</f>
        <v/>
      </c>
    </row>
    <row r="1250">
      <c r="A1250" s="8" t="inlineStr">
        <is>
          <t>1974-09-01</t>
        </is>
      </c>
      <c r="B1250" s="6" t="n">
        <v>8.039999999999999</v>
      </c>
      <c r="C1250" s="8">
        <f>-PV(B1250/100,$B$3,B1249/100,1)</f>
        <v/>
      </c>
      <c r="D1250" s="8">
        <f>B1249/100/12+(C1250-1)</f>
        <v/>
      </c>
      <c r="E1250" s="8">
        <f>E1249*(1+D1250)</f>
        <v/>
      </c>
    </row>
    <row r="1251">
      <c r="A1251" s="8" t="inlineStr">
        <is>
          <t>1974-10-01</t>
        </is>
      </c>
      <c r="B1251" s="6" t="n">
        <v>7.9</v>
      </c>
      <c r="C1251" s="8">
        <f>-PV(B1251/100,$B$3,B1250/100,1)</f>
        <v/>
      </c>
      <c r="D1251" s="8">
        <f>B1250/100/12+(C1251-1)</f>
        <v/>
      </c>
      <c r="E1251" s="8">
        <f>E1250*(1+D1251)</f>
        <v/>
      </c>
    </row>
    <row r="1252">
      <c r="A1252" s="8" t="inlineStr">
        <is>
          <t>1974-11-01</t>
        </is>
      </c>
      <c r="B1252" s="6" t="n">
        <v>7.68</v>
      </c>
      <c r="C1252" s="8">
        <f>-PV(B1252/100,$B$3,B1251/100,1)</f>
        <v/>
      </c>
      <c r="D1252" s="8">
        <f>B1251/100/12+(C1252-1)</f>
        <v/>
      </c>
      <c r="E1252" s="8">
        <f>E1251*(1+D1252)</f>
        <v/>
      </c>
    </row>
    <row r="1253">
      <c r="A1253" s="8" t="inlineStr">
        <is>
          <t>1974-12-01</t>
        </is>
      </c>
      <c r="B1253" s="6" t="n">
        <v>7.43</v>
      </c>
      <c r="C1253" s="8">
        <f>-PV(B1253/100,$B$3,B1252/100,1)</f>
        <v/>
      </c>
      <c r="D1253" s="8">
        <f>B1252/100/12+(C1253-1)</f>
        <v/>
      </c>
      <c r="E1253" s="8">
        <f>E1252*(1+D1253)</f>
        <v/>
      </c>
    </row>
    <row r="1254">
      <c r="A1254" s="8" t="inlineStr">
        <is>
          <t>1975-01-01</t>
        </is>
      </c>
      <c r="B1254" s="6" t="n">
        <v>7.5</v>
      </c>
      <c r="C1254" s="8">
        <f>-PV(B1254/100,$B$3,B1253/100,1)</f>
        <v/>
      </c>
      <c r="D1254" s="8">
        <f>B1253/100/12+(C1254-1)</f>
        <v/>
      </c>
      <c r="E1254" s="8">
        <f>E1253*(1+D1254)</f>
        <v/>
      </c>
    </row>
    <row r="1255">
      <c r="A1255" s="8" t="inlineStr">
        <is>
          <t>1975-02-01</t>
        </is>
      </c>
      <c r="B1255" s="6" t="n">
        <v>7.39</v>
      </c>
      <c r="C1255" s="8">
        <f>-PV(B1255/100,$B$3,B1254/100,1)</f>
        <v/>
      </c>
      <c r="D1255" s="8">
        <f>B1254/100/12+(C1255-1)</f>
        <v/>
      </c>
      <c r="E1255" s="8">
        <f>E1254*(1+D1255)</f>
        <v/>
      </c>
    </row>
    <row r="1256">
      <c r="A1256" s="8" t="inlineStr">
        <is>
          <t>1975-03-01</t>
        </is>
      </c>
      <c r="B1256" s="6" t="n">
        <v>7.73</v>
      </c>
      <c r="C1256" s="8">
        <f>-PV(B1256/100,$B$3,B1255/100,1)</f>
        <v/>
      </c>
      <c r="D1256" s="8">
        <f>B1255/100/12+(C1256-1)</f>
        <v/>
      </c>
      <c r="E1256" s="8">
        <f>E1255*(1+D1256)</f>
        <v/>
      </c>
    </row>
    <row r="1257">
      <c r="A1257" s="8" t="inlineStr">
        <is>
          <t>1975-04-01</t>
        </is>
      </c>
      <c r="B1257" s="6" t="n">
        <v>8.23</v>
      </c>
      <c r="C1257" s="8">
        <f>-PV(B1257/100,$B$3,B1256/100,1)</f>
        <v/>
      </c>
      <c r="D1257" s="8">
        <f>B1256/100/12+(C1257-1)</f>
        <v/>
      </c>
      <c r="E1257" s="8">
        <f>E1256*(1+D1257)</f>
        <v/>
      </c>
    </row>
    <row r="1258">
      <c r="A1258" s="8" t="inlineStr">
        <is>
          <t>1975-05-01</t>
        </is>
      </c>
      <c r="B1258" s="6" t="n">
        <v>8.06</v>
      </c>
      <c r="C1258" s="8">
        <f>-PV(B1258/100,$B$3,B1257/100,1)</f>
        <v/>
      </c>
      <c r="D1258" s="8">
        <f>B1257/100/12+(C1258-1)</f>
        <v/>
      </c>
      <c r="E1258" s="8">
        <f>E1257*(1+D1258)</f>
        <v/>
      </c>
    </row>
    <row r="1259">
      <c r="A1259" s="8" t="inlineStr">
        <is>
          <t>1975-06-01</t>
        </is>
      </c>
      <c r="B1259" s="6" t="n">
        <v>7.86</v>
      </c>
      <c r="C1259" s="8">
        <f>-PV(B1259/100,$B$3,B1258/100,1)</f>
        <v/>
      </c>
      <c r="D1259" s="8">
        <f>B1258/100/12+(C1259-1)</f>
        <v/>
      </c>
      <c r="E1259" s="8">
        <f>E1258*(1+D1259)</f>
        <v/>
      </c>
    </row>
    <row r="1260">
      <c r="A1260" s="8" t="inlineStr">
        <is>
          <t>1975-07-01</t>
        </is>
      </c>
      <c r="B1260" s="6" t="n">
        <v>8.06</v>
      </c>
      <c r="C1260" s="8">
        <f>-PV(B1260/100,$B$3,B1259/100,1)</f>
        <v/>
      </c>
      <c r="D1260" s="8">
        <f>B1259/100/12+(C1260-1)</f>
        <v/>
      </c>
      <c r="E1260" s="8">
        <f>E1259*(1+D1260)</f>
        <v/>
      </c>
    </row>
    <row r="1261">
      <c r="A1261" s="8" t="inlineStr">
        <is>
          <t>1975-08-01</t>
        </is>
      </c>
      <c r="B1261" s="6" t="n">
        <v>8.4</v>
      </c>
      <c r="C1261" s="8">
        <f>-PV(B1261/100,$B$3,B1260/100,1)</f>
        <v/>
      </c>
      <c r="D1261" s="8">
        <f>B1260/100/12+(C1261-1)</f>
        <v/>
      </c>
      <c r="E1261" s="8">
        <f>E1260*(1+D1261)</f>
        <v/>
      </c>
    </row>
    <row r="1262">
      <c r="A1262" s="8" t="inlineStr">
        <is>
          <t>1975-09-01</t>
        </is>
      </c>
      <c r="B1262" s="6" t="n">
        <v>8.43</v>
      </c>
      <c r="C1262" s="8">
        <f>-PV(B1262/100,$B$3,B1261/100,1)</f>
        <v/>
      </c>
      <c r="D1262" s="8">
        <f>B1261/100/12+(C1262-1)</f>
        <v/>
      </c>
      <c r="E1262" s="8">
        <f>E1261*(1+D1262)</f>
        <v/>
      </c>
    </row>
    <row r="1263">
      <c r="A1263" s="8" t="inlineStr">
        <is>
          <t>1975-10-01</t>
        </is>
      </c>
      <c r="B1263" s="6" t="n">
        <v>8.140000000000001</v>
      </c>
      <c r="C1263" s="8">
        <f>-PV(B1263/100,$B$3,B1262/100,1)</f>
        <v/>
      </c>
      <c r="D1263" s="8">
        <f>B1262/100/12+(C1263-1)</f>
        <v/>
      </c>
      <c r="E1263" s="8">
        <f>E1262*(1+D1263)</f>
        <v/>
      </c>
    </row>
    <row r="1264">
      <c r="A1264" s="8" t="inlineStr">
        <is>
          <t>1975-11-01</t>
        </is>
      </c>
      <c r="B1264" s="6" t="n">
        <v>8.050000000000001</v>
      </c>
      <c r="C1264" s="8">
        <f>-PV(B1264/100,$B$3,B1263/100,1)</f>
        <v/>
      </c>
      <c r="D1264" s="8">
        <f>B1263/100/12+(C1264-1)</f>
        <v/>
      </c>
      <c r="E1264" s="8">
        <f>E1263*(1+D1264)</f>
        <v/>
      </c>
    </row>
    <row r="1265">
      <c r="A1265" s="8" t="inlineStr">
        <is>
          <t>1975-12-01</t>
        </is>
      </c>
      <c r="B1265" s="6" t="n">
        <v>8</v>
      </c>
      <c r="C1265" s="8">
        <f>-PV(B1265/100,$B$3,B1264/100,1)</f>
        <v/>
      </c>
      <c r="D1265" s="8">
        <f>B1264/100/12+(C1265-1)</f>
        <v/>
      </c>
      <c r="E1265" s="8">
        <f>E1264*(1+D1265)</f>
        <v/>
      </c>
    </row>
    <row r="1266">
      <c r="A1266" s="8" t="inlineStr">
        <is>
          <t>1976-01-01</t>
        </is>
      </c>
      <c r="B1266" s="6" t="n">
        <v>7.74</v>
      </c>
      <c r="C1266" s="8">
        <f>-PV(B1266/100,$B$3,B1265/100,1)</f>
        <v/>
      </c>
      <c r="D1266" s="8">
        <f>B1265/100/12+(C1266-1)</f>
        <v/>
      </c>
      <c r="E1266" s="8">
        <f>E1265*(1+D1266)</f>
        <v/>
      </c>
    </row>
    <row r="1267">
      <c r="A1267" s="8" t="inlineStr">
        <is>
          <t>1976-02-01</t>
        </is>
      </c>
      <c r="B1267" s="6" t="n">
        <v>7.79</v>
      </c>
      <c r="C1267" s="8">
        <f>-PV(B1267/100,$B$3,B1266/100,1)</f>
        <v/>
      </c>
      <c r="D1267" s="8">
        <f>B1266/100/12+(C1267-1)</f>
        <v/>
      </c>
      <c r="E1267" s="8">
        <f>E1266*(1+D1267)</f>
        <v/>
      </c>
    </row>
    <row r="1268">
      <c r="A1268" s="8" t="inlineStr">
        <is>
          <t>1976-03-01</t>
        </is>
      </c>
      <c r="B1268" s="6" t="n">
        <v>7.73</v>
      </c>
      <c r="C1268" s="8">
        <f>-PV(B1268/100,$B$3,B1267/100,1)</f>
        <v/>
      </c>
      <c r="D1268" s="8">
        <f>B1267/100/12+(C1268-1)</f>
        <v/>
      </c>
      <c r="E1268" s="8">
        <f>E1267*(1+D1268)</f>
        <v/>
      </c>
    </row>
    <row r="1269">
      <c r="A1269" s="8" t="inlineStr">
        <is>
          <t>1976-04-01</t>
        </is>
      </c>
      <c r="B1269" s="6" t="n">
        <v>7.56</v>
      </c>
      <c r="C1269" s="8">
        <f>-PV(B1269/100,$B$3,B1268/100,1)</f>
        <v/>
      </c>
      <c r="D1269" s="8">
        <f>B1268/100/12+(C1269-1)</f>
        <v/>
      </c>
      <c r="E1269" s="8">
        <f>E1268*(1+D1269)</f>
        <v/>
      </c>
    </row>
    <row r="1270">
      <c r="A1270" s="8" t="inlineStr">
        <is>
          <t>1976-05-01</t>
        </is>
      </c>
      <c r="B1270" s="6" t="n">
        <v>7.9</v>
      </c>
      <c r="C1270" s="8">
        <f>-PV(B1270/100,$B$3,B1269/100,1)</f>
        <v/>
      </c>
      <c r="D1270" s="8">
        <f>B1269/100/12+(C1270-1)</f>
        <v/>
      </c>
      <c r="E1270" s="8">
        <f>E1269*(1+D1270)</f>
        <v/>
      </c>
    </row>
    <row r="1271">
      <c r="A1271" s="8" t="inlineStr">
        <is>
          <t>1976-06-01</t>
        </is>
      </c>
      <c r="B1271" s="6" t="n">
        <v>7.86</v>
      </c>
      <c r="C1271" s="8">
        <f>-PV(B1271/100,$B$3,B1270/100,1)</f>
        <v/>
      </c>
      <c r="D1271" s="8">
        <f>B1270/100/12+(C1271-1)</f>
        <v/>
      </c>
      <c r="E1271" s="8">
        <f>E1270*(1+D1271)</f>
        <v/>
      </c>
    </row>
    <row r="1272">
      <c r="A1272" s="8" t="inlineStr">
        <is>
          <t>1976-07-01</t>
        </is>
      </c>
      <c r="B1272" s="6" t="n">
        <v>7.83</v>
      </c>
      <c r="C1272" s="8">
        <f>-PV(B1272/100,$B$3,B1271/100,1)</f>
        <v/>
      </c>
      <c r="D1272" s="8">
        <f>B1271/100/12+(C1272-1)</f>
        <v/>
      </c>
      <c r="E1272" s="8">
        <f>E1271*(1+D1272)</f>
        <v/>
      </c>
    </row>
    <row r="1273">
      <c r="A1273" s="8" t="inlineStr">
        <is>
          <t>1976-08-01</t>
        </is>
      </c>
      <c r="B1273" s="6" t="n">
        <v>7.77</v>
      </c>
      <c r="C1273" s="8">
        <f>-PV(B1273/100,$B$3,B1272/100,1)</f>
        <v/>
      </c>
      <c r="D1273" s="8">
        <f>B1272/100/12+(C1273-1)</f>
        <v/>
      </c>
      <c r="E1273" s="8">
        <f>E1272*(1+D1273)</f>
        <v/>
      </c>
    </row>
    <row r="1274">
      <c r="A1274" s="8" t="inlineStr">
        <is>
          <t>1976-09-01</t>
        </is>
      </c>
      <c r="B1274" s="6" t="n">
        <v>7.59</v>
      </c>
      <c r="C1274" s="8">
        <f>-PV(B1274/100,$B$3,B1273/100,1)</f>
        <v/>
      </c>
      <c r="D1274" s="8">
        <f>B1273/100/12+(C1274-1)</f>
        <v/>
      </c>
      <c r="E1274" s="8">
        <f>E1273*(1+D1274)</f>
        <v/>
      </c>
    </row>
    <row r="1275">
      <c r="A1275" s="8" t="inlineStr">
        <is>
          <t>1976-10-01</t>
        </is>
      </c>
      <c r="B1275" s="6" t="n">
        <v>7.41</v>
      </c>
      <c r="C1275" s="8">
        <f>-PV(B1275/100,$B$3,B1274/100,1)</f>
        <v/>
      </c>
      <c r="D1275" s="8">
        <f>B1274/100/12+(C1275-1)</f>
        <v/>
      </c>
      <c r="E1275" s="8">
        <f>E1274*(1+D1275)</f>
        <v/>
      </c>
    </row>
    <row r="1276">
      <c r="A1276" s="8" t="inlineStr">
        <is>
          <t>1976-11-01</t>
        </is>
      </c>
      <c r="B1276" s="6" t="n">
        <v>7.29</v>
      </c>
      <c r="C1276" s="8">
        <f>-PV(B1276/100,$B$3,B1275/100,1)</f>
        <v/>
      </c>
      <c r="D1276" s="8">
        <f>B1275/100/12+(C1276-1)</f>
        <v/>
      </c>
      <c r="E1276" s="8">
        <f>E1275*(1+D1276)</f>
        <v/>
      </c>
    </row>
    <row r="1277">
      <c r="A1277" s="8" t="inlineStr">
        <is>
          <t>1976-12-01</t>
        </is>
      </c>
      <c r="B1277" s="6" t="n">
        <v>6.87</v>
      </c>
      <c r="C1277" s="8">
        <f>-PV(B1277/100,$B$3,B1276/100,1)</f>
        <v/>
      </c>
      <c r="D1277" s="8">
        <f>B1276/100/12+(C1277-1)</f>
        <v/>
      </c>
      <c r="E1277" s="8">
        <f>E1276*(1+D1277)</f>
        <v/>
      </c>
    </row>
    <row r="1278">
      <c r="A1278" s="8" t="inlineStr">
        <is>
          <t>1977-01-01</t>
        </is>
      </c>
      <c r="B1278" s="6" t="n">
        <v>7.21</v>
      </c>
      <c r="C1278" s="8">
        <f>-PV(B1278/100,$B$3,B1277/100,1)</f>
        <v/>
      </c>
      <c r="D1278" s="8">
        <f>B1277/100/12+(C1278-1)</f>
        <v/>
      </c>
      <c r="E1278" s="8">
        <f>E1277*(1+D1278)</f>
        <v/>
      </c>
    </row>
    <row r="1279">
      <c r="A1279" s="8" t="inlineStr">
        <is>
          <t>1977-02-01</t>
        </is>
      </c>
      <c r="B1279" s="6" t="n">
        <v>7.39</v>
      </c>
      <c r="C1279" s="8">
        <f>-PV(B1279/100,$B$3,B1278/100,1)</f>
        <v/>
      </c>
      <c r="D1279" s="8">
        <f>B1278/100/12+(C1279-1)</f>
        <v/>
      </c>
      <c r="E1279" s="8">
        <f>E1278*(1+D1279)</f>
        <v/>
      </c>
    </row>
    <row r="1280">
      <c r="A1280" s="8" t="inlineStr">
        <is>
          <t>1977-03-01</t>
        </is>
      </c>
      <c r="B1280" s="6" t="n">
        <v>7.46</v>
      </c>
      <c r="C1280" s="8">
        <f>-PV(B1280/100,$B$3,B1279/100,1)</f>
        <v/>
      </c>
      <c r="D1280" s="8">
        <f>B1279/100/12+(C1280-1)</f>
        <v/>
      </c>
      <c r="E1280" s="8">
        <f>E1279*(1+D1280)</f>
        <v/>
      </c>
    </row>
    <row r="1281">
      <c r="A1281" s="8" t="inlineStr">
        <is>
          <t>1977-04-01</t>
        </is>
      </c>
      <c r="B1281" s="6" t="n">
        <v>7.37</v>
      </c>
      <c r="C1281" s="8">
        <f>-PV(B1281/100,$B$3,B1280/100,1)</f>
        <v/>
      </c>
      <c r="D1281" s="8">
        <f>B1280/100/12+(C1281-1)</f>
        <v/>
      </c>
      <c r="E1281" s="8">
        <f>E1280*(1+D1281)</f>
        <v/>
      </c>
    </row>
    <row r="1282">
      <c r="A1282" s="8" t="inlineStr">
        <is>
          <t>1977-05-01</t>
        </is>
      </c>
      <c r="B1282" s="6" t="n">
        <v>7.46</v>
      </c>
      <c r="C1282" s="8">
        <f>-PV(B1282/100,$B$3,B1281/100,1)</f>
        <v/>
      </c>
      <c r="D1282" s="8">
        <f>B1281/100/12+(C1282-1)</f>
        <v/>
      </c>
      <c r="E1282" s="8">
        <f>E1281*(1+D1282)</f>
        <v/>
      </c>
    </row>
    <row r="1283">
      <c r="A1283" s="8" t="inlineStr">
        <is>
          <t>1977-06-01</t>
        </is>
      </c>
      <c r="B1283" s="6" t="n">
        <v>7.28</v>
      </c>
      <c r="C1283" s="8">
        <f>-PV(B1283/100,$B$3,B1282/100,1)</f>
        <v/>
      </c>
      <c r="D1283" s="8">
        <f>B1282/100/12+(C1283-1)</f>
        <v/>
      </c>
      <c r="E1283" s="8">
        <f>E1282*(1+D1283)</f>
        <v/>
      </c>
    </row>
    <row r="1284">
      <c r="A1284" s="8" t="inlineStr">
        <is>
          <t>1977-07-01</t>
        </is>
      </c>
      <c r="B1284" s="6" t="n">
        <v>7.33</v>
      </c>
      <c r="C1284" s="8">
        <f>-PV(B1284/100,$B$3,B1283/100,1)</f>
        <v/>
      </c>
      <c r="D1284" s="8">
        <f>B1283/100/12+(C1284-1)</f>
        <v/>
      </c>
      <c r="E1284" s="8">
        <f>E1283*(1+D1284)</f>
        <v/>
      </c>
    </row>
    <row r="1285">
      <c r="A1285" s="8" t="inlineStr">
        <is>
          <t>1977-08-01</t>
        </is>
      </c>
      <c r="B1285" s="6" t="n">
        <v>7.4</v>
      </c>
      <c r="C1285" s="8">
        <f>-PV(B1285/100,$B$3,B1284/100,1)</f>
        <v/>
      </c>
      <c r="D1285" s="8">
        <f>B1284/100/12+(C1285-1)</f>
        <v/>
      </c>
      <c r="E1285" s="8">
        <f>E1284*(1+D1285)</f>
        <v/>
      </c>
    </row>
    <row r="1286">
      <c r="A1286" s="8" t="inlineStr">
        <is>
          <t>1977-09-01</t>
        </is>
      </c>
      <c r="B1286" s="6" t="n">
        <v>7.34</v>
      </c>
      <c r="C1286" s="8">
        <f>-PV(B1286/100,$B$3,B1285/100,1)</f>
        <v/>
      </c>
      <c r="D1286" s="8">
        <f>B1285/100/12+(C1286-1)</f>
        <v/>
      </c>
      <c r="E1286" s="8">
        <f>E1285*(1+D1286)</f>
        <v/>
      </c>
    </row>
    <row r="1287">
      <c r="A1287" s="8" t="inlineStr">
        <is>
          <t>1977-10-01</t>
        </is>
      </c>
      <c r="B1287" s="6" t="n">
        <v>7.52</v>
      </c>
      <c r="C1287" s="8">
        <f>-PV(B1287/100,$B$3,B1286/100,1)</f>
        <v/>
      </c>
      <c r="D1287" s="8">
        <f>B1286/100/12+(C1287-1)</f>
        <v/>
      </c>
      <c r="E1287" s="8">
        <f>E1286*(1+D1287)</f>
        <v/>
      </c>
    </row>
    <row r="1288">
      <c r="A1288" s="8" t="inlineStr">
        <is>
          <t>1977-11-01</t>
        </is>
      </c>
      <c r="B1288" s="6" t="n">
        <v>7.58</v>
      </c>
      <c r="C1288" s="8">
        <f>-PV(B1288/100,$B$3,B1287/100,1)</f>
        <v/>
      </c>
      <c r="D1288" s="8">
        <f>B1287/100/12+(C1288-1)</f>
        <v/>
      </c>
      <c r="E1288" s="8">
        <f>E1287*(1+D1288)</f>
        <v/>
      </c>
    </row>
    <row r="1289">
      <c r="A1289" s="8" t="inlineStr">
        <is>
          <t>1977-12-01</t>
        </is>
      </c>
      <c r="B1289" s="6" t="n">
        <v>7.69</v>
      </c>
      <c r="C1289" s="8">
        <f>-PV(B1289/100,$B$3,B1288/100,1)</f>
        <v/>
      </c>
      <c r="D1289" s="8">
        <f>B1288/100/12+(C1289-1)</f>
        <v/>
      </c>
      <c r="E1289" s="8">
        <f>E1288*(1+D1289)</f>
        <v/>
      </c>
    </row>
    <row r="1290">
      <c r="A1290" s="8" t="inlineStr">
        <is>
          <t>1978-01-01</t>
        </is>
      </c>
      <c r="B1290" s="6" t="n">
        <v>7.96</v>
      </c>
      <c r="C1290" s="8">
        <f>-PV(B1290/100,$B$3,B1289/100,1)</f>
        <v/>
      </c>
      <c r="D1290" s="8">
        <f>B1289/100/12+(C1290-1)</f>
        <v/>
      </c>
      <c r="E1290" s="8">
        <f>E1289*(1+D1290)</f>
        <v/>
      </c>
    </row>
    <row r="1291">
      <c r="A1291" s="8" t="inlineStr">
        <is>
          <t>1978-02-01</t>
        </is>
      </c>
      <c r="B1291" s="6" t="n">
        <v>8.029999999999999</v>
      </c>
      <c r="C1291" s="8">
        <f>-PV(B1291/100,$B$3,B1290/100,1)</f>
        <v/>
      </c>
      <c r="D1291" s="8">
        <f>B1290/100/12+(C1291-1)</f>
        <v/>
      </c>
      <c r="E1291" s="8">
        <f>E1290*(1+D1291)</f>
        <v/>
      </c>
    </row>
    <row r="1292">
      <c r="A1292" s="8" t="inlineStr">
        <is>
          <t>1978-03-01</t>
        </is>
      </c>
      <c r="B1292" s="6" t="n">
        <v>8.039999999999999</v>
      </c>
      <c r="C1292" s="8">
        <f>-PV(B1292/100,$B$3,B1291/100,1)</f>
        <v/>
      </c>
      <c r="D1292" s="8">
        <f>B1291/100/12+(C1292-1)</f>
        <v/>
      </c>
      <c r="E1292" s="8">
        <f>E1291*(1+D1292)</f>
        <v/>
      </c>
    </row>
    <row r="1293">
      <c r="A1293" s="8" t="inlineStr">
        <is>
          <t>1978-04-01</t>
        </is>
      </c>
      <c r="B1293" s="6" t="n">
        <v>8.15</v>
      </c>
      <c r="C1293" s="8">
        <f>-PV(B1293/100,$B$3,B1292/100,1)</f>
        <v/>
      </c>
      <c r="D1293" s="8">
        <f>B1292/100/12+(C1293-1)</f>
        <v/>
      </c>
      <c r="E1293" s="8">
        <f>E1292*(1+D1293)</f>
        <v/>
      </c>
    </row>
    <row r="1294">
      <c r="A1294" s="8" t="inlineStr">
        <is>
          <t>1978-05-01</t>
        </is>
      </c>
      <c r="B1294" s="6" t="n">
        <v>8.35</v>
      </c>
      <c r="C1294" s="8">
        <f>-PV(B1294/100,$B$3,B1293/100,1)</f>
        <v/>
      </c>
      <c r="D1294" s="8">
        <f>B1293/100/12+(C1294-1)</f>
        <v/>
      </c>
      <c r="E1294" s="8">
        <f>E1293*(1+D1294)</f>
        <v/>
      </c>
    </row>
    <row r="1295">
      <c r="A1295" s="8" t="inlineStr">
        <is>
          <t>1978-06-01</t>
        </is>
      </c>
      <c r="B1295" s="6" t="n">
        <v>8.460000000000001</v>
      </c>
      <c r="C1295" s="8">
        <f>-PV(B1295/100,$B$3,B1294/100,1)</f>
        <v/>
      </c>
      <c r="D1295" s="8">
        <f>B1294/100/12+(C1295-1)</f>
        <v/>
      </c>
      <c r="E1295" s="8">
        <f>E1294*(1+D1295)</f>
        <v/>
      </c>
    </row>
    <row r="1296">
      <c r="A1296" s="8" t="inlineStr">
        <is>
          <t>1978-07-01</t>
        </is>
      </c>
      <c r="B1296" s="6" t="n">
        <v>8.640000000000001</v>
      </c>
      <c r="C1296" s="8">
        <f>-PV(B1296/100,$B$3,B1295/100,1)</f>
        <v/>
      </c>
      <c r="D1296" s="8">
        <f>B1295/100/12+(C1296-1)</f>
        <v/>
      </c>
      <c r="E1296" s="8">
        <f>E1295*(1+D1296)</f>
        <v/>
      </c>
    </row>
    <row r="1297">
      <c r="A1297" s="8" t="inlineStr">
        <is>
          <t>1978-08-01</t>
        </is>
      </c>
      <c r="B1297" s="6" t="n">
        <v>8.41</v>
      </c>
      <c r="C1297" s="8">
        <f>-PV(B1297/100,$B$3,B1296/100,1)</f>
        <v/>
      </c>
      <c r="D1297" s="8">
        <f>B1296/100/12+(C1297-1)</f>
        <v/>
      </c>
      <c r="E1297" s="8">
        <f>E1296*(1+D1297)</f>
        <v/>
      </c>
    </row>
    <row r="1298">
      <c r="A1298" s="8" t="inlineStr">
        <is>
          <t>1978-09-01</t>
        </is>
      </c>
      <c r="B1298" s="6" t="n">
        <v>8.42</v>
      </c>
      <c r="C1298" s="8">
        <f>-PV(B1298/100,$B$3,B1297/100,1)</f>
        <v/>
      </c>
      <c r="D1298" s="8">
        <f>B1297/100/12+(C1298-1)</f>
        <v/>
      </c>
      <c r="E1298" s="8">
        <f>E1297*(1+D1298)</f>
        <v/>
      </c>
    </row>
    <row r="1299">
      <c r="A1299" s="8" t="inlineStr">
        <is>
          <t>1978-10-01</t>
        </is>
      </c>
      <c r="B1299" s="6" t="n">
        <v>8.640000000000001</v>
      </c>
      <c r="C1299" s="8">
        <f>-PV(B1299/100,$B$3,B1298/100,1)</f>
        <v/>
      </c>
      <c r="D1299" s="8">
        <f>B1298/100/12+(C1299-1)</f>
        <v/>
      </c>
      <c r="E1299" s="8">
        <f>E1298*(1+D1299)</f>
        <v/>
      </c>
    </row>
    <row r="1300">
      <c r="A1300" s="8" t="inlineStr">
        <is>
          <t>1978-11-01</t>
        </is>
      </c>
      <c r="B1300" s="6" t="n">
        <v>8.81</v>
      </c>
      <c r="C1300" s="8">
        <f>-PV(B1300/100,$B$3,B1299/100,1)</f>
        <v/>
      </c>
      <c r="D1300" s="8">
        <f>B1299/100/12+(C1300-1)</f>
        <v/>
      </c>
      <c r="E1300" s="8">
        <f>E1299*(1+D1300)</f>
        <v/>
      </c>
    </row>
    <row r="1301">
      <c r="A1301" s="8" t="inlineStr">
        <is>
          <t>1978-12-01</t>
        </is>
      </c>
      <c r="B1301" s="6" t="n">
        <v>9.01</v>
      </c>
      <c r="C1301" s="8">
        <f>-PV(B1301/100,$B$3,B1300/100,1)</f>
        <v/>
      </c>
      <c r="D1301" s="8">
        <f>B1300/100/12+(C1301-1)</f>
        <v/>
      </c>
      <c r="E1301" s="8">
        <f>E1300*(1+D1301)</f>
        <v/>
      </c>
    </row>
    <row r="1302">
      <c r="A1302" s="8" t="inlineStr">
        <is>
          <t>1979-01-01</t>
        </is>
      </c>
      <c r="B1302" s="6" t="n">
        <v>9.1</v>
      </c>
      <c r="C1302" s="8">
        <f>-PV(B1302/100,$B$3,B1301/100,1)</f>
        <v/>
      </c>
      <c r="D1302" s="8">
        <f>B1301/100/12+(C1302-1)</f>
        <v/>
      </c>
      <c r="E1302" s="8">
        <f>E1301*(1+D1302)</f>
        <v/>
      </c>
    </row>
    <row r="1303">
      <c r="A1303" s="8" t="inlineStr">
        <is>
          <t>1979-02-01</t>
        </is>
      </c>
      <c r="B1303" s="6" t="n">
        <v>9.1</v>
      </c>
      <c r="C1303" s="8">
        <f>-PV(B1303/100,$B$3,B1302/100,1)</f>
        <v/>
      </c>
      <c r="D1303" s="8">
        <f>B1302/100/12+(C1303-1)</f>
        <v/>
      </c>
      <c r="E1303" s="8">
        <f>E1302*(1+D1303)</f>
        <v/>
      </c>
    </row>
    <row r="1304">
      <c r="A1304" s="8" t="inlineStr">
        <is>
          <t>1979-03-01</t>
        </is>
      </c>
      <c r="B1304" s="6" t="n">
        <v>9.119999999999999</v>
      </c>
      <c r="C1304" s="8">
        <f>-PV(B1304/100,$B$3,B1303/100,1)</f>
        <v/>
      </c>
      <c r="D1304" s="8">
        <f>B1303/100/12+(C1304-1)</f>
        <v/>
      </c>
      <c r="E1304" s="8">
        <f>E1303*(1+D1304)</f>
        <v/>
      </c>
    </row>
    <row r="1305">
      <c r="A1305" s="8" t="inlineStr">
        <is>
          <t>1979-04-01</t>
        </is>
      </c>
      <c r="B1305" s="6" t="n">
        <v>9.18</v>
      </c>
      <c r="C1305" s="8">
        <f>-PV(B1305/100,$B$3,B1304/100,1)</f>
        <v/>
      </c>
      <c r="D1305" s="8">
        <f>B1304/100/12+(C1305-1)</f>
        <v/>
      </c>
      <c r="E1305" s="8">
        <f>E1304*(1+D1305)</f>
        <v/>
      </c>
    </row>
    <row r="1306">
      <c r="A1306" s="8" t="inlineStr">
        <is>
          <t>1979-05-01</t>
        </is>
      </c>
      <c r="B1306" s="6" t="n">
        <v>9.25</v>
      </c>
      <c r="C1306" s="8">
        <f>-PV(B1306/100,$B$3,B1305/100,1)</f>
        <v/>
      </c>
      <c r="D1306" s="8">
        <f>B1305/100/12+(C1306-1)</f>
        <v/>
      </c>
      <c r="E1306" s="8">
        <f>E1305*(1+D1306)</f>
        <v/>
      </c>
    </row>
    <row r="1307">
      <c r="A1307" s="8" t="inlineStr">
        <is>
          <t>1979-06-01</t>
        </is>
      </c>
      <c r="B1307" s="6" t="n">
        <v>8.91</v>
      </c>
      <c r="C1307" s="8">
        <f>-PV(B1307/100,$B$3,B1306/100,1)</f>
        <v/>
      </c>
      <c r="D1307" s="8">
        <f>B1306/100/12+(C1307-1)</f>
        <v/>
      </c>
      <c r="E1307" s="8">
        <f>E1306*(1+D1307)</f>
        <v/>
      </c>
    </row>
    <row r="1308">
      <c r="A1308" s="8" t="inlineStr">
        <is>
          <t>1979-07-01</t>
        </is>
      </c>
      <c r="B1308" s="6" t="n">
        <v>8.949999999999999</v>
      </c>
      <c r="C1308" s="8">
        <f>-PV(B1308/100,$B$3,B1307/100,1)</f>
        <v/>
      </c>
      <c r="D1308" s="8">
        <f>B1307/100/12+(C1308-1)</f>
        <v/>
      </c>
      <c r="E1308" s="8">
        <f>E1307*(1+D1308)</f>
        <v/>
      </c>
    </row>
    <row r="1309">
      <c r="A1309" s="8" t="inlineStr">
        <is>
          <t>1979-08-01</t>
        </is>
      </c>
      <c r="B1309" s="6" t="n">
        <v>9.029999999999999</v>
      </c>
      <c r="C1309" s="8">
        <f>-PV(B1309/100,$B$3,B1308/100,1)</f>
        <v/>
      </c>
      <c r="D1309" s="8">
        <f>B1308/100/12+(C1309-1)</f>
        <v/>
      </c>
      <c r="E1309" s="8">
        <f>E1308*(1+D1309)</f>
        <v/>
      </c>
    </row>
    <row r="1310">
      <c r="A1310" s="8" t="inlineStr">
        <is>
          <t>1979-09-01</t>
        </is>
      </c>
      <c r="B1310" s="6" t="n">
        <v>9.33</v>
      </c>
      <c r="C1310" s="8">
        <f>-PV(B1310/100,$B$3,B1309/100,1)</f>
        <v/>
      </c>
      <c r="D1310" s="8">
        <f>B1309/100/12+(C1310-1)</f>
        <v/>
      </c>
      <c r="E1310" s="8">
        <f>E1309*(1+D1310)</f>
        <v/>
      </c>
    </row>
    <row r="1311">
      <c r="A1311" s="8" t="inlineStr">
        <is>
          <t>1979-10-01</t>
        </is>
      </c>
      <c r="B1311" s="6" t="n">
        <v>10.3</v>
      </c>
      <c r="C1311" s="8">
        <f>-PV(B1311/100,$B$3,B1310/100,1)</f>
        <v/>
      </c>
      <c r="D1311" s="8">
        <f>B1310/100/12+(C1311-1)</f>
        <v/>
      </c>
      <c r="E1311" s="8">
        <f>E1310*(1+D1311)</f>
        <v/>
      </c>
    </row>
    <row r="1312">
      <c r="A1312" s="8" t="inlineStr">
        <is>
          <t>1979-11-01</t>
        </is>
      </c>
      <c r="B1312" s="6" t="n">
        <v>10.65</v>
      </c>
      <c r="C1312" s="8">
        <f>-PV(B1312/100,$B$3,B1311/100,1)</f>
        <v/>
      </c>
      <c r="D1312" s="8">
        <f>B1311/100/12+(C1312-1)</f>
        <v/>
      </c>
      <c r="E1312" s="8">
        <f>E1311*(1+D1312)</f>
        <v/>
      </c>
    </row>
    <row r="1313">
      <c r="A1313" s="8" t="inlineStr">
        <is>
          <t>1979-12-01</t>
        </is>
      </c>
      <c r="B1313" s="6" t="n">
        <v>10.39</v>
      </c>
      <c r="C1313" s="8">
        <f>-PV(B1313/100,$B$3,B1312/100,1)</f>
        <v/>
      </c>
      <c r="D1313" s="8">
        <f>B1312/100/12+(C1313-1)</f>
        <v/>
      </c>
      <c r="E1313" s="8">
        <f>E1312*(1+D1313)</f>
        <v/>
      </c>
    </row>
    <row r="1314">
      <c r="A1314" s="8" t="inlineStr">
        <is>
          <t>1980-01-01</t>
        </is>
      </c>
      <c r="B1314" s="6" t="n">
        <v>10.8</v>
      </c>
      <c r="C1314" s="8">
        <f>-PV(B1314/100,$B$3,B1313/100,1)</f>
        <v/>
      </c>
      <c r="D1314" s="8">
        <f>B1313/100/12+(C1314-1)</f>
        <v/>
      </c>
      <c r="E1314" s="8">
        <f>E1313*(1+D1314)</f>
        <v/>
      </c>
    </row>
    <row r="1315">
      <c r="A1315" s="8" t="inlineStr">
        <is>
          <t>1980-02-01</t>
        </is>
      </c>
      <c r="B1315" s="6" t="n">
        <v>12.41</v>
      </c>
      <c r="C1315" s="8">
        <f>-PV(B1315/100,$B$3,B1314/100,1)</f>
        <v/>
      </c>
      <c r="D1315" s="8">
        <f>B1314/100/12+(C1315-1)</f>
        <v/>
      </c>
      <c r="E1315" s="8">
        <f>E1314*(1+D1315)</f>
        <v/>
      </c>
    </row>
    <row r="1316">
      <c r="A1316" s="8" t="inlineStr">
        <is>
          <t>1980-03-01</t>
        </is>
      </c>
      <c r="B1316" s="6" t="n">
        <v>12.75</v>
      </c>
      <c r="C1316" s="8">
        <f>-PV(B1316/100,$B$3,B1315/100,1)</f>
        <v/>
      </c>
      <c r="D1316" s="8">
        <f>B1315/100/12+(C1316-1)</f>
        <v/>
      </c>
      <c r="E1316" s="8">
        <f>E1315*(1+D1316)</f>
        <v/>
      </c>
    </row>
    <row r="1317">
      <c r="A1317" s="8" t="inlineStr">
        <is>
          <t>1980-04-01</t>
        </is>
      </c>
      <c r="B1317" s="6" t="n">
        <v>11.47</v>
      </c>
      <c r="C1317" s="8">
        <f>-PV(B1317/100,$B$3,B1316/100,1)</f>
        <v/>
      </c>
      <c r="D1317" s="8">
        <f>B1316/100/12+(C1317-1)</f>
        <v/>
      </c>
      <c r="E1317" s="8">
        <f>E1316*(1+D1317)</f>
        <v/>
      </c>
    </row>
    <row r="1318">
      <c r="A1318" s="8" t="inlineStr">
        <is>
          <t>1980-05-01</t>
        </is>
      </c>
      <c r="B1318" s="6" t="n">
        <v>10.18</v>
      </c>
      <c r="C1318" s="8">
        <f>-PV(B1318/100,$B$3,B1317/100,1)</f>
        <v/>
      </c>
      <c r="D1318" s="8">
        <f>B1317/100/12+(C1318-1)</f>
        <v/>
      </c>
      <c r="E1318" s="8">
        <f>E1317*(1+D1318)</f>
        <v/>
      </c>
    </row>
    <row r="1319">
      <c r="A1319" s="8" t="inlineStr">
        <is>
          <t>1980-06-01</t>
        </is>
      </c>
      <c r="B1319" s="6" t="n">
        <v>9.779999999999999</v>
      </c>
      <c r="C1319" s="8">
        <f>-PV(B1319/100,$B$3,B1318/100,1)</f>
        <v/>
      </c>
      <c r="D1319" s="8">
        <f>B1318/100/12+(C1319-1)</f>
        <v/>
      </c>
      <c r="E1319" s="8">
        <f>E1318*(1+D1319)</f>
        <v/>
      </c>
    </row>
    <row r="1320">
      <c r="A1320" s="8" t="inlineStr">
        <is>
          <t>1980-07-01</t>
        </is>
      </c>
      <c r="B1320" s="6" t="n">
        <v>10.25</v>
      </c>
      <c r="C1320" s="8">
        <f>-PV(B1320/100,$B$3,B1319/100,1)</f>
        <v/>
      </c>
      <c r="D1320" s="8">
        <f>B1319/100/12+(C1320-1)</f>
        <v/>
      </c>
      <c r="E1320" s="8">
        <f>E1319*(1+D1320)</f>
        <v/>
      </c>
    </row>
    <row r="1321">
      <c r="A1321" s="8" t="inlineStr">
        <is>
          <t>1980-08-01</t>
        </is>
      </c>
      <c r="B1321" s="6" t="n">
        <v>11.1</v>
      </c>
      <c r="C1321" s="8">
        <f>-PV(B1321/100,$B$3,B1320/100,1)</f>
        <v/>
      </c>
      <c r="D1321" s="8">
        <f>B1320/100/12+(C1321-1)</f>
        <v/>
      </c>
      <c r="E1321" s="8">
        <f>E1320*(1+D1321)</f>
        <v/>
      </c>
    </row>
    <row r="1322">
      <c r="A1322" s="8" t="inlineStr">
        <is>
          <t>1980-09-01</t>
        </is>
      </c>
      <c r="B1322" s="6" t="n">
        <v>11.51</v>
      </c>
      <c r="C1322" s="8">
        <f>-PV(B1322/100,$B$3,B1321/100,1)</f>
        <v/>
      </c>
      <c r="D1322" s="8">
        <f>B1321/100/12+(C1322-1)</f>
        <v/>
      </c>
      <c r="E1322" s="8">
        <f>E1321*(1+D1322)</f>
        <v/>
      </c>
    </row>
    <row r="1323">
      <c r="A1323" s="8" t="inlineStr">
        <is>
          <t>1980-10-01</t>
        </is>
      </c>
      <c r="B1323" s="6" t="n">
        <v>11.75</v>
      </c>
      <c r="C1323" s="8">
        <f>-PV(B1323/100,$B$3,B1322/100,1)</f>
        <v/>
      </c>
      <c r="D1323" s="8">
        <f>B1322/100/12+(C1323-1)</f>
        <v/>
      </c>
      <c r="E1323" s="8">
        <f>E1322*(1+D1323)</f>
        <v/>
      </c>
    </row>
    <row r="1324">
      <c r="A1324" s="8" t="inlineStr">
        <is>
          <t>1980-11-01</t>
        </is>
      </c>
      <c r="B1324" s="6" t="n">
        <v>12.68</v>
      </c>
      <c r="C1324" s="8">
        <f>-PV(B1324/100,$B$3,B1323/100,1)</f>
        <v/>
      </c>
      <c r="D1324" s="8">
        <f>B1323/100/12+(C1324-1)</f>
        <v/>
      </c>
      <c r="E1324" s="8">
        <f>E1323*(1+D1324)</f>
        <v/>
      </c>
    </row>
    <row r="1325">
      <c r="A1325" s="8" t="inlineStr">
        <is>
          <t>1980-12-01</t>
        </is>
      </c>
      <c r="B1325" s="6" t="n">
        <v>12.84</v>
      </c>
      <c r="C1325" s="8">
        <f>-PV(B1325/100,$B$3,B1324/100,1)</f>
        <v/>
      </c>
      <c r="D1325" s="8">
        <f>B1324/100/12+(C1325-1)</f>
        <v/>
      </c>
      <c r="E1325" s="8">
        <f>E1324*(1+D1325)</f>
        <v/>
      </c>
    </row>
    <row r="1326">
      <c r="A1326" s="8" t="inlineStr">
        <is>
          <t>1981-01-01</t>
        </is>
      </c>
      <c r="B1326" s="6" t="n">
        <v>12.57</v>
      </c>
      <c r="C1326" s="8">
        <f>-PV(B1326/100,$B$3,B1325/100,1)</f>
        <v/>
      </c>
      <c r="D1326" s="8">
        <f>B1325/100/12+(C1326-1)</f>
        <v/>
      </c>
      <c r="E1326" s="8">
        <f>E1325*(1+D1326)</f>
        <v/>
      </c>
    </row>
    <row r="1327">
      <c r="A1327" s="8" t="inlineStr">
        <is>
          <t>1981-02-01</t>
        </is>
      </c>
      <c r="B1327" s="6" t="n">
        <v>13.19</v>
      </c>
      <c r="C1327" s="8">
        <f>-PV(B1327/100,$B$3,B1326/100,1)</f>
        <v/>
      </c>
      <c r="D1327" s="8">
        <f>B1326/100/12+(C1327-1)</f>
        <v/>
      </c>
      <c r="E1327" s="8">
        <f>E1326*(1+D1327)</f>
        <v/>
      </c>
    </row>
    <row r="1328">
      <c r="A1328" s="8" t="inlineStr">
        <is>
          <t>1981-03-01</t>
        </is>
      </c>
      <c r="B1328" s="6" t="n">
        <v>13.12</v>
      </c>
      <c r="C1328" s="8">
        <f>-PV(B1328/100,$B$3,B1327/100,1)</f>
        <v/>
      </c>
      <c r="D1328" s="8">
        <f>B1327/100/12+(C1328-1)</f>
        <v/>
      </c>
      <c r="E1328" s="8">
        <f>E1327*(1+D1328)</f>
        <v/>
      </c>
    </row>
    <row r="1329">
      <c r="A1329" s="8" t="inlineStr">
        <is>
          <t>1981-04-01</t>
        </is>
      </c>
      <c r="B1329" s="6" t="n">
        <v>13.68</v>
      </c>
      <c r="C1329" s="8">
        <f>-PV(B1329/100,$B$3,B1328/100,1)</f>
        <v/>
      </c>
      <c r="D1329" s="8">
        <f>B1328/100/12+(C1329-1)</f>
        <v/>
      </c>
      <c r="E1329" s="8">
        <f>E1328*(1+D1329)</f>
        <v/>
      </c>
    </row>
    <row r="1330">
      <c r="A1330" s="8" t="inlineStr">
        <is>
          <t>1981-05-01</t>
        </is>
      </c>
      <c r="B1330" s="6" t="n">
        <v>14.1</v>
      </c>
      <c r="C1330" s="8">
        <f>-PV(B1330/100,$B$3,B1329/100,1)</f>
        <v/>
      </c>
      <c r="D1330" s="8">
        <f>B1329/100/12+(C1330-1)</f>
        <v/>
      </c>
      <c r="E1330" s="8">
        <f>E1329*(1+D1330)</f>
        <v/>
      </c>
    </row>
    <row r="1331">
      <c r="A1331" s="8" t="inlineStr">
        <is>
          <t>1981-06-01</t>
        </is>
      </c>
      <c r="B1331" s="6" t="n">
        <v>13.47</v>
      </c>
      <c r="C1331" s="8">
        <f>-PV(B1331/100,$B$3,B1330/100,1)</f>
        <v/>
      </c>
      <c r="D1331" s="8">
        <f>B1330/100/12+(C1331-1)</f>
        <v/>
      </c>
      <c r="E1331" s="8">
        <f>E1330*(1+D1331)</f>
        <v/>
      </c>
    </row>
    <row r="1332">
      <c r="A1332" s="8" t="inlineStr">
        <is>
          <t>1981-07-01</t>
        </is>
      </c>
      <c r="B1332" s="6" t="n">
        <v>14.28</v>
      </c>
      <c r="C1332" s="8">
        <f>-PV(B1332/100,$B$3,B1331/100,1)</f>
        <v/>
      </c>
      <c r="D1332" s="8">
        <f>B1331/100/12+(C1332-1)</f>
        <v/>
      </c>
      <c r="E1332" s="8">
        <f>E1331*(1+D1332)</f>
        <v/>
      </c>
    </row>
    <row r="1333">
      <c r="A1333" s="8" t="inlineStr">
        <is>
          <t>1981-08-01</t>
        </is>
      </c>
      <c r="B1333" s="6" t="n">
        <v>14.94</v>
      </c>
      <c r="C1333" s="8">
        <f>-PV(B1333/100,$B$3,B1332/100,1)</f>
        <v/>
      </c>
      <c r="D1333" s="8">
        <f>B1332/100/12+(C1333-1)</f>
        <v/>
      </c>
      <c r="E1333" s="8">
        <f>E1332*(1+D1333)</f>
        <v/>
      </c>
    </row>
    <row r="1334">
      <c r="A1334" s="8" t="inlineStr">
        <is>
          <t>1981-09-01</t>
        </is>
      </c>
      <c r="B1334" s="6" t="n">
        <v>15.32</v>
      </c>
      <c r="C1334" s="8">
        <f>-PV(B1334/100,$B$3,B1333/100,1)</f>
        <v/>
      </c>
      <c r="D1334" s="8">
        <f>B1333/100/12+(C1334-1)</f>
        <v/>
      </c>
      <c r="E1334" s="8">
        <f>E1333*(1+D1334)</f>
        <v/>
      </c>
    </row>
    <row r="1335">
      <c r="A1335" s="8" t="inlineStr">
        <is>
          <t>1981-10-01</t>
        </is>
      </c>
      <c r="B1335" s="6" t="n">
        <v>15.15</v>
      </c>
      <c r="C1335" s="8">
        <f>-PV(B1335/100,$B$3,B1334/100,1)</f>
        <v/>
      </c>
      <c r="D1335" s="8">
        <f>B1334/100/12+(C1335-1)</f>
        <v/>
      </c>
      <c r="E1335" s="8">
        <f>E1334*(1+D1335)</f>
        <v/>
      </c>
    </row>
    <row r="1336">
      <c r="A1336" s="8" t="inlineStr">
        <is>
          <t>1981-11-01</t>
        </is>
      </c>
      <c r="B1336" s="6" t="n">
        <v>13.39</v>
      </c>
      <c r="C1336" s="8">
        <f>-PV(B1336/100,$B$3,B1335/100,1)</f>
        <v/>
      </c>
      <c r="D1336" s="8">
        <f>B1335/100/12+(C1336-1)</f>
        <v/>
      </c>
      <c r="E1336" s="8">
        <f>E1335*(1+D1336)</f>
        <v/>
      </c>
    </row>
    <row r="1337">
      <c r="A1337" s="8" t="inlineStr">
        <is>
          <t>1981-12-01</t>
        </is>
      </c>
      <c r="B1337" s="6" t="n">
        <v>13.72</v>
      </c>
      <c r="C1337" s="8">
        <f>-PV(B1337/100,$B$3,B1336/100,1)</f>
        <v/>
      </c>
      <c r="D1337" s="8">
        <f>B1336/100/12+(C1337-1)</f>
        <v/>
      </c>
      <c r="E1337" s="8">
        <f>E1336*(1+D1337)</f>
        <v/>
      </c>
    </row>
    <row r="1338">
      <c r="A1338" s="8" t="inlineStr">
        <is>
          <t>1982-01-01</t>
        </is>
      </c>
      <c r="B1338" s="6" t="n">
        <v>14.59</v>
      </c>
      <c r="C1338" s="8">
        <f>-PV(B1338/100,$B$3,B1337/100,1)</f>
        <v/>
      </c>
      <c r="D1338" s="8">
        <f>B1337/100/12+(C1338-1)</f>
        <v/>
      </c>
      <c r="E1338" s="8">
        <f>E1337*(1+D1338)</f>
        <v/>
      </c>
    </row>
    <row r="1339">
      <c r="A1339" s="8" t="inlineStr">
        <is>
          <t>1982-02-01</t>
        </is>
      </c>
      <c r="B1339" s="6" t="n">
        <v>14.43</v>
      </c>
      <c r="C1339" s="8">
        <f>-PV(B1339/100,$B$3,B1338/100,1)</f>
        <v/>
      </c>
      <c r="D1339" s="8">
        <f>B1338/100/12+(C1339-1)</f>
        <v/>
      </c>
      <c r="E1339" s="8">
        <f>E1338*(1+D1339)</f>
        <v/>
      </c>
    </row>
    <row r="1340">
      <c r="A1340" s="8" t="inlineStr">
        <is>
          <t>1982-03-01</t>
        </is>
      </c>
      <c r="B1340" s="6" t="n">
        <v>13.86</v>
      </c>
      <c r="C1340" s="8">
        <f>-PV(B1340/100,$B$3,B1339/100,1)</f>
        <v/>
      </c>
      <c r="D1340" s="8">
        <f>B1339/100/12+(C1340-1)</f>
        <v/>
      </c>
      <c r="E1340" s="8">
        <f>E1339*(1+D1340)</f>
        <v/>
      </c>
    </row>
    <row r="1341">
      <c r="A1341" s="8" t="inlineStr">
        <is>
          <t>1982-04-01</t>
        </is>
      </c>
      <c r="B1341" s="6" t="n">
        <v>13.87</v>
      </c>
      <c r="C1341" s="8">
        <f>-PV(B1341/100,$B$3,B1340/100,1)</f>
        <v/>
      </c>
      <c r="D1341" s="8">
        <f>B1340/100/12+(C1341-1)</f>
        <v/>
      </c>
      <c r="E1341" s="8">
        <f>E1340*(1+D1341)</f>
        <v/>
      </c>
    </row>
    <row r="1342">
      <c r="A1342" s="8" t="inlineStr">
        <is>
          <t>1982-05-01</t>
        </is>
      </c>
      <c r="B1342" s="6" t="n">
        <v>13.62</v>
      </c>
      <c r="C1342" s="8">
        <f>-PV(B1342/100,$B$3,B1341/100,1)</f>
        <v/>
      </c>
      <c r="D1342" s="8">
        <f>B1341/100/12+(C1342-1)</f>
        <v/>
      </c>
      <c r="E1342" s="8">
        <f>E1341*(1+D1342)</f>
        <v/>
      </c>
    </row>
    <row r="1343">
      <c r="A1343" s="8" t="inlineStr">
        <is>
          <t>1982-06-01</t>
        </is>
      </c>
      <c r="B1343" s="6" t="n">
        <v>14.3</v>
      </c>
      <c r="C1343" s="8">
        <f>-PV(B1343/100,$B$3,B1342/100,1)</f>
        <v/>
      </c>
      <c r="D1343" s="8">
        <f>B1342/100/12+(C1343-1)</f>
        <v/>
      </c>
      <c r="E1343" s="8">
        <f>E1342*(1+D1343)</f>
        <v/>
      </c>
    </row>
    <row r="1344">
      <c r="A1344" s="8" t="inlineStr">
        <is>
          <t>1982-07-01</t>
        </is>
      </c>
      <c r="B1344" s="6" t="n">
        <v>13.95</v>
      </c>
      <c r="C1344" s="8">
        <f>-PV(B1344/100,$B$3,B1343/100,1)</f>
        <v/>
      </c>
      <c r="D1344" s="8">
        <f>B1343/100/12+(C1344-1)</f>
        <v/>
      </c>
      <c r="E1344" s="8">
        <f>E1343*(1+D1344)</f>
        <v/>
      </c>
    </row>
    <row r="1345">
      <c r="A1345" s="8" t="inlineStr">
        <is>
          <t>1982-08-01</t>
        </is>
      </c>
      <c r="B1345" s="6" t="n">
        <v>13.06</v>
      </c>
      <c r="C1345" s="8">
        <f>-PV(B1345/100,$B$3,B1344/100,1)</f>
        <v/>
      </c>
      <c r="D1345" s="8">
        <f>B1344/100/12+(C1345-1)</f>
        <v/>
      </c>
      <c r="E1345" s="8">
        <f>E1344*(1+D1345)</f>
        <v/>
      </c>
    </row>
    <row r="1346">
      <c r="A1346" s="8" t="inlineStr">
        <is>
          <t>1982-09-01</t>
        </is>
      </c>
      <c r="B1346" s="6" t="n">
        <v>12.34</v>
      </c>
      <c r="C1346" s="8">
        <f>-PV(B1346/100,$B$3,B1345/100,1)</f>
        <v/>
      </c>
      <c r="D1346" s="8">
        <f>B1345/100/12+(C1346-1)</f>
        <v/>
      </c>
      <c r="E1346" s="8">
        <f>E1345*(1+D1346)</f>
        <v/>
      </c>
    </row>
    <row r="1347">
      <c r="A1347" s="8" t="inlineStr">
        <is>
          <t>1982-10-01</t>
        </is>
      </c>
      <c r="B1347" s="6" t="n">
        <v>10.91</v>
      </c>
      <c r="C1347" s="8">
        <f>-PV(B1347/100,$B$3,B1346/100,1)</f>
        <v/>
      </c>
      <c r="D1347" s="8">
        <f>B1346/100/12+(C1347-1)</f>
        <v/>
      </c>
      <c r="E1347" s="8">
        <f>E1346*(1+D1347)</f>
        <v/>
      </c>
    </row>
    <row r="1348">
      <c r="A1348" s="8" t="inlineStr">
        <is>
          <t>1982-11-01</t>
        </is>
      </c>
      <c r="B1348" s="6" t="n">
        <v>10.55</v>
      </c>
      <c r="C1348" s="8">
        <f>-PV(B1348/100,$B$3,B1347/100,1)</f>
        <v/>
      </c>
      <c r="D1348" s="8">
        <f>B1347/100/12+(C1348-1)</f>
        <v/>
      </c>
      <c r="E1348" s="8">
        <f>E1347*(1+D1348)</f>
        <v/>
      </c>
    </row>
    <row r="1349">
      <c r="A1349" s="8" t="inlineStr">
        <is>
          <t>1982-12-01</t>
        </is>
      </c>
      <c r="B1349" s="6" t="n">
        <v>10.54</v>
      </c>
      <c r="C1349" s="8">
        <f>-PV(B1349/100,$B$3,B1348/100,1)</f>
        <v/>
      </c>
      <c r="D1349" s="8">
        <f>B1348/100/12+(C1349-1)</f>
        <v/>
      </c>
      <c r="E1349" s="8">
        <f>E1348*(1+D1349)</f>
        <v/>
      </c>
    </row>
    <row r="1350">
      <c r="A1350" s="8" t="inlineStr">
        <is>
          <t>1983-01-01</t>
        </is>
      </c>
      <c r="B1350" s="6" t="n">
        <v>10.46</v>
      </c>
      <c r="C1350" s="8">
        <f>-PV(B1350/100,$B$3,B1349/100,1)</f>
        <v/>
      </c>
      <c r="D1350" s="8">
        <f>B1349/100/12+(C1350-1)</f>
        <v/>
      </c>
      <c r="E1350" s="8">
        <f>E1349*(1+D1350)</f>
        <v/>
      </c>
    </row>
    <row r="1351">
      <c r="A1351" s="8" t="inlineStr">
        <is>
          <t>1983-02-01</t>
        </is>
      </c>
      <c r="B1351" s="6" t="n">
        <v>10.72</v>
      </c>
      <c r="C1351" s="8">
        <f>-PV(B1351/100,$B$3,B1350/100,1)</f>
        <v/>
      </c>
      <c r="D1351" s="8">
        <f>B1350/100/12+(C1351-1)</f>
        <v/>
      </c>
      <c r="E1351" s="8">
        <f>E1350*(1+D1351)</f>
        <v/>
      </c>
    </row>
    <row r="1352">
      <c r="A1352" s="8" t="inlineStr">
        <is>
          <t>1983-03-01</t>
        </is>
      </c>
      <c r="B1352" s="6" t="n">
        <v>10.51</v>
      </c>
      <c r="C1352" s="8">
        <f>-PV(B1352/100,$B$3,B1351/100,1)</f>
        <v/>
      </c>
      <c r="D1352" s="8">
        <f>B1351/100/12+(C1352-1)</f>
        <v/>
      </c>
      <c r="E1352" s="8">
        <f>E1351*(1+D1352)</f>
        <v/>
      </c>
    </row>
    <row r="1353">
      <c r="A1353" s="8" t="inlineStr">
        <is>
          <t>1983-04-01</t>
        </is>
      </c>
      <c r="B1353" s="6" t="n">
        <v>10.4</v>
      </c>
      <c r="C1353" s="8">
        <f>-PV(B1353/100,$B$3,B1352/100,1)</f>
        <v/>
      </c>
      <c r="D1353" s="8">
        <f>B1352/100/12+(C1353-1)</f>
        <v/>
      </c>
      <c r="E1353" s="8">
        <f>E1352*(1+D1353)</f>
        <v/>
      </c>
    </row>
    <row r="1354">
      <c r="A1354" s="8" t="inlineStr">
        <is>
          <t>1983-05-01</t>
        </is>
      </c>
      <c r="B1354" s="6" t="n">
        <v>10.38</v>
      </c>
      <c r="C1354" s="8">
        <f>-PV(B1354/100,$B$3,B1353/100,1)</f>
        <v/>
      </c>
      <c r="D1354" s="8">
        <f>B1353/100/12+(C1354-1)</f>
        <v/>
      </c>
      <c r="E1354" s="8">
        <f>E1353*(1+D1354)</f>
        <v/>
      </c>
    </row>
    <row r="1355">
      <c r="A1355" s="8" t="inlineStr">
        <is>
          <t>1983-06-01</t>
        </is>
      </c>
      <c r="B1355" s="6" t="n">
        <v>10.85</v>
      </c>
      <c r="C1355" s="8">
        <f>-PV(B1355/100,$B$3,B1354/100,1)</f>
        <v/>
      </c>
      <c r="D1355" s="8">
        <f>B1354/100/12+(C1355-1)</f>
        <v/>
      </c>
      <c r="E1355" s="8">
        <f>E1354*(1+D1355)</f>
        <v/>
      </c>
    </row>
    <row r="1356">
      <c r="A1356" s="8" t="inlineStr">
        <is>
          <t>1983-07-01</t>
        </is>
      </c>
      <c r="B1356" s="6" t="n">
        <v>11.38</v>
      </c>
      <c r="C1356" s="8">
        <f>-PV(B1356/100,$B$3,B1355/100,1)</f>
        <v/>
      </c>
      <c r="D1356" s="8">
        <f>B1355/100/12+(C1356-1)</f>
        <v/>
      </c>
      <c r="E1356" s="8">
        <f>E1355*(1+D1356)</f>
        <v/>
      </c>
    </row>
    <row r="1357">
      <c r="A1357" s="8" t="inlineStr">
        <is>
          <t>1983-08-01</t>
        </is>
      </c>
      <c r="B1357" s="6" t="n">
        <v>11.85</v>
      </c>
      <c r="C1357" s="8">
        <f>-PV(B1357/100,$B$3,B1356/100,1)</f>
        <v/>
      </c>
      <c r="D1357" s="8">
        <f>B1356/100/12+(C1357-1)</f>
        <v/>
      </c>
      <c r="E1357" s="8">
        <f>E1356*(1+D1357)</f>
        <v/>
      </c>
    </row>
    <row r="1358">
      <c r="A1358" s="8" t="inlineStr">
        <is>
          <t>1983-09-01</t>
        </is>
      </c>
      <c r="B1358" s="6" t="n">
        <v>11.65</v>
      </c>
      <c r="C1358" s="8">
        <f>-PV(B1358/100,$B$3,B1357/100,1)</f>
        <v/>
      </c>
      <c r="D1358" s="8">
        <f>B1357/100/12+(C1358-1)</f>
        <v/>
      </c>
      <c r="E1358" s="8">
        <f>E1357*(1+D1358)</f>
        <v/>
      </c>
    </row>
    <row r="1359">
      <c r="A1359" s="8" t="inlineStr">
        <is>
          <t>1983-10-01</t>
        </is>
      </c>
      <c r="B1359" s="6" t="n">
        <v>11.54</v>
      </c>
      <c r="C1359" s="8">
        <f>-PV(B1359/100,$B$3,B1358/100,1)</f>
        <v/>
      </c>
      <c r="D1359" s="8">
        <f>B1358/100/12+(C1359-1)</f>
        <v/>
      </c>
      <c r="E1359" s="8">
        <f>E1358*(1+D1359)</f>
        <v/>
      </c>
    </row>
    <row r="1360">
      <c r="A1360" s="8" t="inlineStr">
        <is>
          <t>1983-11-01</t>
        </is>
      </c>
      <c r="B1360" s="6" t="n">
        <v>11.69</v>
      </c>
      <c r="C1360" s="8">
        <f>-PV(B1360/100,$B$3,B1359/100,1)</f>
        <v/>
      </c>
      <c r="D1360" s="8">
        <f>B1359/100/12+(C1360-1)</f>
        <v/>
      </c>
      <c r="E1360" s="8">
        <f>E1359*(1+D1360)</f>
        <v/>
      </c>
    </row>
    <row r="1361">
      <c r="A1361" s="8" t="inlineStr">
        <is>
          <t>1983-12-01</t>
        </is>
      </c>
      <c r="B1361" s="6" t="n">
        <v>11.83</v>
      </c>
      <c r="C1361" s="8">
        <f>-PV(B1361/100,$B$3,B1360/100,1)</f>
        <v/>
      </c>
      <c r="D1361" s="8">
        <f>B1360/100/12+(C1361-1)</f>
        <v/>
      </c>
      <c r="E1361" s="8">
        <f>E1360*(1+D1361)</f>
        <v/>
      </c>
    </row>
    <row r="1362">
      <c r="A1362" s="8" t="inlineStr">
        <is>
          <t>1984-01-01</t>
        </is>
      </c>
      <c r="B1362" s="6" t="n">
        <v>11.67</v>
      </c>
      <c r="C1362" s="8">
        <f>-PV(B1362/100,$B$3,B1361/100,1)</f>
        <v/>
      </c>
      <c r="D1362" s="8">
        <f>B1361/100/12+(C1362-1)</f>
        <v/>
      </c>
      <c r="E1362" s="8">
        <f>E1361*(1+D1362)</f>
        <v/>
      </c>
    </row>
    <row r="1363">
      <c r="A1363" s="8" t="inlineStr">
        <is>
          <t>1984-02-01</t>
        </is>
      </c>
      <c r="B1363" s="6" t="n">
        <v>11.84</v>
      </c>
      <c r="C1363" s="8">
        <f>-PV(B1363/100,$B$3,B1362/100,1)</f>
        <v/>
      </c>
      <c r="D1363" s="8">
        <f>B1362/100/12+(C1363-1)</f>
        <v/>
      </c>
      <c r="E1363" s="8">
        <f>E1362*(1+D1363)</f>
        <v/>
      </c>
    </row>
    <row r="1364">
      <c r="A1364" s="8" t="inlineStr">
        <is>
          <t>1984-03-01</t>
        </is>
      </c>
      <c r="B1364" s="6" t="n">
        <v>12.32</v>
      </c>
      <c r="C1364" s="8">
        <f>-PV(B1364/100,$B$3,B1363/100,1)</f>
        <v/>
      </c>
      <c r="D1364" s="8">
        <f>B1363/100/12+(C1364-1)</f>
        <v/>
      </c>
      <c r="E1364" s="8">
        <f>E1363*(1+D1364)</f>
        <v/>
      </c>
    </row>
    <row r="1365">
      <c r="A1365" s="8" t="inlineStr">
        <is>
          <t>1984-04-01</t>
        </is>
      </c>
      <c r="B1365" s="6" t="n">
        <v>12.63</v>
      </c>
      <c r="C1365" s="8">
        <f>-PV(B1365/100,$B$3,B1364/100,1)</f>
        <v/>
      </c>
      <c r="D1365" s="8">
        <f>B1364/100/12+(C1365-1)</f>
        <v/>
      </c>
      <c r="E1365" s="8">
        <f>E1364*(1+D1365)</f>
        <v/>
      </c>
    </row>
    <row r="1366">
      <c r="A1366" s="8" t="inlineStr">
        <is>
          <t>1984-05-01</t>
        </is>
      </c>
      <c r="B1366" s="6" t="n">
        <v>13.41</v>
      </c>
      <c r="C1366" s="8">
        <f>-PV(B1366/100,$B$3,B1365/100,1)</f>
        <v/>
      </c>
      <c r="D1366" s="8">
        <f>B1365/100/12+(C1366-1)</f>
        <v/>
      </c>
      <c r="E1366" s="8">
        <f>E1365*(1+D1366)</f>
        <v/>
      </c>
    </row>
    <row r="1367">
      <c r="A1367" s="8" t="inlineStr">
        <is>
          <t>1984-06-01</t>
        </is>
      </c>
      <c r="B1367" s="6" t="n">
        <v>13.56</v>
      </c>
      <c r="C1367" s="8">
        <f>-PV(B1367/100,$B$3,B1366/100,1)</f>
        <v/>
      </c>
      <c r="D1367" s="8">
        <f>B1366/100/12+(C1367-1)</f>
        <v/>
      </c>
      <c r="E1367" s="8">
        <f>E1366*(1+D1367)</f>
        <v/>
      </c>
    </row>
    <row r="1368">
      <c r="A1368" s="8" t="inlineStr">
        <is>
          <t>1984-07-01</t>
        </is>
      </c>
      <c r="B1368" s="6" t="n">
        <v>13.36</v>
      </c>
      <c r="C1368" s="8">
        <f>-PV(B1368/100,$B$3,B1367/100,1)</f>
        <v/>
      </c>
      <c r="D1368" s="8">
        <f>B1367/100/12+(C1368-1)</f>
        <v/>
      </c>
      <c r="E1368" s="8">
        <f>E1367*(1+D1368)</f>
        <v/>
      </c>
    </row>
    <row r="1369">
      <c r="A1369" s="8" t="inlineStr">
        <is>
          <t>1984-08-01</t>
        </is>
      </c>
      <c r="B1369" s="6" t="n">
        <v>12.72</v>
      </c>
      <c r="C1369" s="8">
        <f>-PV(B1369/100,$B$3,B1368/100,1)</f>
        <v/>
      </c>
      <c r="D1369" s="8">
        <f>B1368/100/12+(C1369-1)</f>
        <v/>
      </c>
      <c r="E1369" s="8">
        <f>E1368*(1+D1369)</f>
        <v/>
      </c>
    </row>
    <row r="1370">
      <c r="A1370" s="8" t="inlineStr">
        <is>
          <t>1984-09-01</t>
        </is>
      </c>
      <c r="B1370" s="6" t="n">
        <v>12.52</v>
      </c>
      <c r="C1370" s="8">
        <f>-PV(B1370/100,$B$3,B1369/100,1)</f>
        <v/>
      </c>
      <c r="D1370" s="8">
        <f>B1369/100/12+(C1370-1)</f>
        <v/>
      </c>
      <c r="E1370" s="8">
        <f>E1369*(1+D1370)</f>
        <v/>
      </c>
    </row>
    <row r="1371">
      <c r="A1371" s="8" t="inlineStr">
        <is>
          <t>1984-10-01</t>
        </is>
      </c>
      <c r="B1371" s="6" t="n">
        <v>12.16</v>
      </c>
      <c r="C1371" s="8">
        <f>-PV(B1371/100,$B$3,B1370/100,1)</f>
        <v/>
      </c>
      <c r="D1371" s="8">
        <f>B1370/100/12+(C1371-1)</f>
        <v/>
      </c>
      <c r="E1371" s="8">
        <f>E1370*(1+D1371)</f>
        <v/>
      </c>
    </row>
    <row r="1372">
      <c r="A1372" s="8" t="inlineStr">
        <is>
          <t>1984-11-01</t>
        </is>
      </c>
      <c r="B1372" s="6" t="n">
        <v>11.57</v>
      </c>
      <c r="C1372" s="8">
        <f>-PV(B1372/100,$B$3,B1371/100,1)</f>
        <v/>
      </c>
      <c r="D1372" s="8">
        <f>B1371/100/12+(C1372-1)</f>
        <v/>
      </c>
      <c r="E1372" s="8">
        <f>E1371*(1+D1372)</f>
        <v/>
      </c>
    </row>
    <row r="1373">
      <c r="A1373" s="8" t="inlineStr">
        <is>
          <t>1984-12-01</t>
        </is>
      </c>
      <c r="B1373" s="6" t="n">
        <v>11.5</v>
      </c>
      <c r="C1373" s="8">
        <f>-PV(B1373/100,$B$3,B1372/100,1)</f>
        <v/>
      </c>
      <c r="D1373" s="8">
        <f>B1372/100/12+(C1373-1)</f>
        <v/>
      </c>
      <c r="E1373" s="8">
        <f>E1372*(1+D1373)</f>
        <v/>
      </c>
    </row>
    <row r="1374">
      <c r="A1374" s="8" t="inlineStr">
        <is>
          <t>1985-01-01</t>
        </is>
      </c>
      <c r="B1374" s="6" t="n">
        <v>11.38</v>
      </c>
      <c r="C1374" s="8">
        <f>-PV(B1374/100,$B$3,B1373/100,1)</f>
        <v/>
      </c>
      <c r="D1374" s="8">
        <f>B1373/100/12+(C1374-1)</f>
        <v/>
      </c>
      <c r="E1374" s="8">
        <f>E1373*(1+D1374)</f>
        <v/>
      </c>
    </row>
    <row r="1375">
      <c r="A1375" s="8" t="inlineStr">
        <is>
          <t>1985-02-01</t>
        </is>
      </c>
      <c r="B1375" s="6" t="n">
        <v>11.51</v>
      </c>
      <c r="C1375" s="8">
        <f>-PV(B1375/100,$B$3,B1374/100,1)</f>
        <v/>
      </c>
      <c r="D1375" s="8">
        <f>B1374/100/12+(C1375-1)</f>
        <v/>
      </c>
      <c r="E1375" s="8">
        <f>E1374*(1+D1375)</f>
        <v/>
      </c>
    </row>
    <row r="1376">
      <c r="A1376" s="8" t="inlineStr">
        <is>
          <t>1985-03-01</t>
        </is>
      </c>
      <c r="B1376" s="6" t="n">
        <v>11.86</v>
      </c>
      <c r="C1376" s="8">
        <f>-PV(B1376/100,$B$3,B1375/100,1)</f>
        <v/>
      </c>
      <c r="D1376" s="8">
        <f>B1375/100/12+(C1376-1)</f>
        <v/>
      </c>
      <c r="E1376" s="8">
        <f>E1375*(1+D1376)</f>
        <v/>
      </c>
    </row>
    <row r="1377">
      <c r="A1377" s="8" t="inlineStr">
        <is>
          <t>1985-04-01</t>
        </is>
      </c>
      <c r="B1377" s="6" t="n">
        <v>11.43</v>
      </c>
      <c r="C1377" s="8">
        <f>-PV(B1377/100,$B$3,B1376/100,1)</f>
        <v/>
      </c>
      <c r="D1377" s="8">
        <f>B1376/100/12+(C1377-1)</f>
        <v/>
      </c>
      <c r="E1377" s="8">
        <f>E1376*(1+D1377)</f>
        <v/>
      </c>
    </row>
    <row r="1378">
      <c r="A1378" s="8" t="inlineStr">
        <is>
          <t>1985-05-01</t>
        </is>
      </c>
      <c r="B1378" s="6" t="n">
        <v>10.85</v>
      </c>
      <c r="C1378" s="8">
        <f>-PV(B1378/100,$B$3,B1377/100,1)</f>
        <v/>
      </c>
      <c r="D1378" s="8">
        <f>B1377/100/12+(C1378-1)</f>
        <v/>
      </c>
      <c r="E1378" s="8">
        <f>E1377*(1+D1378)</f>
        <v/>
      </c>
    </row>
    <row r="1379">
      <c r="A1379" s="8" t="inlineStr">
        <is>
          <t>1985-06-01</t>
        </is>
      </c>
      <c r="B1379" s="6" t="n">
        <v>10.16</v>
      </c>
      <c r="C1379" s="8">
        <f>-PV(B1379/100,$B$3,B1378/100,1)</f>
        <v/>
      </c>
      <c r="D1379" s="8">
        <f>B1378/100/12+(C1379-1)</f>
        <v/>
      </c>
      <c r="E1379" s="8">
        <f>E1378*(1+D1379)</f>
        <v/>
      </c>
    </row>
    <row r="1380">
      <c r="A1380" s="8" t="inlineStr">
        <is>
          <t>1985-07-01</t>
        </is>
      </c>
      <c r="B1380" s="6" t="n">
        <v>10.31</v>
      </c>
      <c r="C1380" s="8">
        <f>-PV(B1380/100,$B$3,B1379/100,1)</f>
        <v/>
      </c>
      <c r="D1380" s="8">
        <f>B1379/100/12+(C1380-1)</f>
        <v/>
      </c>
      <c r="E1380" s="8">
        <f>E1379*(1+D1380)</f>
        <v/>
      </c>
    </row>
    <row r="1381">
      <c r="A1381" s="8" t="inlineStr">
        <is>
          <t>1985-08-01</t>
        </is>
      </c>
      <c r="B1381" s="6" t="n">
        <v>10.33</v>
      </c>
      <c r="C1381" s="8">
        <f>-PV(B1381/100,$B$3,B1380/100,1)</f>
        <v/>
      </c>
      <c r="D1381" s="8">
        <f>B1380/100/12+(C1381-1)</f>
        <v/>
      </c>
      <c r="E1381" s="8">
        <f>E1380*(1+D1381)</f>
        <v/>
      </c>
    </row>
    <row r="1382">
      <c r="A1382" s="8" t="inlineStr">
        <is>
          <t>1985-09-01</t>
        </is>
      </c>
      <c r="B1382" s="6" t="n">
        <v>10.37</v>
      </c>
      <c r="C1382" s="8">
        <f>-PV(B1382/100,$B$3,B1381/100,1)</f>
        <v/>
      </c>
      <c r="D1382" s="8">
        <f>B1381/100/12+(C1382-1)</f>
        <v/>
      </c>
      <c r="E1382" s="8">
        <f>E1381*(1+D1382)</f>
        <v/>
      </c>
    </row>
    <row r="1383">
      <c r="A1383" s="8" t="inlineStr">
        <is>
          <t>1985-10-01</t>
        </is>
      </c>
      <c r="B1383" s="6" t="n">
        <v>10.24</v>
      </c>
      <c r="C1383" s="8">
        <f>-PV(B1383/100,$B$3,B1382/100,1)</f>
        <v/>
      </c>
      <c r="D1383" s="8">
        <f>B1382/100/12+(C1383-1)</f>
        <v/>
      </c>
      <c r="E1383" s="8">
        <f>E1382*(1+D1383)</f>
        <v/>
      </c>
    </row>
    <row r="1384">
      <c r="A1384" s="8" t="inlineStr">
        <is>
          <t>1985-11-01</t>
        </is>
      </c>
      <c r="B1384" s="6" t="n">
        <v>9.779999999999999</v>
      </c>
      <c r="C1384" s="8">
        <f>-PV(B1384/100,$B$3,B1383/100,1)</f>
        <v/>
      </c>
      <c r="D1384" s="8">
        <f>B1383/100/12+(C1384-1)</f>
        <v/>
      </c>
      <c r="E1384" s="8">
        <f>E1383*(1+D1384)</f>
        <v/>
      </c>
    </row>
    <row r="1385">
      <c r="A1385" s="8" t="inlineStr">
        <is>
          <t>1985-12-01</t>
        </is>
      </c>
      <c r="B1385" s="6" t="n">
        <v>9.26</v>
      </c>
      <c r="C1385" s="8">
        <f>-PV(B1385/100,$B$3,B1384/100,1)</f>
        <v/>
      </c>
      <c r="D1385" s="8">
        <f>B1384/100/12+(C1385-1)</f>
        <v/>
      </c>
      <c r="E1385" s="8">
        <f>E1384*(1+D1385)</f>
        <v/>
      </c>
    </row>
    <row r="1386">
      <c r="A1386" s="8" t="inlineStr">
        <is>
          <t>1986-01-01</t>
        </is>
      </c>
      <c r="B1386" s="6" t="n">
        <v>9.19</v>
      </c>
      <c r="C1386" s="8">
        <f>-PV(B1386/100,$B$3,B1385/100,1)</f>
        <v/>
      </c>
      <c r="D1386" s="8">
        <f>B1385/100/12+(C1386-1)</f>
        <v/>
      </c>
      <c r="E1386" s="8">
        <f>E1385*(1+D1386)</f>
        <v/>
      </c>
    </row>
    <row r="1387">
      <c r="A1387" s="8" t="inlineStr">
        <is>
          <t>1986-02-01</t>
        </is>
      </c>
      <c r="B1387" s="6" t="n">
        <v>8.699999999999999</v>
      </c>
      <c r="C1387" s="8">
        <f>-PV(B1387/100,$B$3,B1386/100,1)</f>
        <v/>
      </c>
      <c r="D1387" s="8">
        <f>B1386/100/12+(C1387-1)</f>
        <v/>
      </c>
      <c r="E1387" s="8">
        <f>E1386*(1+D1387)</f>
        <v/>
      </c>
    </row>
    <row r="1388">
      <c r="A1388" s="8" t="inlineStr">
        <is>
          <t>1986-03-01</t>
        </is>
      </c>
      <c r="B1388" s="6" t="n">
        <v>7.78</v>
      </c>
      <c r="C1388" s="8">
        <f>-PV(B1388/100,$B$3,B1387/100,1)</f>
        <v/>
      </c>
      <c r="D1388" s="8">
        <f>B1387/100/12+(C1388-1)</f>
        <v/>
      </c>
      <c r="E1388" s="8">
        <f>E1387*(1+D1388)</f>
        <v/>
      </c>
    </row>
    <row r="1389">
      <c r="A1389" s="8" t="inlineStr">
        <is>
          <t>1986-04-01</t>
        </is>
      </c>
      <c r="B1389" s="6" t="n">
        <v>7.3</v>
      </c>
      <c r="C1389" s="8">
        <f>-PV(B1389/100,$B$3,B1388/100,1)</f>
        <v/>
      </c>
      <c r="D1389" s="8">
        <f>B1388/100/12+(C1389-1)</f>
        <v/>
      </c>
      <c r="E1389" s="8">
        <f>E1388*(1+D1389)</f>
        <v/>
      </c>
    </row>
    <row r="1390">
      <c r="A1390" s="8" t="inlineStr">
        <is>
          <t>1986-05-01</t>
        </is>
      </c>
      <c r="B1390" s="6" t="n">
        <v>7.71</v>
      </c>
      <c r="C1390" s="8">
        <f>-PV(B1390/100,$B$3,B1389/100,1)</f>
        <v/>
      </c>
      <c r="D1390" s="8">
        <f>B1389/100/12+(C1390-1)</f>
        <v/>
      </c>
      <c r="E1390" s="8">
        <f>E1389*(1+D1390)</f>
        <v/>
      </c>
    </row>
    <row r="1391">
      <c r="A1391" s="8" t="inlineStr">
        <is>
          <t>1986-06-01</t>
        </is>
      </c>
      <c r="B1391" s="6" t="n">
        <v>7.8</v>
      </c>
      <c r="C1391" s="8">
        <f>-PV(B1391/100,$B$3,B1390/100,1)</f>
        <v/>
      </c>
      <c r="D1391" s="8">
        <f>B1390/100/12+(C1391-1)</f>
        <v/>
      </c>
      <c r="E1391" s="8">
        <f>E1390*(1+D1391)</f>
        <v/>
      </c>
    </row>
    <row r="1392">
      <c r="A1392" s="8" t="inlineStr">
        <is>
          <t>1986-07-01</t>
        </is>
      </c>
      <c r="B1392" s="6" t="n">
        <v>7.3</v>
      </c>
      <c r="C1392" s="8">
        <f>-PV(B1392/100,$B$3,B1391/100,1)</f>
        <v/>
      </c>
      <c r="D1392" s="8">
        <f>B1391/100/12+(C1392-1)</f>
        <v/>
      </c>
      <c r="E1392" s="8">
        <f>E1391*(1+D1392)</f>
        <v/>
      </c>
    </row>
    <row r="1393">
      <c r="A1393" s="8" t="inlineStr">
        <is>
          <t>1986-08-01</t>
        </is>
      </c>
      <c r="B1393" s="6" t="n">
        <v>7.17</v>
      </c>
      <c r="C1393" s="8">
        <f>-PV(B1393/100,$B$3,B1392/100,1)</f>
        <v/>
      </c>
      <c r="D1393" s="8">
        <f>B1392/100/12+(C1393-1)</f>
        <v/>
      </c>
      <c r="E1393" s="8">
        <f>E1392*(1+D1393)</f>
        <v/>
      </c>
    </row>
    <row r="1394">
      <c r="A1394" s="8" t="inlineStr">
        <is>
          <t>1986-09-01</t>
        </is>
      </c>
      <c r="B1394" s="6" t="n">
        <v>7.45</v>
      </c>
      <c r="C1394" s="8">
        <f>-PV(B1394/100,$B$3,B1393/100,1)</f>
        <v/>
      </c>
      <c r="D1394" s="8">
        <f>B1393/100/12+(C1394-1)</f>
        <v/>
      </c>
      <c r="E1394" s="8">
        <f>E1393*(1+D1394)</f>
        <v/>
      </c>
    </row>
    <row r="1395">
      <c r="A1395" s="8" t="inlineStr">
        <is>
          <t>1986-10-01</t>
        </is>
      </c>
      <c r="B1395" s="6" t="n">
        <v>7.43</v>
      </c>
      <c r="C1395" s="8">
        <f>-PV(B1395/100,$B$3,B1394/100,1)</f>
        <v/>
      </c>
      <c r="D1395" s="8">
        <f>B1394/100/12+(C1395-1)</f>
        <v/>
      </c>
      <c r="E1395" s="8">
        <f>E1394*(1+D1395)</f>
        <v/>
      </c>
    </row>
    <row r="1396">
      <c r="A1396" s="8" t="inlineStr">
        <is>
          <t>1986-11-01</t>
        </is>
      </c>
      <c r="B1396" s="6" t="n">
        <v>7.25</v>
      </c>
      <c r="C1396" s="8">
        <f>-PV(B1396/100,$B$3,B1395/100,1)</f>
        <v/>
      </c>
      <c r="D1396" s="8">
        <f>B1395/100/12+(C1396-1)</f>
        <v/>
      </c>
      <c r="E1396" s="8">
        <f>E1395*(1+D1396)</f>
        <v/>
      </c>
    </row>
    <row r="1397">
      <c r="A1397" s="8" t="inlineStr">
        <is>
          <t>1986-12-01</t>
        </is>
      </c>
      <c r="B1397" s="6" t="n">
        <v>7.11</v>
      </c>
      <c r="C1397" s="8">
        <f>-PV(B1397/100,$B$3,B1396/100,1)</f>
        <v/>
      </c>
      <c r="D1397" s="8">
        <f>B1396/100/12+(C1397-1)</f>
        <v/>
      </c>
      <c r="E1397" s="8">
        <f>E1396*(1+D1397)</f>
        <v/>
      </c>
    </row>
    <row r="1398">
      <c r="A1398" s="8" t="inlineStr">
        <is>
          <t>1987-01-01</t>
        </is>
      </c>
      <c r="B1398" s="6" t="n">
        <v>7.08</v>
      </c>
      <c r="C1398" s="8">
        <f>-PV(B1398/100,$B$3,B1397/100,1)</f>
        <v/>
      </c>
      <c r="D1398" s="8">
        <f>B1397/100/12+(C1398-1)</f>
        <v/>
      </c>
      <c r="E1398" s="8">
        <f>E1397*(1+D1398)</f>
        <v/>
      </c>
    </row>
    <row r="1399">
      <c r="A1399" s="8" t="inlineStr">
        <is>
          <t>1987-02-01</t>
        </is>
      </c>
      <c r="B1399" s="6" t="n">
        <v>7.25</v>
      </c>
      <c r="C1399" s="8">
        <f>-PV(B1399/100,$B$3,B1398/100,1)</f>
        <v/>
      </c>
      <c r="D1399" s="8">
        <f>B1398/100/12+(C1399-1)</f>
        <v/>
      </c>
      <c r="E1399" s="8">
        <f>E1398*(1+D1399)</f>
        <v/>
      </c>
    </row>
    <row r="1400">
      <c r="A1400" s="8" t="inlineStr">
        <is>
          <t>1987-03-01</t>
        </is>
      </c>
      <c r="B1400" s="6" t="n">
        <v>7.25</v>
      </c>
      <c r="C1400" s="8">
        <f>-PV(B1400/100,$B$3,B1399/100,1)</f>
        <v/>
      </c>
      <c r="D1400" s="8">
        <f>B1399/100/12+(C1400-1)</f>
        <v/>
      </c>
      <c r="E1400" s="8">
        <f>E1399*(1+D1400)</f>
        <v/>
      </c>
    </row>
    <row r="1401">
      <c r="A1401" s="8" t="inlineStr">
        <is>
          <t>1987-04-01</t>
        </is>
      </c>
      <c r="B1401" s="6" t="n">
        <v>8.02</v>
      </c>
      <c r="C1401" s="8">
        <f>-PV(B1401/100,$B$3,B1400/100,1)</f>
        <v/>
      </c>
      <c r="D1401" s="8">
        <f>B1400/100/12+(C1401-1)</f>
        <v/>
      </c>
      <c r="E1401" s="8">
        <f>E1400*(1+D1401)</f>
        <v/>
      </c>
    </row>
    <row r="1402">
      <c r="A1402" s="8" t="inlineStr">
        <is>
          <t>1987-05-01</t>
        </is>
      </c>
      <c r="B1402" s="6" t="n">
        <v>8.609999999999999</v>
      </c>
      <c r="C1402" s="8">
        <f>-PV(B1402/100,$B$3,B1401/100,1)</f>
        <v/>
      </c>
      <c r="D1402" s="8">
        <f>B1401/100/12+(C1402-1)</f>
        <v/>
      </c>
      <c r="E1402" s="8">
        <f>E1401*(1+D1402)</f>
        <v/>
      </c>
    </row>
    <row r="1403">
      <c r="A1403" s="8" t="inlineStr">
        <is>
          <t>1987-06-01</t>
        </is>
      </c>
      <c r="B1403" s="6" t="n">
        <v>8.4</v>
      </c>
      <c r="C1403" s="8">
        <f>-PV(B1403/100,$B$3,B1402/100,1)</f>
        <v/>
      </c>
      <c r="D1403" s="8">
        <f>B1402/100/12+(C1403-1)</f>
        <v/>
      </c>
      <c r="E1403" s="8">
        <f>E1402*(1+D1403)</f>
        <v/>
      </c>
    </row>
    <row r="1404">
      <c r="A1404" s="8" t="inlineStr">
        <is>
          <t>1987-07-01</t>
        </is>
      </c>
      <c r="B1404" s="6" t="n">
        <v>8.449999999999999</v>
      </c>
      <c r="C1404" s="8">
        <f>-PV(B1404/100,$B$3,B1403/100,1)</f>
        <v/>
      </c>
      <c r="D1404" s="8">
        <f>B1403/100/12+(C1404-1)</f>
        <v/>
      </c>
      <c r="E1404" s="8">
        <f>E1403*(1+D1404)</f>
        <v/>
      </c>
    </row>
    <row r="1405">
      <c r="A1405" s="8" t="inlineStr">
        <is>
          <t>1987-08-01</t>
        </is>
      </c>
      <c r="B1405" s="6" t="n">
        <v>8.76</v>
      </c>
      <c r="C1405" s="8">
        <f>-PV(B1405/100,$B$3,B1404/100,1)</f>
        <v/>
      </c>
      <c r="D1405" s="8">
        <f>B1404/100/12+(C1405-1)</f>
        <v/>
      </c>
      <c r="E1405" s="8">
        <f>E1404*(1+D1405)</f>
        <v/>
      </c>
    </row>
    <row r="1406">
      <c r="A1406" s="8" t="inlineStr">
        <is>
          <t>1987-09-01</t>
        </is>
      </c>
      <c r="B1406" s="6" t="n">
        <v>9.42</v>
      </c>
      <c r="C1406" s="8">
        <f>-PV(B1406/100,$B$3,B1405/100,1)</f>
        <v/>
      </c>
      <c r="D1406" s="8">
        <f>B1405/100/12+(C1406-1)</f>
        <v/>
      </c>
      <c r="E1406" s="8">
        <f>E1405*(1+D1406)</f>
        <v/>
      </c>
    </row>
    <row r="1407">
      <c r="A1407" s="8" t="inlineStr">
        <is>
          <t>1987-10-01</t>
        </is>
      </c>
      <c r="B1407" s="6" t="n">
        <v>9.52</v>
      </c>
      <c r="C1407" s="8">
        <f>-PV(B1407/100,$B$3,B1406/100,1)</f>
        <v/>
      </c>
      <c r="D1407" s="8">
        <f>B1406/100/12+(C1407-1)</f>
        <v/>
      </c>
      <c r="E1407" s="8">
        <f>E1406*(1+D1407)</f>
        <v/>
      </c>
    </row>
    <row r="1408">
      <c r="A1408" s="8" t="inlineStr">
        <is>
          <t>1987-11-01</t>
        </is>
      </c>
      <c r="B1408" s="6" t="n">
        <v>8.859999999999999</v>
      </c>
      <c r="C1408" s="8">
        <f>-PV(B1408/100,$B$3,B1407/100,1)</f>
        <v/>
      </c>
      <c r="D1408" s="8">
        <f>B1407/100/12+(C1408-1)</f>
        <v/>
      </c>
      <c r="E1408" s="8">
        <f>E1407*(1+D1408)</f>
        <v/>
      </c>
    </row>
    <row r="1409">
      <c r="A1409" s="8" t="inlineStr">
        <is>
          <t>1987-12-01</t>
        </is>
      </c>
      <c r="B1409" s="6" t="n">
        <v>8.99</v>
      </c>
      <c r="C1409" s="8">
        <f>-PV(B1409/100,$B$3,B1408/100,1)</f>
        <v/>
      </c>
      <c r="D1409" s="8">
        <f>B1408/100/12+(C1409-1)</f>
        <v/>
      </c>
      <c r="E1409" s="8">
        <f>E1408*(1+D1409)</f>
        <v/>
      </c>
    </row>
    <row r="1410">
      <c r="A1410" s="8" t="inlineStr">
        <is>
          <t>1988-01-01</t>
        </is>
      </c>
      <c r="B1410" s="6" t="n">
        <v>8.67</v>
      </c>
      <c r="C1410" s="8">
        <f>-PV(B1410/100,$B$3,B1409/100,1)</f>
        <v/>
      </c>
      <c r="D1410" s="8">
        <f>B1409/100/12+(C1410-1)</f>
        <v/>
      </c>
      <c r="E1410" s="8">
        <f>E1409*(1+D1410)</f>
        <v/>
      </c>
    </row>
    <row r="1411">
      <c r="A1411" s="8" t="inlineStr">
        <is>
          <t>1988-02-01</t>
        </is>
      </c>
      <c r="B1411" s="6" t="n">
        <v>8.210000000000001</v>
      </c>
      <c r="C1411" s="8">
        <f>-PV(B1411/100,$B$3,B1410/100,1)</f>
        <v/>
      </c>
      <c r="D1411" s="8">
        <f>B1410/100/12+(C1411-1)</f>
        <v/>
      </c>
      <c r="E1411" s="8">
        <f>E1410*(1+D1411)</f>
        <v/>
      </c>
    </row>
    <row r="1412">
      <c r="A1412" s="8" t="inlineStr">
        <is>
          <t>1988-03-01</t>
        </is>
      </c>
      <c r="B1412" s="6" t="n">
        <v>8.369999999999999</v>
      </c>
      <c r="C1412" s="8">
        <f>-PV(B1412/100,$B$3,B1411/100,1)</f>
        <v/>
      </c>
      <c r="D1412" s="8">
        <f>B1411/100/12+(C1412-1)</f>
        <v/>
      </c>
      <c r="E1412" s="8">
        <f>E1411*(1+D1412)</f>
        <v/>
      </c>
    </row>
    <row r="1413">
      <c r="A1413" s="8" t="inlineStr">
        <is>
          <t>1988-04-01</t>
        </is>
      </c>
      <c r="B1413" s="6" t="n">
        <v>8.720000000000001</v>
      </c>
      <c r="C1413" s="8">
        <f>-PV(B1413/100,$B$3,B1412/100,1)</f>
        <v/>
      </c>
      <c r="D1413" s="8">
        <f>B1412/100/12+(C1413-1)</f>
        <v/>
      </c>
      <c r="E1413" s="8">
        <f>E1412*(1+D1413)</f>
        <v/>
      </c>
    </row>
    <row r="1414">
      <c r="A1414" s="8" t="inlineStr">
        <is>
          <t>1988-05-01</t>
        </is>
      </c>
      <c r="B1414" s="6" t="n">
        <v>9.09</v>
      </c>
      <c r="C1414" s="8">
        <f>-PV(B1414/100,$B$3,B1413/100,1)</f>
        <v/>
      </c>
      <c r="D1414" s="8">
        <f>B1413/100/12+(C1414-1)</f>
        <v/>
      </c>
      <c r="E1414" s="8">
        <f>E1413*(1+D1414)</f>
        <v/>
      </c>
    </row>
    <row r="1415">
      <c r="A1415" s="8" t="inlineStr">
        <is>
          <t>1988-06-01</t>
        </is>
      </c>
      <c r="B1415" s="6" t="n">
        <v>8.92</v>
      </c>
      <c r="C1415" s="8">
        <f>-PV(B1415/100,$B$3,B1414/100,1)</f>
        <v/>
      </c>
      <c r="D1415" s="8">
        <f>B1414/100/12+(C1415-1)</f>
        <v/>
      </c>
      <c r="E1415" s="8">
        <f>E1414*(1+D1415)</f>
        <v/>
      </c>
    </row>
    <row r="1416">
      <c r="A1416" s="8" t="inlineStr">
        <is>
          <t>1988-07-01</t>
        </is>
      </c>
      <c r="B1416" s="6" t="n">
        <v>9.06</v>
      </c>
      <c r="C1416" s="8">
        <f>-PV(B1416/100,$B$3,B1415/100,1)</f>
        <v/>
      </c>
      <c r="D1416" s="8">
        <f>B1415/100/12+(C1416-1)</f>
        <v/>
      </c>
      <c r="E1416" s="8">
        <f>E1415*(1+D1416)</f>
        <v/>
      </c>
    </row>
    <row r="1417">
      <c r="A1417" s="8" t="inlineStr">
        <is>
          <t>1988-08-01</t>
        </is>
      </c>
      <c r="B1417" s="6" t="n">
        <v>9.26</v>
      </c>
      <c r="C1417" s="8">
        <f>-PV(B1417/100,$B$3,B1416/100,1)</f>
        <v/>
      </c>
      <c r="D1417" s="8">
        <f>B1416/100/12+(C1417-1)</f>
        <v/>
      </c>
      <c r="E1417" s="8">
        <f>E1416*(1+D1417)</f>
        <v/>
      </c>
    </row>
    <row r="1418">
      <c r="A1418" s="8" t="inlineStr">
        <is>
          <t>1988-09-01</t>
        </is>
      </c>
      <c r="B1418" s="6" t="n">
        <v>8.98</v>
      </c>
      <c r="C1418" s="8">
        <f>-PV(B1418/100,$B$3,B1417/100,1)</f>
        <v/>
      </c>
      <c r="D1418" s="8">
        <f>B1417/100/12+(C1418-1)</f>
        <v/>
      </c>
      <c r="E1418" s="8">
        <f>E1417*(1+D1418)</f>
        <v/>
      </c>
    </row>
    <row r="1419">
      <c r="A1419" s="8" t="inlineStr">
        <is>
          <t>1988-10-01</t>
        </is>
      </c>
      <c r="B1419" s="6" t="n">
        <v>8.800000000000001</v>
      </c>
      <c r="C1419" s="8">
        <f>-PV(B1419/100,$B$3,B1418/100,1)</f>
        <v/>
      </c>
      <c r="D1419" s="8">
        <f>B1418/100/12+(C1419-1)</f>
        <v/>
      </c>
      <c r="E1419" s="8">
        <f>E1418*(1+D1419)</f>
        <v/>
      </c>
    </row>
    <row r="1420">
      <c r="A1420" s="8" t="inlineStr">
        <is>
          <t>1988-11-01</t>
        </is>
      </c>
      <c r="B1420" s="6" t="n">
        <v>8.960000000000001</v>
      </c>
      <c r="C1420" s="8">
        <f>-PV(B1420/100,$B$3,B1419/100,1)</f>
        <v/>
      </c>
      <c r="D1420" s="8">
        <f>B1419/100/12+(C1420-1)</f>
        <v/>
      </c>
      <c r="E1420" s="8">
        <f>E1419*(1+D1420)</f>
        <v/>
      </c>
    </row>
    <row r="1421">
      <c r="A1421" s="8" t="inlineStr">
        <is>
          <t>1988-12-01</t>
        </is>
      </c>
      <c r="B1421" s="6" t="n">
        <v>9.109999999999999</v>
      </c>
      <c r="C1421" s="8">
        <f>-PV(B1421/100,$B$3,B1420/100,1)</f>
        <v/>
      </c>
      <c r="D1421" s="8">
        <f>B1420/100/12+(C1421-1)</f>
        <v/>
      </c>
      <c r="E1421" s="8">
        <f>E1420*(1+D1421)</f>
        <v/>
      </c>
    </row>
    <row r="1422">
      <c r="A1422" s="8" t="inlineStr">
        <is>
          <t>1989-01-01</t>
        </is>
      </c>
      <c r="B1422" s="6" t="n">
        <v>9.09</v>
      </c>
      <c r="C1422" s="8">
        <f>-PV(B1422/100,$B$3,B1421/100,1)</f>
        <v/>
      </c>
      <c r="D1422" s="8">
        <f>B1421/100/12+(C1422-1)</f>
        <v/>
      </c>
      <c r="E1422" s="8">
        <f>E1421*(1+D1422)</f>
        <v/>
      </c>
    </row>
    <row r="1423">
      <c r="A1423" s="8" t="inlineStr">
        <is>
          <t>1989-02-01</t>
        </is>
      </c>
      <c r="B1423" s="6" t="n">
        <v>9.17</v>
      </c>
      <c r="C1423" s="8">
        <f>-PV(B1423/100,$B$3,B1422/100,1)</f>
        <v/>
      </c>
      <c r="D1423" s="8">
        <f>B1422/100/12+(C1423-1)</f>
        <v/>
      </c>
      <c r="E1423" s="8">
        <f>E1422*(1+D1423)</f>
        <v/>
      </c>
    </row>
    <row r="1424">
      <c r="A1424" s="8" t="inlineStr">
        <is>
          <t>1989-03-01</t>
        </is>
      </c>
      <c r="B1424" s="6" t="n">
        <v>9.359999999999999</v>
      </c>
      <c r="C1424" s="8">
        <f>-PV(B1424/100,$B$3,B1423/100,1)</f>
        <v/>
      </c>
      <c r="D1424" s="8">
        <f>B1423/100/12+(C1424-1)</f>
        <v/>
      </c>
      <c r="E1424" s="8">
        <f>E1423*(1+D1424)</f>
        <v/>
      </c>
    </row>
    <row r="1425">
      <c r="A1425" s="8" t="inlineStr">
        <is>
          <t>1989-04-01</t>
        </is>
      </c>
      <c r="B1425" s="6" t="n">
        <v>9.18</v>
      </c>
      <c r="C1425" s="8">
        <f>-PV(B1425/100,$B$3,B1424/100,1)</f>
        <v/>
      </c>
      <c r="D1425" s="8">
        <f>B1424/100/12+(C1425-1)</f>
        <v/>
      </c>
      <c r="E1425" s="8">
        <f>E1424*(1+D1425)</f>
        <v/>
      </c>
    </row>
    <row r="1426">
      <c r="A1426" s="8" t="inlineStr">
        <is>
          <t>1989-05-01</t>
        </is>
      </c>
      <c r="B1426" s="6" t="n">
        <v>8.859999999999999</v>
      </c>
      <c r="C1426" s="8">
        <f>-PV(B1426/100,$B$3,B1425/100,1)</f>
        <v/>
      </c>
      <c r="D1426" s="8">
        <f>B1425/100/12+(C1426-1)</f>
        <v/>
      </c>
      <c r="E1426" s="8">
        <f>E1425*(1+D1426)</f>
        <v/>
      </c>
    </row>
    <row r="1427">
      <c r="A1427" s="8" t="inlineStr">
        <is>
          <t>1989-06-01</t>
        </is>
      </c>
      <c r="B1427" s="6" t="n">
        <v>8.279999999999999</v>
      </c>
      <c r="C1427" s="8">
        <f>-PV(B1427/100,$B$3,B1426/100,1)</f>
        <v/>
      </c>
      <c r="D1427" s="8">
        <f>B1426/100/12+(C1427-1)</f>
        <v/>
      </c>
      <c r="E1427" s="8">
        <f>E1426*(1+D1427)</f>
        <v/>
      </c>
    </row>
    <row r="1428">
      <c r="A1428" s="8" t="inlineStr">
        <is>
          <t>1989-07-01</t>
        </is>
      </c>
      <c r="B1428" s="6" t="n">
        <v>8.02</v>
      </c>
      <c r="C1428" s="8">
        <f>-PV(B1428/100,$B$3,B1427/100,1)</f>
        <v/>
      </c>
      <c r="D1428" s="8">
        <f>B1427/100/12+(C1428-1)</f>
        <v/>
      </c>
      <c r="E1428" s="8">
        <f>E1427*(1+D1428)</f>
        <v/>
      </c>
    </row>
    <row r="1429">
      <c r="A1429" s="8" t="inlineStr">
        <is>
          <t>1989-08-01</t>
        </is>
      </c>
      <c r="B1429" s="6" t="n">
        <v>8.109999999999999</v>
      </c>
      <c r="C1429" s="8">
        <f>-PV(B1429/100,$B$3,B1428/100,1)</f>
        <v/>
      </c>
      <c r="D1429" s="8">
        <f>B1428/100/12+(C1429-1)</f>
        <v/>
      </c>
      <c r="E1429" s="8">
        <f>E1428*(1+D1429)</f>
        <v/>
      </c>
    </row>
    <row r="1430">
      <c r="A1430" s="8" t="inlineStr">
        <is>
          <t>1989-09-01</t>
        </is>
      </c>
      <c r="B1430" s="6" t="n">
        <v>8.19</v>
      </c>
      <c r="C1430" s="8">
        <f>-PV(B1430/100,$B$3,B1429/100,1)</f>
        <v/>
      </c>
      <c r="D1430" s="8">
        <f>B1429/100/12+(C1430-1)</f>
        <v/>
      </c>
      <c r="E1430" s="8">
        <f>E1429*(1+D1430)</f>
        <v/>
      </c>
    </row>
    <row r="1431">
      <c r="A1431" s="8" t="inlineStr">
        <is>
          <t>1989-10-01</t>
        </is>
      </c>
      <c r="B1431" s="6" t="n">
        <v>8.01</v>
      </c>
      <c r="C1431" s="8">
        <f>-PV(B1431/100,$B$3,B1430/100,1)</f>
        <v/>
      </c>
      <c r="D1431" s="8">
        <f>B1430/100/12+(C1431-1)</f>
        <v/>
      </c>
      <c r="E1431" s="8">
        <f>E1430*(1+D1431)</f>
        <v/>
      </c>
    </row>
    <row r="1432">
      <c r="A1432" s="8" t="inlineStr">
        <is>
          <t>1989-11-01</t>
        </is>
      </c>
      <c r="B1432" s="6" t="n">
        <v>7.87</v>
      </c>
      <c r="C1432" s="8">
        <f>-PV(B1432/100,$B$3,B1431/100,1)</f>
        <v/>
      </c>
      <c r="D1432" s="8">
        <f>B1431/100/12+(C1432-1)</f>
        <v/>
      </c>
      <c r="E1432" s="8">
        <f>E1431*(1+D1432)</f>
        <v/>
      </c>
    </row>
    <row r="1433">
      <c r="A1433" s="8" t="inlineStr">
        <is>
          <t>1989-12-01</t>
        </is>
      </c>
      <c r="B1433" s="6" t="n">
        <v>7.84</v>
      </c>
      <c r="C1433" s="8">
        <f>-PV(B1433/100,$B$3,B1432/100,1)</f>
        <v/>
      </c>
      <c r="D1433" s="8">
        <f>B1432/100/12+(C1433-1)</f>
        <v/>
      </c>
      <c r="E1433" s="8">
        <f>E1432*(1+D1433)</f>
        <v/>
      </c>
    </row>
    <row r="1434">
      <c r="A1434" s="8" t="inlineStr">
        <is>
          <t>1990-01-01</t>
        </is>
      </c>
      <c r="B1434" s="6" t="n">
        <v>8.210000000000001</v>
      </c>
      <c r="C1434" s="8">
        <f>-PV(B1434/100,$B$3,B1433/100,1)</f>
        <v/>
      </c>
      <c r="D1434" s="8">
        <f>B1433/100/12+(C1434-1)</f>
        <v/>
      </c>
      <c r="E1434" s="8">
        <f>E1433*(1+D1434)</f>
        <v/>
      </c>
    </row>
    <row r="1435">
      <c r="A1435" s="8" t="inlineStr">
        <is>
          <t>1990-02-01</t>
        </is>
      </c>
      <c r="B1435" s="6" t="n">
        <v>8.470000000000001</v>
      </c>
      <c r="C1435" s="8">
        <f>-PV(B1435/100,$B$3,B1434/100,1)</f>
        <v/>
      </c>
      <c r="D1435" s="8">
        <f>B1434/100/12+(C1435-1)</f>
        <v/>
      </c>
      <c r="E1435" s="8">
        <f>E1434*(1+D1435)</f>
        <v/>
      </c>
    </row>
    <row r="1436">
      <c r="A1436" s="8" t="inlineStr">
        <is>
          <t>1990-03-01</t>
        </is>
      </c>
      <c r="B1436" s="6" t="n">
        <v>8.59</v>
      </c>
      <c r="C1436" s="8">
        <f>-PV(B1436/100,$B$3,B1435/100,1)</f>
        <v/>
      </c>
      <c r="D1436" s="8">
        <f>B1435/100/12+(C1436-1)</f>
        <v/>
      </c>
      <c r="E1436" s="8">
        <f>E1435*(1+D1436)</f>
        <v/>
      </c>
    </row>
    <row r="1437">
      <c r="A1437" s="8" t="inlineStr">
        <is>
          <t>1990-04-01</t>
        </is>
      </c>
      <c r="B1437" s="6" t="n">
        <v>8.789999999999999</v>
      </c>
      <c r="C1437" s="8">
        <f>-PV(B1437/100,$B$3,B1436/100,1)</f>
        <v/>
      </c>
      <c r="D1437" s="8">
        <f>B1436/100/12+(C1437-1)</f>
        <v/>
      </c>
      <c r="E1437" s="8">
        <f>E1436*(1+D1437)</f>
        <v/>
      </c>
    </row>
    <row r="1438">
      <c r="A1438" s="8" t="inlineStr">
        <is>
          <t>1990-05-01</t>
        </is>
      </c>
      <c r="B1438" s="6" t="n">
        <v>8.76</v>
      </c>
      <c r="C1438" s="8">
        <f>-PV(B1438/100,$B$3,B1437/100,1)</f>
        <v/>
      </c>
      <c r="D1438" s="8">
        <f>B1437/100/12+(C1438-1)</f>
        <v/>
      </c>
      <c r="E1438" s="8">
        <f>E1437*(1+D1438)</f>
        <v/>
      </c>
    </row>
    <row r="1439">
      <c r="A1439" s="8" t="inlineStr">
        <is>
          <t>1990-06-01</t>
        </is>
      </c>
      <c r="B1439" s="6" t="n">
        <v>8.48</v>
      </c>
      <c r="C1439" s="8">
        <f>-PV(B1439/100,$B$3,B1438/100,1)</f>
        <v/>
      </c>
      <c r="D1439" s="8">
        <f>B1438/100/12+(C1439-1)</f>
        <v/>
      </c>
      <c r="E1439" s="8">
        <f>E1438*(1+D1439)</f>
        <v/>
      </c>
    </row>
    <row r="1440">
      <c r="A1440" s="8" t="inlineStr">
        <is>
          <t>1990-07-01</t>
        </is>
      </c>
      <c r="B1440" s="6" t="n">
        <v>8.470000000000001</v>
      </c>
      <c r="C1440" s="8">
        <f>-PV(B1440/100,$B$3,B1439/100,1)</f>
        <v/>
      </c>
      <c r="D1440" s="8">
        <f>B1439/100/12+(C1440-1)</f>
        <v/>
      </c>
      <c r="E1440" s="8">
        <f>E1439*(1+D1440)</f>
        <v/>
      </c>
    </row>
    <row r="1441">
      <c r="A1441" s="8" t="inlineStr">
        <is>
          <t>1990-08-01</t>
        </is>
      </c>
      <c r="B1441" s="6" t="n">
        <v>8.75</v>
      </c>
      <c r="C1441" s="8">
        <f>-PV(B1441/100,$B$3,B1440/100,1)</f>
        <v/>
      </c>
      <c r="D1441" s="8">
        <f>B1440/100/12+(C1441-1)</f>
        <v/>
      </c>
      <c r="E1441" s="8">
        <f>E1440*(1+D1441)</f>
        <v/>
      </c>
    </row>
    <row r="1442">
      <c r="A1442" s="8" t="inlineStr">
        <is>
          <t>1990-09-01</t>
        </is>
      </c>
      <c r="B1442" s="6" t="n">
        <v>8.890000000000001</v>
      </c>
      <c r="C1442" s="8">
        <f>-PV(B1442/100,$B$3,B1441/100,1)</f>
        <v/>
      </c>
      <c r="D1442" s="8">
        <f>B1441/100/12+(C1442-1)</f>
        <v/>
      </c>
      <c r="E1442" s="8">
        <f>E1441*(1+D1442)</f>
        <v/>
      </c>
    </row>
    <row r="1443">
      <c r="A1443" s="8" t="inlineStr">
        <is>
          <t>1990-10-01</t>
        </is>
      </c>
      <c r="B1443" s="6" t="n">
        <v>8.720000000000001</v>
      </c>
      <c r="C1443" s="8">
        <f>-PV(B1443/100,$B$3,B1442/100,1)</f>
        <v/>
      </c>
      <c r="D1443" s="8">
        <f>B1442/100/12+(C1443-1)</f>
        <v/>
      </c>
      <c r="E1443" s="8">
        <f>E1442*(1+D1443)</f>
        <v/>
      </c>
    </row>
    <row r="1444">
      <c r="A1444" s="8" t="inlineStr">
        <is>
          <t>1990-11-01</t>
        </is>
      </c>
      <c r="B1444" s="6" t="n">
        <v>8.390000000000001</v>
      </c>
      <c r="C1444" s="8">
        <f>-PV(B1444/100,$B$3,B1443/100,1)</f>
        <v/>
      </c>
      <c r="D1444" s="8">
        <f>B1443/100/12+(C1444-1)</f>
        <v/>
      </c>
      <c r="E1444" s="8">
        <f>E1443*(1+D1444)</f>
        <v/>
      </c>
    </row>
    <row r="1445">
      <c r="A1445" s="8" t="inlineStr">
        <is>
          <t>1990-12-01</t>
        </is>
      </c>
      <c r="B1445" s="6" t="n">
        <v>8.08</v>
      </c>
      <c r="C1445" s="8">
        <f>-PV(B1445/100,$B$3,B1444/100,1)</f>
        <v/>
      </c>
      <c r="D1445" s="8">
        <f>B1444/100/12+(C1445-1)</f>
        <v/>
      </c>
      <c r="E1445" s="8">
        <f>E1444*(1+D1445)</f>
        <v/>
      </c>
    </row>
    <row r="1446">
      <c r="A1446" s="8" t="inlineStr">
        <is>
          <t>1991-01-01</t>
        </is>
      </c>
      <c r="B1446" s="6" t="n">
        <v>8.09</v>
      </c>
      <c r="C1446" s="8">
        <f>-PV(B1446/100,$B$3,B1445/100,1)</f>
        <v/>
      </c>
      <c r="D1446" s="8">
        <f>B1445/100/12+(C1446-1)</f>
        <v/>
      </c>
      <c r="E1446" s="8">
        <f>E1445*(1+D1446)</f>
        <v/>
      </c>
    </row>
    <row r="1447">
      <c r="A1447" s="8" t="inlineStr">
        <is>
          <t>1991-02-01</t>
        </is>
      </c>
      <c r="B1447" s="6" t="n">
        <v>7.85</v>
      </c>
      <c r="C1447" s="8">
        <f>-PV(B1447/100,$B$3,B1446/100,1)</f>
        <v/>
      </c>
      <c r="D1447" s="8">
        <f>B1446/100/12+(C1447-1)</f>
        <v/>
      </c>
      <c r="E1447" s="8">
        <f>E1446*(1+D1447)</f>
        <v/>
      </c>
    </row>
    <row r="1448">
      <c r="A1448" s="8" t="inlineStr">
        <is>
          <t>1991-03-01</t>
        </is>
      </c>
      <c r="B1448" s="6" t="n">
        <v>8.109999999999999</v>
      </c>
      <c r="C1448" s="8">
        <f>-PV(B1448/100,$B$3,B1447/100,1)</f>
        <v/>
      </c>
      <c r="D1448" s="8">
        <f>B1447/100/12+(C1448-1)</f>
        <v/>
      </c>
      <c r="E1448" s="8">
        <f>E1447*(1+D1448)</f>
        <v/>
      </c>
    </row>
    <row r="1449">
      <c r="A1449" s="8" t="inlineStr">
        <is>
          <t>1991-04-01</t>
        </is>
      </c>
      <c r="B1449" s="6" t="n">
        <v>8.039999999999999</v>
      </c>
      <c r="C1449" s="8">
        <f>-PV(B1449/100,$B$3,B1448/100,1)</f>
        <v/>
      </c>
      <c r="D1449" s="8">
        <f>B1448/100/12+(C1449-1)</f>
        <v/>
      </c>
      <c r="E1449" s="8">
        <f>E1448*(1+D1449)</f>
        <v/>
      </c>
    </row>
    <row r="1450">
      <c r="A1450" s="8" t="inlineStr">
        <is>
          <t>1991-05-01</t>
        </is>
      </c>
      <c r="B1450" s="6" t="n">
        <v>8.07</v>
      </c>
      <c r="C1450" s="8">
        <f>-PV(B1450/100,$B$3,B1449/100,1)</f>
        <v/>
      </c>
      <c r="D1450" s="8">
        <f>B1449/100/12+(C1450-1)</f>
        <v/>
      </c>
      <c r="E1450" s="8">
        <f>E1449*(1+D1450)</f>
        <v/>
      </c>
    </row>
    <row r="1451">
      <c r="A1451" s="8" t="inlineStr">
        <is>
          <t>1991-06-01</t>
        </is>
      </c>
      <c r="B1451" s="6" t="n">
        <v>8.279999999999999</v>
      </c>
      <c r="C1451" s="8">
        <f>-PV(B1451/100,$B$3,B1450/100,1)</f>
        <v/>
      </c>
      <c r="D1451" s="8">
        <f>B1450/100/12+(C1451-1)</f>
        <v/>
      </c>
      <c r="E1451" s="8">
        <f>E1450*(1+D1451)</f>
        <v/>
      </c>
    </row>
    <row r="1452">
      <c r="A1452" s="8" t="inlineStr">
        <is>
          <t>1991-07-01</t>
        </is>
      </c>
      <c r="B1452" s="6" t="n">
        <v>8.27</v>
      </c>
      <c r="C1452" s="8">
        <f>-PV(B1452/100,$B$3,B1451/100,1)</f>
        <v/>
      </c>
      <c r="D1452" s="8">
        <f>B1451/100/12+(C1452-1)</f>
        <v/>
      </c>
      <c r="E1452" s="8">
        <f>E1451*(1+D1452)</f>
        <v/>
      </c>
    </row>
    <row r="1453">
      <c r="A1453" s="8" t="inlineStr">
        <is>
          <t>1991-08-01</t>
        </is>
      </c>
      <c r="B1453" s="6" t="n">
        <v>7.9</v>
      </c>
      <c r="C1453" s="8">
        <f>-PV(B1453/100,$B$3,B1452/100,1)</f>
        <v/>
      </c>
      <c r="D1453" s="8">
        <f>B1452/100/12+(C1453-1)</f>
        <v/>
      </c>
      <c r="E1453" s="8">
        <f>E1452*(1+D1453)</f>
        <v/>
      </c>
    </row>
    <row r="1454">
      <c r="A1454" s="8" t="inlineStr">
        <is>
          <t>1991-09-01</t>
        </is>
      </c>
      <c r="B1454" s="6" t="n">
        <v>7.65</v>
      </c>
      <c r="C1454" s="8">
        <f>-PV(B1454/100,$B$3,B1453/100,1)</f>
        <v/>
      </c>
      <c r="D1454" s="8">
        <f>B1453/100/12+(C1454-1)</f>
        <v/>
      </c>
      <c r="E1454" s="8">
        <f>E1453*(1+D1454)</f>
        <v/>
      </c>
    </row>
    <row r="1455">
      <c r="A1455" s="8" t="inlineStr">
        <is>
          <t>1991-10-01</t>
        </is>
      </c>
      <c r="B1455" s="6" t="n">
        <v>7.53</v>
      </c>
      <c r="C1455" s="8">
        <f>-PV(B1455/100,$B$3,B1454/100,1)</f>
        <v/>
      </c>
      <c r="D1455" s="8">
        <f>B1454/100/12+(C1455-1)</f>
        <v/>
      </c>
      <c r="E1455" s="8">
        <f>E1454*(1+D1455)</f>
        <v/>
      </c>
    </row>
    <row r="1456">
      <c r="A1456" s="8" t="inlineStr">
        <is>
          <t>1991-11-01</t>
        </is>
      </c>
      <c r="B1456" s="6" t="n">
        <v>7.42</v>
      </c>
      <c r="C1456" s="8">
        <f>-PV(B1456/100,$B$3,B1455/100,1)</f>
        <v/>
      </c>
      <c r="D1456" s="8">
        <f>B1455/100/12+(C1456-1)</f>
        <v/>
      </c>
      <c r="E1456" s="8">
        <f>E1455*(1+D1456)</f>
        <v/>
      </c>
    </row>
    <row r="1457">
      <c r="A1457" s="8" t="inlineStr">
        <is>
          <t>1991-12-01</t>
        </is>
      </c>
      <c r="B1457" s="6" t="n">
        <v>7.09</v>
      </c>
      <c r="C1457" s="8">
        <f>-PV(B1457/100,$B$3,B1456/100,1)</f>
        <v/>
      </c>
      <c r="D1457" s="8">
        <f>B1456/100/12+(C1457-1)</f>
        <v/>
      </c>
      <c r="E1457" s="8">
        <f>E1456*(1+D1457)</f>
        <v/>
      </c>
    </row>
    <row r="1458">
      <c r="A1458" s="8" t="inlineStr">
        <is>
          <t>1992-01-01</t>
        </is>
      </c>
      <c r="B1458" s="6" t="n">
        <v>7.03</v>
      </c>
      <c r="C1458" s="8">
        <f>-PV(B1458/100,$B$3,B1457/100,1)</f>
        <v/>
      </c>
      <c r="D1458" s="8">
        <f>B1457/100/12+(C1458-1)</f>
        <v/>
      </c>
      <c r="E1458" s="8">
        <f>E1457*(1+D1458)</f>
        <v/>
      </c>
    </row>
    <row r="1459">
      <c r="A1459" s="8" t="inlineStr">
        <is>
          <t>1992-02-01</t>
        </is>
      </c>
      <c r="B1459" s="6" t="n">
        <v>7.34</v>
      </c>
      <c r="C1459" s="8">
        <f>-PV(B1459/100,$B$3,B1458/100,1)</f>
        <v/>
      </c>
      <c r="D1459" s="8">
        <f>B1458/100/12+(C1459-1)</f>
        <v/>
      </c>
      <c r="E1459" s="8">
        <f>E1458*(1+D1459)</f>
        <v/>
      </c>
    </row>
    <row r="1460">
      <c r="A1460" s="8" t="inlineStr">
        <is>
          <t>1992-03-01</t>
        </is>
      </c>
      <c r="B1460" s="6" t="n">
        <v>7.54</v>
      </c>
      <c r="C1460" s="8">
        <f>-PV(B1460/100,$B$3,B1459/100,1)</f>
        <v/>
      </c>
      <c r="D1460" s="8">
        <f>B1459/100/12+(C1460-1)</f>
        <v/>
      </c>
      <c r="E1460" s="8">
        <f>E1459*(1+D1460)</f>
        <v/>
      </c>
    </row>
    <row r="1461">
      <c r="A1461" s="8" t="inlineStr">
        <is>
          <t>1992-04-01</t>
        </is>
      </c>
      <c r="B1461" s="6" t="n">
        <v>7.48</v>
      </c>
      <c r="C1461" s="8">
        <f>-PV(B1461/100,$B$3,B1460/100,1)</f>
        <v/>
      </c>
      <c r="D1461" s="8">
        <f>B1460/100/12+(C1461-1)</f>
        <v/>
      </c>
      <c r="E1461" s="8">
        <f>E1460*(1+D1461)</f>
        <v/>
      </c>
    </row>
    <row r="1462">
      <c r="A1462" s="8" t="inlineStr">
        <is>
          <t>1992-05-01</t>
        </is>
      </c>
      <c r="B1462" s="6" t="n">
        <v>7.39</v>
      </c>
      <c r="C1462" s="8">
        <f>-PV(B1462/100,$B$3,B1461/100,1)</f>
        <v/>
      </c>
      <c r="D1462" s="8">
        <f>B1461/100/12+(C1462-1)</f>
        <v/>
      </c>
      <c r="E1462" s="8">
        <f>E1461*(1+D1462)</f>
        <v/>
      </c>
    </row>
    <row r="1463">
      <c r="A1463" s="8" t="inlineStr">
        <is>
          <t>1992-06-01</t>
        </is>
      </c>
      <c r="B1463" s="6" t="n">
        <v>7.26</v>
      </c>
      <c r="C1463" s="8">
        <f>-PV(B1463/100,$B$3,B1462/100,1)</f>
        <v/>
      </c>
      <c r="D1463" s="8">
        <f>B1462/100/12+(C1463-1)</f>
        <v/>
      </c>
      <c r="E1463" s="8">
        <f>E1462*(1+D1463)</f>
        <v/>
      </c>
    </row>
    <row r="1464">
      <c r="A1464" s="8" t="inlineStr">
        <is>
          <t>1992-07-01</t>
        </is>
      </c>
      <c r="B1464" s="6" t="n">
        <v>6.84</v>
      </c>
      <c r="C1464" s="8">
        <f>-PV(B1464/100,$B$3,B1463/100,1)</f>
        <v/>
      </c>
      <c r="D1464" s="8">
        <f>B1463/100/12+(C1464-1)</f>
        <v/>
      </c>
      <c r="E1464" s="8">
        <f>E1463*(1+D1464)</f>
        <v/>
      </c>
    </row>
    <row r="1465">
      <c r="A1465" s="8" t="inlineStr">
        <is>
          <t>1992-08-01</t>
        </is>
      </c>
      <c r="B1465" s="6" t="n">
        <v>6.59</v>
      </c>
      <c r="C1465" s="8">
        <f>-PV(B1465/100,$B$3,B1464/100,1)</f>
        <v/>
      </c>
      <c r="D1465" s="8">
        <f>B1464/100/12+(C1465-1)</f>
        <v/>
      </c>
      <c r="E1465" s="8">
        <f>E1464*(1+D1465)</f>
        <v/>
      </c>
    </row>
    <row r="1466">
      <c r="A1466" s="8" t="inlineStr">
        <is>
          <t>1992-09-01</t>
        </is>
      </c>
      <c r="B1466" s="6" t="n">
        <v>6.42</v>
      </c>
      <c r="C1466" s="8">
        <f>-PV(B1466/100,$B$3,B1465/100,1)</f>
        <v/>
      </c>
      <c r="D1466" s="8">
        <f>B1465/100/12+(C1466-1)</f>
        <v/>
      </c>
      <c r="E1466" s="8">
        <f>E1465*(1+D1466)</f>
        <v/>
      </c>
    </row>
    <row r="1467">
      <c r="A1467" s="8" t="inlineStr">
        <is>
          <t>1992-10-01</t>
        </is>
      </c>
      <c r="B1467" s="6" t="n">
        <v>6.59</v>
      </c>
      <c r="C1467" s="8">
        <f>-PV(B1467/100,$B$3,B1466/100,1)</f>
        <v/>
      </c>
      <c r="D1467" s="8">
        <f>B1466/100/12+(C1467-1)</f>
        <v/>
      </c>
      <c r="E1467" s="8">
        <f>E1466*(1+D1467)</f>
        <v/>
      </c>
    </row>
    <row r="1468">
      <c r="A1468" s="8" t="inlineStr">
        <is>
          <t>1992-11-01</t>
        </is>
      </c>
      <c r="B1468" s="6" t="n">
        <v>6.87</v>
      </c>
      <c r="C1468" s="8">
        <f>-PV(B1468/100,$B$3,B1467/100,1)</f>
        <v/>
      </c>
      <c r="D1468" s="8">
        <f>B1467/100/12+(C1468-1)</f>
        <v/>
      </c>
      <c r="E1468" s="8">
        <f>E1467*(1+D1468)</f>
        <v/>
      </c>
    </row>
    <row r="1469">
      <c r="A1469" s="8" t="inlineStr">
        <is>
          <t>1992-12-01</t>
        </is>
      </c>
      <c r="B1469" s="6" t="n">
        <v>6.77</v>
      </c>
      <c r="C1469" s="8">
        <f>-PV(B1469/100,$B$3,B1468/100,1)</f>
        <v/>
      </c>
      <c r="D1469" s="8">
        <f>B1468/100/12+(C1469-1)</f>
        <v/>
      </c>
      <c r="E1469" s="8">
        <f>E1468*(1+D1469)</f>
        <v/>
      </c>
    </row>
    <row r="1470">
      <c r="A1470" s="8" t="inlineStr">
        <is>
          <t>1993-01-01</t>
        </is>
      </c>
      <c r="B1470" s="6" t="n">
        <v>6.6</v>
      </c>
      <c r="C1470" s="8">
        <f>-PV(B1470/100,$B$3,B1469/100,1)</f>
        <v/>
      </c>
      <c r="D1470" s="8">
        <f>B1469/100/12+(C1470-1)</f>
        <v/>
      </c>
      <c r="E1470" s="8">
        <f>E1469*(1+D1470)</f>
        <v/>
      </c>
    </row>
    <row r="1471">
      <c r="A1471" s="8" t="inlineStr">
        <is>
          <t>1993-02-01</t>
        </is>
      </c>
      <c r="B1471" s="6" t="n">
        <v>6.26</v>
      </c>
      <c r="C1471" s="8">
        <f>-PV(B1471/100,$B$3,B1470/100,1)</f>
        <v/>
      </c>
      <c r="D1471" s="8">
        <f>B1470/100/12+(C1471-1)</f>
        <v/>
      </c>
      <c r="E1471" s="8">
        <f>E1470*(1+D1471)</f>
        <v/>
      </c>
    </row>
    <row r="1472">
      <c r="A1472" s="8" t="inlineStr">
        <is>
          <t>1993-03-01</t>
        </is>
      </c>
      <c r="B1472" s="6" t="n">
        <v>5.98</v>
      </c>
      <c r="C1472" s="8">
        <f>-PV(B1472/100,$B$3,B1471/100,1)</f>
        <v/>
      </c>
      <c r="D1472" s="8">
        <f>B1471/100/12+(C1472-1)</f>
        <v/>
      </c>
      <c r="E1472" s="8">
        <f>E1471*(1+D1472)</f>
        <v/>
      </c>
    </row>
    <row r="1473">
      <c r="A1473" s="8" t="inlineStr">
        <is>
          <t>1993-04-01</t>
        </is>
      </c>
      <c r="B1473" s="6" t="n">
        <v>5.97</v>
      </c>
      <c r="C1473" s="8">
        <f>-PV(B1473/100,$B$3,B1472/100,1)</f>
        <v/>
      </c>
      <c r="D1473" s="8">
        <f>B1472/100/12+(C1473-1)</f>
        <v/>
      </c>
      <c r="E1473" s="8">
        <f>E1472*(1+D1473)</f>
        <v/>
      </c>
    </row>
    <row r="1474">
      <c r="A1474" s="8" t="inlineStr">
        <is>
          <t>1993-05-01</t>
        </is>
      </c>
      <c r="B1474" s="6" t="n">
        <v>6.04</v>
      </c>
      <c r="C1474" s="8">
        <f>-PV(B1474/100,$B$3,B1473/100,1)</f>
        <v/>
      </c>
      <c r="D1474" s="8">
        <f>B1473/100/12+(C1474-1)</f>
        <v/>
      </c>
      <c r="E1474" s="8">
        <f>E1473*(1+D1474)</f>
        <v/>
      </c>
    </row>
    <row r="1475">
      <c r="A1475" s="8" t="inlineStr">
        <is>
          <t>1993-06-01</t>
        </is>
      </c>
      <c r="B1475" s="6" t="n">
        <v>5.96</v>
      </c>
      <c r="C1475" s="8">
        <f>-PV(B1475/100,$B$3,B1474/100,1)</f>
        <v/>
      </c>
      <c r="D1475" s="8">
        <f>B1474/100/12+(C1475-1)</f>
        <v/>
      </c>
      <c r="E1475" s="8">
        <f>E1474*(1+D1475)</f>
        <v/>
      </c>
    </row>
    <row r="1476">
      <c r="A1476" s="8" t="inlineStr">
        <is>
          <t>1993-07-01</t>
        </is>
      </c>
      <c r="B1476" s="6" t="n">
        <v>5.81</v>
      </c>
      <c r="C1476" s="8">
        <f>-PV(B1476/100,$B$3,B1475/100,1)</f>
        <v/>
      </c>
      <c r="D1476" s="8">
        <f>B1475/100/12+(C1476-1)</f>
        <v/>
      </c>
      <c r="E1476" s="8">
        <f>E1475*(1+D1476)</f>
        <v/>
      </c>
    </row>
    <row r="1477">
      <c r="A1477" s="8" t="inlineStr">
        <is>
          <t>1993-08-01</t>
        </is>
      </c>
      <c r="B1477" s="6" t="n">
        <v>5.68</v>
      </c>
      <c r="C1477" s="8">
        <f>-PV(B1477/100,$B$3,B1476/100,1)</f>
        <v/>
      </c>
      <c r="D1477" s="8">
        <f>B1476/100/12+(C1477-1)</f>
        <v/>
      </c>
      <c r="E1477" s="8">
        <f>E1476*(1+D1477)</f>
        <v/>
      </c>
    </row>
    <row r="1478">
      <c r="A1478" s="8" t="inlineStr">
        <is>
          <t>1993-09-01</t>
        </is>
      </c>
      <c r="B1478" s="6" t="n">
        <v>5.36</v>
      </c>
      <c r="C1478" s="8">
        <f>-PV(B1478/100,$B$3,B1477/100,1)</f>
        <v/>
      </c>
      <c r="D1478" s="8">
        <f>B1477/100/12+(C1478-1)</f>
        <v/>
      </c>
      <c r="E1478" s="8">
        <f>E1477*(1+D1478)</f>
        <v/>
      </c>
    </row>
    <row r="1479">
      <c r="A1479" s="8" t="inlineStr">
        <is>
          <t>1993-10-01</t>
        </is>
      </c>
      <c r="B1479" s="6" t="n">
        <v>5.33</v>
      </c>
      <c r="C1479" s="8">
        <f>-PV(B1479/100,$B$3,B1478/100,1)</f>
        <v/>
      </c>
      <c r="D1479" s="8">
        <f>B1478/100/12+(C1479-1)</f>
        <v/>
      </c>
      <c r="E1479" s="8">
        <f>E1478*(1+D1479)</f>
        <v/>
      </c>
    </row>
    <row r="1480">
      <c r="A1480" s="8" t="inlineStr">
        <is>
          <t>1993-11-01</t>
        </is>
      </c>
      <c r="B1480" s="6" t="n">
        <v>5.72</v>
      </c>
      <c r="C1480" s="8">
        <f>-PV(B1480/100,$B$3,B1479/100,1)</f>
        <v/>
      </c>
      <c r="D1480" s="8">
        <f>B1479/100/12+(C1480-1)</f>
        <v/>
      </c>
      <c r="E1480" s="8">
        <f>E1479*(1+D1480)</f>
        <v/>
      </c>
    </row>
    <row r="1481">
      <c r="A1481" s="8" t="inlineStr">
        <is>
          <t>1993-12-01</t>
        </is>
      </c>
      <c r="B1481" s="6" t="n">
        <v>5.77</v>
      </c>
      <c r="C1481" s="8">
        <f>-PV(B1481/100,$B$3,B1480/100,1)</f>
        <v/>
      </c>
      <c r="D1481" s="8">
        <f>B1480/100/12+(C1481-1)</f>
        <v/>
      </c>
      <c r="E1481" s="8">
        <f>E1480*(1+D1481)</f>
        <v/>
      </c>
    </row>
    <row r="1482">
      <c r="A1482" s="8" t="inlineStr">
        <is>
          <t>1994-01-01</t>
        </is>
      </c>
      <c r="B1482" s="6" t="n">
        <v>5.75</v>
      </c>
      <c r="C1482" s="8">
        <f>-PV(B1482/100,$B$3,B1481/100,1)</f>
        <v/>
      </c>
      <c r="D1482" s="8">
        <f>B1481/100/12+(C1482-1)</f>
        <v/>
      </c>
      <c r="E1482" s="8">
        <f>E1481*(1+D1482)</f>
        <v/>
      </c>
    </row>
    <row r="1483">
      <c r="A1483" s="8" t="inlineStr">
        <is>
          <t>1994-02-01</t>
        </is>
      </c>
      <c r="B1483" s="6" t="n">
        <v>5.97</v>
      </c>
      <c r="C1483" s="8">
        <f>-PV(B1483/100,$B$3,B1482/100,1)</f>
        <v/>
      </c>
      <c r="D1483" s="8">
        <f>B1482/100/12+(C1483-1)</f>
        <v/>
      </c>
      <c r="E1483" s="8">
        <f>E1482*(1+D1483)</f>
        <v/>
      </c>
    </row>
    <row r="1484">
      <c r="A1484" s="8" t="inlineStr">
        <is>
          <t>1994-03-01</t>
        </is>
      </c>
      <c r="B1484" s="6" t="n">
        <v>6.48</v>
      </c>
      <c r="C1484" s="8">
        <f>-PV(B1484/100,$B$3,B1483/100,1)</f>
        <v/>
      </c>
      <c r="D1484" s="8">
        <f>B1483/100/12+(C1484-1)</f>
        <v/>
      </c>
      <c r="E1484" s="8">
        <f>E1483*(1+D1484)</f>
        <v/>
      </c>
    </row>
    <row r="1485">
      <c r="A1485" s="8" t="inlineStr">
        <is>
          <t>1994-04-01</t>
        </is>
      </c>
      <c r="B1485" s="6" t="n">
        <v>6.97</v>
      </c>
      <c r="C1485" s="8">
        <f>-PV(B1485/100,$B$3,B1484/100,1)</f>
        <v/>
      </c>
      <c r="D1485" s="8">
        <f>B1484/100/12+(C1485-1)</f>
        <v/>
      </c>
      <c r="E1485" s="8">
        <f>E1484*(1+D1485)</f>
        <v/>
      </c>
    </row>
    <row r="1486">
      <c r="A1486" s="8" t="inlineStr">
        <is>
          <t>1994-05-01</t>
        </is>
      </c>
      <c r="B1486" s="6" t="n">
        <v>7.18</v>
      </c>
      <c r="C1486" s="8">
        <f>-PV(B1486/100,$B$3,B1485/100,1)</f>
        <v/>
      </c>
      <c r="D1486" s="8">
        <f>B1485/100/12+(C1486-1)</f>
        <v/>
      </c>
      <c r="E1486" s="8">
        <f>E1485*(1+D1486)</f>
        <v/>
      </c>
    </row>
    <row r="1487">
      <c r="A1487" s="8" t="inlineStr">
        <is>
          <t>1994-06-01</t>
        </is>
      </c>
      <c r="B1487" s="6" t="n">
        <v>7.1</v>
      </c>
      <c r="C1487" s="8">
        <f>-PV(B1487/100,$B$3,B1486/100,1)</f>
        <v/>
      </c>
      <c r="D1487" s="8">
        <f>B1486/100/12+(C1487-1)</f>
        <v/>
      </c>
      <c r="E1487" s="8">
        <f>E1486*(1+D1487)</f>
        <v/>
      </c>
    </row>
    <row r="1488">
      <c r="A1488" s="8" t="inlineStr">
        <is>
          <t>1994-07-01</t>
        </is>
      </c>
      <c r="B1488" s="6" t="n">
        <v>7.3</v>
      </c>
      <c r="C1488" s="8">
        <f>-PV(B1488/100,$B$3,B1487/100,1)</f>
        <v/>
      </c>
      <c r="D1488" s="8">
        <f>B1487/100/12+(C1488-1)</f>
        <v/>
      </c>
      <c r="E1488" s="8">
        <f>E1487*(1+D1488)</f>
        <v/>
      </c>
    </row>
    <row r="1489">
      <c r="A1489" s="8" t="inlineStr">
        <is>
          <t>1994-08-01</t>
        </is>
      </c>
      <c r="B1489" s="6" t="n">
        <v>7.24</v>
      </c>
      <c r="C1489" s="8">
        <f>-PV(B1489/100,$B$3,B1488/100,1)</f>
        <v/>
      </c>
      <c r="D1489" s="8">
        <f>B1488/100/12+(C1489-1)</f>
        <v/>
      </c>
      <c r="E1489" s="8">
        <f>E1488*(1+D1489)</f>
        <v/>
      </c>
    </row>
    <row r="1490">
      <c r="A1490" s="8" t="inlineStr">
        <is>
          <t>1994-09-01</t>
        </is>
      </c>
      <c r="B1490" s="6" t="n">
        <v>7.46</v>
      </c>
      <c r="C1490" s="8">
        <f>-PV(B1490/100,$B$3,B1489/100,1)</f>
        <v/>
      </c>
      <c r="D1490" s="8">
        <f>B1489/100/12+(C1490-1)</f>
        <v/>
      </c>
      <c r="E1490" s="8">
        <f>E1489*(1+D1490)</f>
        <v/>
      </c>
    </row>
    <row r="1491">
      <c r="A1491" s="8" t="inlineStr">
        <is>
          <t>1994-10-01</t>
        </is>
      </c>
      <c r="B1491" s="6" t="n">
        <v>7.74</v>
      </c>
      <c r="C1491" s="8">
        <f>-PV(B1491/100,$B$3,B1490/100,1)</f>
        <v/>
      </c>
      <c r="D1491" s="8">
        <f>B1490/100/12+(C1491-1)</f>
        <v/>
      </c>
      <c r="E1491" s="8">
        <f>E1490*(1+D1491)</f>
        <v/>
      </c>
    </row>
    <row r="1492">
      <c r="A1492" s="8" t="inlineStr">
        <is>
          <t>1994-11-01</t>
        </is>
      </c>
      <c r="B1492" s="6" t="n">
        <v>7.96</v>
      </c>
      <c r="C1492" s="8">
        <f>-PV(B1492/100,$B$3,B1491/100,1)</f>
        <v/>
      </c>
      <c r="D1492" s="8">
        <f>B1491/100/12+(C1492-1)</f>
        <v/>
      </c>
      <c r="E1492" s="8">
        <f>E1491*(1+D1492)</f>
        <v/>
      </c>
    </row>
    <row r="1493">
      <c r="A1493" s="8" t="inlineStr">
        <is>
          <t>1994-12-01</t>
        </is>
      </c>
      <c r="B1493" s="6" t="n">
        <v>7.81</v>
      </c>
      <c r="C1493" s="8">
        <f>-PV(B1493/100,$B$3,B1492/100,1)</f>
        <v/>
      </c>
      <c r="D1493" s="8">
        <f>B1492/100/12+(C1493-1)</f>
        <v/>
      </c>
      <c r="E1493" s="8">
        <f>E1492*(1+D1493)</f>
        <v/>
      </c>
    </row>
    <row r="1494">
      <c r="A1494" s="8" t="inlineStr">
        <is>
          <t>1995-01-01</t>
        </is>
      </c>
      <c r="B1494" s="6" t="n">
        <v>7.78</v>
      </c>
      <c r="C1494" s="8">
        <f>-PV(B1494/100,$B$3,B1493/100,1)</f>
        <v/>
      </c>
      <c r="D1494" s="8">
        <f>B1493/100/12+(C1494-1)</f>
        <v/>
      </c>
      <c r="E1494" s="8">
        <f>E1493*(1+D1494)</f>
        <v/>
      </c>
    </row>
    <row r="1495">
      <c r="A1495" s="8" t="inlineStr">
        <is>
          <t>1995-02-01</t>
        </is>
      </c>
      <c r="B1495" s="6" t="n">
        <v>7.47</v>
      </c>
      <c r="C1495" s="8">
        <f>-PV(B1495/100,$B$3,B1494/100,1)</f>
        <v/>
      </c>
      <c r="D1495" s="8">
        <f>B1494/100/12+(C1495-1)</f>
        <v/>
      </c>
      <c r="E1495" s="8">
        <f>E1494*(1+D1495)</f>
        <v/>
      </c>
    </row>
    <row r="1496">
      <c r="A1496" s="8" t="inlineStr">
        <is>
          <t>1995-03-01</t>
        </is>
      </c>
      <c r="B1496" s="6" t="n">
        <v>7.2</v>
      </c>
      <c r="C1496" s="8">
        <f>-PV(B1496/100,$B$3,B1495/100,1)</f>
        <v/>
      </c>
      <c r="D1496" s="8">
        <f>B1495/100/12+(C1496-1)</f>
        <v/>
      </c>
      <c r="E1496" s="8">
        <f>E1495*(1+D1496)</f>
        <v/>
      </c>
    </row>
    <row r="1497">
      <c r="A1497" s="8" t="inlineStr">
        <is>
          <t>1995-04-01</t>
        </is>
      </c>
      <c r="B1497" s="6" t="n">
        <v>7.06</v>
      </c>
      <c r="C1497" s="8">
        <f>-PV(B1497/100,$B$3,B1496/100,1)</f>
        <v/>
      </c>
      <c r="D1497" s="8">
        <f>B1496/100/12+(C1497-1)</f>
        <v/>
      </c>
      <c r="E1497" s="8">
        <f>E1496*(1+D1497)</f>
        <v/>
      </c>
    </row>
    <row r="1498">
      <c r="A1498" s="8" t="inlineStr">
        <is>
          <t>1995-05-01</t>
        </is>
      </c>
      <c r="B1498" s="6" t="n">
        <v>6.63</v>
      </c>
      <c r="C1498" s="8">
        <f>-PV(B1498/100,$B$3,B1497/100,1)</f>
        <v/>
      </c>
      <c r="D1498" s="8">
        <f>B1497/100/12+(C1498-1)</f>
        <v/>
      </c>
      <c r="E1498" s="8">
        <f>E1497*(1+D1498)</f>
        <v/>
      </c>
    </row>
    <row r="1499">
      <c r="A1499" s="8" t="inlineStr">
        <is>
          <t>1995-06-01</t>
        </is>
      </c>
      <c r="B1499" s="6" t="n">
        <v>6.17</v>
      </c>
      <c r="C1499" s="8">
        <f>-PV(B1499/100,$B$3,B1498/100,1)</f>
        <v/>
      </c>
      <c r="D1499" s="8">
        <f>B1498/100/12+(C1499-1)</f>
        <v/>
      </c>
      <c r="E1499" s="8">
        <f>E1498*(1+D1499)</f>
        <v/>
      </c>
    </row>
    <row r="1500">
      <c r="A1500" s="8" t="inlineStr">
        <is>
          <t>1995-07-01</t>
        </is>
      </c>
      <c r="B1500" s="6" t="n">
        <v>6.28</v>
      </c>
      <c r="C1500" s="8">
        <f>-PV(B1500/100,$B$3,B1499/100,1)</f>
        <v/>
      </c>
      <c r="D1500" s="8">
        <f>B1499/100/12+(C1500-1)</f>
        <v/>
      </c>
      <c r="E1500" s="8">
        <f>E1499*(1+D1500)</f>
        <v/>
      </c>
    </row>
    <row r="1501">
      <c r="A1501" s="8" t="inlineStr">
        <is>
          <t>1995-08-01</t>
        </is>
      </c>
      <c r="B1501" s="6" t="n">
        <v>6.49</v>
      </c>
      <c r="C1501" s="8">
        <f>-PV(B1501/100,$B$3,B1500/100,1)</f>
        <v/>
      </c>
      <c r="D1501" s="8">
        <f>B1500/100/12+(C1501-1)</f>
        <v/>
      </c>
      <c r="E1501" s="8">
        <f>E1500*(1+D1501)</f>
        <v/>
      </c>
    </row>
    <row r="1502">
      <c r="A1502" s="8" t="inlineStr">
        <is>
          <t>1995-09-01</t>
        </is>
      </c>
      <c r="B1502" s="6" t="n">
        <v>6.2</v>
      </c>
      <c r="C1502" s="8">
        <f>-PV(B1502/100,$B$3,B1501/100,1)</f>
        <v/>
      </c>
      <c r="D1502" s="8">
        <f>B1501/100/12+(C1502-1)</f>
        <v/>
      </c>
      <c r="E1502" s="8">
        <f>E1501*(1+D1502)</f>
        <v/>
      </c>
    </row>
    <row r="1503">
      <c r="A1503" s="8" t="inlineStr">
        <is>
          <t>1995-10-01</t>
        </is>
      </c>
      <c r="B1503" s="6" t="n">
        <v>6.04</v>
      </c>
      <c r="C1503" s="8">
        <f>-PV(B1503/100,$B$3,B1502/100,1)</f>
        <v/>
      </c>
      <c r="D1503" s="8">
        <f>B1502/100/12+(C1503-1)</f>
        <v/>
      </c>
      <c r="E1503" s="8">
        <f>E1502*(1+D1503)</f>
        <v/>
      </c>
    </row>
    <row r="1504">
      <c r="A1504" s="8" t="inlineStr">
        <is>
          <t>1995-11-01</t>
        </is>
      </c>
      <c r="B1504" s="6" t="n">
        <v>5.93</v>
      </c>
      <c r="C1504" s="8">
        <f>-PV(B1504/100,$B$3,B1503/100,1)</f>
        <v/>
      </c>
      <c r="D1504" s="8">
        <f>B1503/100/12+(C1504-1)</f>
        <v/>
      </c>
      <c r="E1504" s="8">
        <f>E1503*(1+D1504)</f>
        <v/>
      </c>
    </row>
    <row r="1505">
      <c r="A1505" s="8" t="inlineStr">
        <is>
          <t>1995-12-01</t>
        </is>
      </c>
      <c r="B1505" s="6" t="n">
        <v>5.71</v>
      </c>
      <c r="C1505" s="8">
        <f>-PV(B1505/100,$B$3,B1504/100,1)</f>
        <v/>
      </c>
      <c r="D1505" s="8">
        <f>B1504/100/12+(C1505-1)</f>
        <v/>
      </c>
      <c r="E1505" s="8">
        <f>E1504*(1+D1505)</f>
        <v/>
      </c>
    </row>
    <row r="1506">
      <c r="A1506" s="8" t="inlineStr">
        <is>
          <t>1996-01-01</t>
        </is>
      </c>
      <c r="B1506" s="6" t="n">
        <v>5.65</v>
      </c>
      <c r="C1506" s="8">
        <f>-PV(B1506/100,$B$3,B1505/100,1)</f>
        <v/>
      </c>
      <c r="D1506" s="8">
        <f>B1505/100/12+(C1506-1)</f>
        <v/>
      </c>
      <c r="E1506" s="8">
        <f>E1505*(1+D1506)</f>
        <v/>
      </c>
    </row>
    <row r="1507">
      <c r="A1507" s="8" t="inlineStr">
        <is>
          <t>1996-02-01</t>
        </is>
      </c>
      <c r="B1507" s="6" t="n">
        <v>5.81</v>
      </c>
      <c r="C1507" s="8">
        <f>-PV(B1507/100,$B$3,B1506/100,1)</f>
        <v/>
      </c>
      <c r="D1507" s="8">
        <f>B1506/100/12+(C1507-1)</f>
        <v/>
      </c>
      <c r="E1507" s="8">
        <f>E1506*(1+D1507)</f>
        <v/>
      </c>
    </row>
    <row r="1508">
      <c r="A1508" s="8" t="inlineStr">
        <is>
          <t>1996-03-01</t>
        </is>
      </c>
      <c r="B1508" s="6" t="n">
        <v>6.27</v>
      </c>
      <c r="C1508" s="8">
        <f>-PV(B1508/100,$B$3,B1507/100,1)</f>
        <v/>
      </c>
      <c r="D1508" s="8">
        <f>B1507/100/12+(C1508-1)</f>
        <v/>
      </c>
      <c r="E1508" s="8">
        <f>E1507*(1+D1508)</f>
        <v/>
      </c>
    </row>
    <row r="1509">
      <c r="A1509" s="8" t="inlineStr">
        <is>
          <t>1996-04-01</t>
        </is>
      </c>
      <c r="B1509" s="6" t="n">
        <v>6.51</v>
      </c>
      <c r="C1509" s="8">
        <f>-PV(B1509/100,$B$3,B1508/100,1)</f>
        <v/>
      </c>
      <c r="D1509" s="8">
        <f>B1508/100/12+(C1509-1)</f>
        <v/>
      </c>
      <c r="E1509" s="8">
        <f>E1508*(1+D1509)</f>
        <v/>
      </c>
    </row>
    <row r="1510">
      <c r="A1510" s="8" t="inlineStr">
        <is>
          <t>1996-05-01</t>
        </is>
      </c>
      <c r="B1510" s="6" t="n">
        <v>6.74</v>
      </c>
      <c r="C1510" s="8">
        <f>-PV(B1510/100,$B$3,B1509/100,1)</f>
        <v/>
      </c>
      <c r="D1510" s="8">
        <f>B1509/100/12+(C1510-1)</f>
        <v/>
      </c>
      <c r="E1510" s="8">
        <f>E1509*(1+D1510)</f>
        <v/>
      </c>
    </row>
    <row r="1511">
      <c r="A1511" s="8" t="inlineStr">
        <is>
          <t>1996-06-01</t>
        </is>
      </c>
      <c r="B1511" s="6" t="n">
        <v>6.91</v>
      </c>
      <c r="C1511" s="8">
        <f>-PV(B1511/100,$B$3,B1510/100,1)</f>
        <v/>
      </c>
      <c r="D1511" s="8">
        <f>B1510/100/12+(C1511-1)</f>
        <v/>
      </c>
      <c r="E1511" s="8">
        <f>E1510*(1+D1511)</f>
        <v/>
      </c>
    </row>
    <row r="1512">
      <c r="A1512" s="8" t="inlineStr">
        <is>
          <t>1996-07-01</t>
        </is>
      </c>
      <c r="B1512" s="6" t="n">
        <v>6.87</v>
      </c>
      <c r="C1512" s="8">
        <f>-PV(B1512/100,$B$3,B1511/100,1)</f>
        <v/>
      </c>
      <c r="D1512" s="8">
        <f>B1511/100/12+(C1512-1)</f>
        <v/>
      </c>
      <c r="E1512" s="8">
        <f>E1511*(1+D1512)</f>
        <v/>
      </c>
    </row>
    <row r="1513">
      <c r="A1513" s="8" t="inlineStr">
        <is>
          <t>1996-08-01</t>
        </is>
      </c>
      <c r="B1513" s="6" t="n">
        <v>6.64</v>
      </c>
      <c r="C1513" s="8">
        <f>-PV(B1513/100,$B$3,B1512/100,1)</f>
        <v/>
      </c>
      <c r="D1513" s="8">
        <f>B1512/100/12+(C1513-1)</f>
        <v/>
      </c>
      <c r="E1513" s="8">
        <f>E1512*(1+D1513)</f>
        <v/>
      </c>
    </row>
    <row r="1514">
      <c r="A1514" s="8" t="inlineStr">
        <is>
          <t>1996-09-01</t>
        </is>
      </c>
      <c r="B1514" s="6" t="n">
        <v>6.83</v>
      </c>
      <c r="C1514" s="8">
        <f>-PV(B1514/100,$B$3,B1513/100,1)</f>
        <v/>
      </c>
      <c r="D1514" s="8">
        <f>B1513/100/12+(C1514-1)</f>
        <v/>
      </c>
      <c r="E1514" s="8">
        <f>E1513*(1+D1514)</f>
        <v/>
      </c>
    </row>
    <row r="1515">
      <c r="A1515" s="8" t="inlineStr">
        <is>
          <t>1996-10-01</t>
        </is>
      </c>
      <c r="B1515" s="6" t="n">
        <v>6.53</v>
      </c>
      <c r="C1515" s="8">
        <f>-PV(B1515/100,$B$3,B1514/100,1)</f>
        <v/>
      </c>
      <c r="D1515" s="8">
        <f>B1514/100/12+(C1515-1)</f>
        <v/>
      </c>
      <c r="E1515" s="8">
        <f>E1514*(1+D1515)</f>
        <v/>
      </c>
    </row>
    <row r="1516">
      <c r="A1516" s="8" t="inlineStr">
        <is>
          <t>1996-11-01</t>
        </is>
      </c>
      <c r="B1516" s="6" t="n">
        <v>6.2</v>
      </c>
      <c r="C1516" s="8">
        <f>-PV(B1516/100,$B$3,B1515/100,1)</f>
        <v/>
      </c>
      <c r="D1516" s="8">
        <f>B1515/100/12+(C1516-1)</f>
        <v/>
      </c>
      <c r="E1516" s="8">
        <f>E1515*(1+D1516)</f>
        <v/>
      </c>
    </row>
    <row r="1517">
      <c r="A1517" s="8" t="inlineStr">
        <is>
          <t>1996-12-01</t>
        </is>
      </c>
      <c r="B1517" s="6" t="n">
        <v>6.3</v>
      </c>
      <c r="C1517" s="8">
        <f>-PV(B1517/100,$B$3,B1516/100,1)</f>
        <v/>
      </c>
      <c r="D1517" s="8">
        <f>B1516/100/12+(C1517-1)</f>
        <v/>
      </c>
      <c r="E1517" s="8">
        <f>E1516*(1+D1517)</f>
        <v/>
      </c>
    </row>
    <row r="1518">
      <c r="A1518" s="8" t="inlineStr">
        <is>
          <t>1997-01-01</t>
        </is>
      </c>
      <c r="B1518" s="6" t="n">
        <v>6.58</v>
      </c>
      <c r="C1518" s="8">
        <f>-PV(B1518/100,$B$3,B1517/100,1)</f>
        <v/>
      </c>
      <c r="D1518" s="8">
        <f>B1517/100/12+(C1518-1)</f>
        <v/>
      </c>
      <c r="E1518" s="8">
        <f>E1517*(1+D1518)</f>
        <v/>
      </c>
    </row>
    <row r="1519">
      <c r="A1519" s="8" t="inlineStr">
        <is>
          <t>1997-02-01</t>
        </is>
      </c>
      <c r="B1519" s="6" t="n">
        <v>6.42</v>
      </c>
      <c r="C1519" s="8">
        <f>-PV(B1519/100,$B$3,B1518/100,1)</f>
        <v/>
      </c>
      <c r="D1519" s="8">
        <f>B1518/100/12+(C1519-1)</f>
        <v/>
      </c>
      <c r="E1519" s="8">
        <f>E1518*(1+D1519)</f>
        <v/>
      </c>
    </row>
    <row r="1520">
      <c r="A1520" s="8" t="inlineStr">
        <is>
          <t>1997-03-01</t>
        </is>
      </c>
      <c r="B1520" s="6" t="n">
        <v>6.69</v>
      </c>
      <c r="C1520" s="8">
        <f>-PV(B1520/100,$B$3,B1519/100,1)</f>
        <v/>
      </c>
      <c r="D1520" s="8">
        <f>B1519/100/12+(C1520-1)</f>
        <v/>
      </c>
      <c r="E1520" s="8">
        <f>E1519*(1+D1520)</f>
        <v/>
      </c>
    </row>
    <row r="1521">
      <c r="A1521" s="8" t="inlineStr">
        <is>
          <t>1997-04-01</t>
        </is>
      </c>
      <c r="B1521" s="6" t="n">
        <v>6.89</v>
      </c>
      <c r="C1521" s="8">
        <f>-PV(B1521/100,$B$3,B1520/100,1)</f>
        <v/>
      </c>
      <c r="D1521" s="8">
        <f>B1520/100/12+(C1521-1)</f>
        <v/>
      </c>
      <c r="E1521" s="8">
        <f>E1520*(1+D1521)</f>
        <v/>
      </c>
    </row>
    <row r="1522">
      <c r="A1522" s="8" t="inlineStr">
        <is>
          <t>1997-05-01</t>
        </is>
      </c>
      <c r="B1522" s="6" t="n">
        <v>6.71</v>
      </c>
      <c r="C1522" s="8">
        <f>-PV(B1522/100,$B$3,B1521/100,1)</f>
        <v/>
      </c>
      <c r="D1522" s="8">
        <f>B1521/100/12+(C1522-1)</f>
        <v/>
      </c>
      <c r="E1522" s="8">
        <f>E1521*(1+D1522)</f>
        <v/>
      </c>
    </row>
    <row r="1523">
      <c r="A1523" s="8" t="inlineStr">
        <is>
          <t>1997-06-01</t>
        </is>
      </c>
      <c r="B1523" s="6" t="n">
        <v>6.49</v>
      </c>
      <c r="C1523" s="8">
        <f>-PV(B1523/100,$B$3,B1522/100,1)</f>
        <v/>
      </c>
      <c r="D1523" s="8">
        <f>B1522/100/12+(C1523-1)</f>
        <v/>
      </c>
      <c r="E1523" s="8">
        <f>E1522*(1+D1523)</f>
        <v/>
      </c>
    </row>
    <row r="1524">
      <c r="A1524" s="8" t="inlineStr">
        <is>
          <t>1997-07-01</t>
        </is>
      </c>
      <c r="B1524" s="6" t="n">
        <v>6.22</v>
      </c>
      <c r="C1524" s="8">
        <f>-PV(B1524/100,$B$3,B1523/100,1)</f>
        <v/>
      </c>
      <c r="D1524" s="8">
        <f>B1523/100/12+(C1524-1)</f>
        <v/>
      </c>
      <c r="E1524" s="8">
        <f>E1523*(1+D1524)</f>
        <v/>
      </c>
    </row>
    <row r="1525">
      <c r="A1525" s="8" t="inlineStr">
        <is>
          <t>1997-08-01</t>
        </is>
      </c>
      <c r="B1525" s="6" t="n">
        <v>6.3</v>
      </c>
      <c r="C1525" s="8">
        <f>-PV(B1525/100,$B$3,B1524/100,1)</f>
        <v/>
      </c>
      <c r="D1525" s="8">
        <f>B1524/100/12+(C1525-1)</f>
        <v/>
      </c>
      <c r="E1525" s="8">
        <f>E1524*(1+D1525)</f>
        <v/>
      </c>
    </row>
    <row r="1526">
      <c r="A1526" s="8" t="inlineStr">
        <is>
          <t>1997-09-01</t>
        </is>
      </c>
      <c r="B1526" s="6" t="n">
        <v>6.21</v>
      </c>
      <c r="C1526" s="8">
        <f>-PV(B1526/100,$B$3,B1525/100,1)</f>
        <v/>
      </c>
      <c r="D1526" s="8">
        <f>B1525/100/12+(C1526-1)</f>
        <v/>
      </c>
      <c r="E1526" s="8">
        <f>E1525*(1+D1526)</f>
        <v/>
      </c>
    </row>
    <row r="1527">
      <c r="A1527" s="8" t="inlineStr">
        <is>
          <t>1997-10-01</t>
        </is>
      </c>
      <c r="B1527" s="6" t="n">
        <v>6.03</v>
      </c>
      <c r="C1527" s="8">
        <f>-PV(B1527/100,$B$3,B1526/100,1)</f>
        <v/>
      </c>
      <c r="D1527" s="8">
        <f>B1526/100/12+(C1527-1)</f>
        <v/>
      </c>
      <c r="E1527" s="8">
        <f>E1526*(1+D1527)</f>
        <v/>
      </c>
    </row>
    <row r="1528">
      <c r="A1528" s="8" t="inlineStr">
        <is>
          <t>1997-11-01</t>
        </is>
      </c>
      <c r="B1528" s="6" t="n">
        <v>5.88</v>
      </c>
      <c r="C1528" s="8">
        <f>-PV(B1528/100,$B$3,B1527/100,1)</f>
        <v/>
      </c>
      <c r="D1528" s="8">
        <f>B1527/100/12+(C1528-1)</f>
        <v/>
      </c>
      <c r="E1528" s="8">
        <f>E1527*(1+D1528)</f>
        <v/>
      </c>
    </row>
    <row r="1529">
      <c r="A1529" s="8" t="inlineStr">
        <is>
          <t>1997-12-01</t>
        </is>
      </c>
      <c r="B1529" s="6" t="n">
        <v>5.81</v>
      </c>
      <c r="C1529" s="8">
        <f>-PV(B1529/100,$B$3,B1528/100,1)</f>
        <v/>
      </c>
      <c r="D1529" s="8">
        <f>B1528/100/12+(C1529-1)</f>
        <v/>
      </c>
      <c r="E1529" s="8">
        <f>E1528*(1+D1529)</f>
        <v/>
      </c>
    </row>
    <row r="1530">
      <c r="A1530" s="8" t="inlineStr">
        <is>
          <t>1998-01-01</t>
        </is>
      </c>
      <c r="B1530" s="6" t="n">
        <v>5.54</v>
      </c>
      <c r="C1530" s="8">
        <f>-PV(B1530/100,$B$3,B1529/100,1)</f>
        <v/>
      </c>
      <c r="D1530" s="8">
        <f>B1529/100/12+(C1530-1)</f>
        <v/>
      </c>
      <c r="E1530" s="8">
        <f>E1529*(1+D1530)</f>
        <v/>
      </c>
    </row>
    <row r="1531">
      <c r="A1531" s="8" t="inlineStr">
        <is>
          <t>1998-02-01</t>
        </is>
      </c>
      <c r="B1531" s="6" t="n">
        <v>5.57</v>
      </c>
      <c r="C1531" s="8">
        <f>-PV(B1531/100,$B$3,B1530/100,1)</f>
        <v/>
      </c>
      <c r="D1531" s="8">
        <f>B1530/100/12+(C1531-1)</f>
        <v/>
      </c>
      <c r="E1531" s="8">
        <f>E1530*(1+D1531)</f>
        <v/>
      </c>
    </row>
    <row r="1532">
      <c r="A1532" s="8" t="inlineStr">
        <is>
          <t>1998-03-01</t>
        </is>
      </c>
      <c r="B1532" s="6" t="n">
        <v>5.65</v>
      </c>
      <c r="C1532" s="8">
        <f>-PV(B1532/100,$B$3,B1531/100,1)</f>
        <v/>
      </c>
      <c r="D1532" s="8">
        <f>B1531/100/12+(C1532-1)</f>
        <v/>
      </c>
      <c r="E1532" s="8">
        <f>E1531*(1+D1532)</f>
        <v/>
      </c>
    </row>
    <row r="1533">
      <c r="A1533" s="8" t="inlineStr">
        <is>
          <t>1998-04-01</t>
        </is>
      </c>
      <c r="B1533" s="6" t="n">
        <v>5.64</v>
      </c>
      <c r="C1533" s="8">
        <f>-PV(B1533/100,$B$3,B1532/100,1)</f>
        <v/>
      </c>
      <c r="D1533" s="8">
        <f>B1532/100/12+(C1533-1)</f>
        <v/>
      </c>
      <c r="E1533" s="8">
        <f>E1532*(1+D1533)</f>
        <v/>
      </c>
    </row>
    <row r="1534">
      <c r="A1534" s="8" t="inlineStr">
        <is>
          <t>1998-05-01</t>
        </is>
      </c>
      <c r="B1534" s="6" t="n">
        <v>5.65</v>
      </c>
      <c r="C1534" s="8">
        <f>-PV(B1534/100,$B$3,B1533/100,1)</f>
        <v/>
      </c>
      <c r="D1534" s="8">
        <f>B1533/100/12+(C1534-1)</f>
        <v/>
      </c>
      <c r="E1534" s="8">
        <f>E1533*(1+D1534)</f>
        <v/>
      </c>
    </row>
    <row r="1535">
      <c r="A1535" s="8" t="inlineStr">
        <is>
          <t>1998-06-01</t>
        </is>
      </c>
      <c r="B1535" s="6" t="n">
        <v>5.5</v>
      </c>
      <c r="C1535" s="8">
        <f>-PV(B1535/100,$B$3,B1534/100,1)</f>
        <v/>
      </c>
      <c r="D1535" s="8">
        <f>B1534/100/12+(C1535-1)</f>
        <v/>
      </c>
      <c r="E1535" s="8">
        <f>E1534*(1+D1535)</f>
        <v/>
      </c>
    </row>
    <row r="1536">
      <c r="A1536" s="8" t="inlineStr">
        <is>
          <t>1998-07-01</t>
        </is>
      </c>
      <c r="B1536" s="6" t="n">
        <v>5.46</v>
      </c>
      <c r="C1536" s="8">
        <f>-PV(B1536/100,$B$3,B1535/100,1)</f>
        <v/>
      </c>
      <c r="D1536" s="8">
        <f>B1535/100/12+(C1536-1)</f>
        <v/>
      </c>
      <c r="E1536" s="8">
        <f>E1535*(1+D1536)</f>
        <v/>
      </c>
    </row>
    <row r="1537">
      <c r="A1537" s="8" t="inlineStr">
        <is>
          <t>1998-08-01</t>
        </is>
      </c>
      <c r="B1537" s="6" t="n">
        <v>5.34</v>
      </c>
      <c r="C1537" s="8">
        <f>-PV(B1537/100,$B$3,B1536/100,1)</f>
        <v/>
      </c>
      <c r="D1537" s="8">
        <f>B1536/100/12+(C1537-1)</f>
        <v/>
      </c>
      <c r="E1537" s="8">
        <f>E1536*(1+D1537)</f>
        <v/>
      </c>
    </row>
    <row r="1538">
      <c r="A1538" s="8" t="inlineStr">
        <is>
          <t>1998-09-01</t>
        </is>
      </c>
      <c r="B1538" s="6" t="n">
        <v>4.81</v>
      </c>
      <c r="C1538" s="8">
        <f>-PV(B1538/100,$B$3,B1537/100,1)</f>
        <v/>
      </c>
      <c r="D1538" s="8">
        <f>B1537/100/12+(C1538-1)</f>
        <v/>
      </c>
      <c r="E1538" s="8">
        <f>E1537*(1+D1538)</f>
        <v/>
      </c>
    </row>
    <row r="1539">
      <c r="A1539" s="8" t="inlineStr">
        <is>
          <t>1998-10-01</t>
        </is>
      </c>
      <c r="B1539" s="6" t="n">
        <v>4.53</v>
      </c>
      <c r="C1539" s="8">
        <f>-PV(B1539/100,$B$3,B1538/100,1)</f>
        <v/>
      </c>
      <c r="D1539" s="8">
        <f>B1538/100/12+(C1539-1)</f>
        <v/>
      </c>
      <c r="E1539" s="8">
        <f>E1538*(1+D1539)</f>
        <v/>
      </c>
    </row>
    <row r="1540">
      <c r="A1540" s="8" t="inlineStr">
        <is>
          <t>1998-11-01</t>
        </is>
      </c>
      <c r="B1540" s="6" t="n">
        <v>4.83</v>
      </c>
      <c r="C1540" s="8">
        <f>-PV(B1540/100,$B$3,B1539/100,1)</f>
        <v/>
      </c>
      <c r="D1540" s="8">
        <f>B1539/100/12+(C1540-1)</f>
        <v/>
      </c>
      <c r="E1540" s="8">
        <f>E1539*(1+D1540)</f>
        <v/>
      </c>
    </row>
    <row r="1541">
      <c r="A1541" s="8" t="inlineStr">
        <is>
          <t>1998-12-01</t>
        </is>
      </c>
      <c r="B1541" s="6" t="n">
        <v>4.65</v>
      </c>
      <c r="C1541" s="8">
        <f>-PV(B1541/100,$B$3,B1540/100,1)</f>
        <v/>
      </c>
      <c r="D1541" s="8">
        <f>B1540/100/12+(C1541-1)</f>
        <v/>
      </c>
      <c r="E1541" s="8">
        <f>E1540*(1+D1541)</f>
        <v/>
      </c>
    </row>
    <row r="1542">
      <c r="A1542" s="8" t="inlineStr">
        <is>
          <t>1999-01-01</t>
        </is>
      </c>
      <c r="B1542" s="6" t="n">
        <v>4.72</v>
      </c>
      <c r="C1542" s="8">
        <f>-PV(B1542/100,$B$3,B1541/100,1)</f>
        <v/>
      </c>
      <c r="D1542" s="8">
        <f>B1541/100/12+(C1542-1)</f>
        <v/>
      </c>
      <c r="E1542" s="8">
        <f>E1541*(1+D1542)</f>
        <v/>
      </c>
    </row>
    <row r="1543">
      <c r="A1543" s="8" t="inlineStr">
        <is>
          <t>1999-02-01</t>
        </is>
      </c>
      <c r="B1543" s="6" t="n">
        <v>5</v>
      </c>
      <c r="C1543" s="8">
        <f>-PV(B1543/100,$B$3,B1542/100,1)</f>
        <v/>
      </c>
      <c r="D1543" s="8">
        <f>B1542/100/12+(C1543-1)</f>
        <v/>
      </c>
      <c r="E1543" s="8">
        <f>E1542*(1+D1543)</f>
        <v/>
      </c>
    </row>
    <row r="1544">
      <c r="A1544" s="8" t="inlineStr">
        <is>
          <t>1999-03-01</t>
        </is>
      </c>
      <c r="B1544" s="6" t="n">
        <v>5.23</v>
      </c>
      <c r="C1544" s="8">
        <f>-PV(B1544/100,$B$3,B1543/100,1)</f>
        <v/>
      </c>
      <c r="D1544" s="8">
        <f>B1543/100/12+(C1544-1)</f>
        <v/>
      </c>
      <c r="E1544" s="8">
        <f>E1543*(1+D1544)</f>
        <v/>
      </c>
    </row>
    <row r="1545">
      <c r="A1545" s="8" t="inlineStr">
        <is>
          <t>1999-04-01</t>
        </is>
      </c>
      <c r="B1545" s="6" t="n">
        <v>5.18</v>
      </c>
      <c r="C1545" s="8">
        <f>-PV(B1545/100,$B$3,B1544/100,1)</f>
        <v/>
      </c>
      <c r="D1545" s="8">
        <f>B1544/100/12+(C1545-1)</f>
        <v/>
      </c>
      <c r="E1545" s="8">
        <f>E1544*(1+D1545)</f>
        <v/>
      </c>
    </row>
    <row r="1546">
      <c r="A1546" s="8" t="inlineStr">
        <is>
          <t>1999-05-01</t>
        </is>
      </c>
      <c r="B1546" s="6" t="n">
        <v>5.54</v>
      </c>
      <c r="C1546" s="8">
        <f>-PV(B1546/100,$B$3,B1545/100,1)</f>
        <v/>
      </c>
      <c r="D1546" s="8">
        <f>B1545/100/12+(C1546-1)</f>
        <v/>
      </c>
      <c r="E1546" s="8">
        <f>E1545*(1+D1546)</f>
        <v/>
      </c>
    </row>
    <row r="1547">
      <c r="A1547" s="8" t="inlineStr">
        <is>
          <t>1999-06-01</t>
        </is>
      </c>
      <c r="B1547" s="6" t="n">
        <v>5.9</v>
      </c>
      <c r="C1547" s="8">
        <f>-PV(B1547/100,$B$3,B1546/100,1)</f>
        <v/>
      </c>
      <c r="D1547" s="8">
        <f>B1546/100/12+(C1547-1)</f>
        <v/>
      </c>
      <c r="E1547" s="8">
        <f>E1546*(1+D1547)</f>
        <v/>
      </c>
    </row>
    <row r="1548">
      <c r="A1548" s="8" t="inlineStr">
        <is>
          <t>1999-07-01</t>
        </is>
      </c>
      <c r="B1548" s="6" t="n">
        <v>5.79</v>
      </c>
      <c r="C1548" s="8">
        <f>-PV(B1548/100,$B$3,B1547/100,1)</f>
        <v/>
      </c>
      <c r="D1548" s="8">
        <f>B1547/100/12+(C1548-1)</f>
        <v/>
      </c>
      <c r="E1548" s="8">
        <f>E1547*(1+D1548)</f>
        <v/>
      </c>
    </row>
    <row r="1549">
      <c r="A1549" s="8" t="inlineStr">
        <is>
          <t>1999-08-01</t>
        </is>
      </c>
      <c r="B1549" s="6" t="n">
        <v>5.94</v>
      </c>
      <c r="C1549" s="8">
        <f>-PV(B1549/100,$B$3,B1548/100,1)</f>
        <v/>
      </c>
      <c r="D1549" s="8">
        <f>B1548/100/12+(C1549-1)</f>
        <v/>
      </c>
      <c r="E1549" s="8">
        <f>E1548*(1+D1549)</f>
        <v/>
      </c>
    </row>
    <row r="1550">
      <c r="A1550" s="8" t="inlineStr">
        <is>
          <t>1999-09-01</t>
        </is>
      </c>
      <c r="B1550" s="6" t="n">
        <v>5.92</v>
      </c>
      <c r="C1550" s="8">
        <f>-PV(B1550/100,$B$3,B1549/100,1)</f>
        <v/>
      </c>
      <c r="D1550" s="8">
        <f>B1549/100/12+(C1550-1)</f>
        <v/>
      </c>
      <c r="E1550" s="8">
        <f>E1549*(1+D1550)</f>
        <v/>
      </c>
    </row>
    <row r="1551">
      <c r="A1551" s="8" t="inlineStr">
        <is>
          <t>1999-10-01</t>
        </is>
      </c>
      <c r="B1551" s="6" t="n">
        <v>6.11</v>
      </c>
      <c r="C1551" s="8">
        <f>-PV(B1551/100,$B$3,B1550/100,1)</f>
        <v/>
      </c>
      <c r="D1551" s="8">
        <f>B1550/100/12+(C1551-1)</f>
        <v/>
      </c>
      <c r="E1551" s="8">
        <f>E1550*(1+D1551)</f>
        <v/>
      </c>
    </row>
    <row r="1552">
      <c r="A1552" s="8" t="inlineStr">
        <is>
          <t>1999-11-01</t>
        </is>
      </c>
      <c r="B1552" s="6" t="n">
        <v>6.03</v>
      </c>
      <c r="C1552" s="8">
        <f>-PV(B1552/100,$B$3,B1551/100,1)</f>
        <v/>
      </c>
      <c r="D1552" s="8">
        <f>B1551/100/12+(C1552-1)</f>
        <v/>
      </c>
      <c r="E1552" s="8">
        <f>E1551*(1+D1552)</f>
        <v/>
      </c>
    </row>
    <row r="1553">
      <c r="A1553" s="8" t="inlineStr">
        <is>
          <t>1999-12-01</t>
        </is>
      </c>
      <c r="B1553" s="6" t="n">
        <v>6.28</v>
      </c>
      <c r="C1553" s="8">
        <f>-PV(B1553/100,$B$3,B1552/100,1)</f>
        <v/>
      </c>
      <c r="D1553" s="8">
        <f>B1552/100/12+(C1553-1)</f>
        <v/>
      </c>
      <c r="E1553" s="8">
        <f>E1552*(1+D1553)</f>
        <v/>
      </c>
    </row>
    <row r="1554">
      <c r="A1554" s="8" t="inlineStr">
        <is>
          <t>2000-01-01</t>
        </is>
      </c>
      <c r="B1554" s="6" t="n">
        <v>6.66</v>
      </c>
      <c r="C1554" s="8">
        <f>-PV(B1554/100,$B$3,B1553/100,1)</f>
        <v/>
      </c>
      <c r="D1554" s="8">
        <f>B1553/100/12+(C1554-1)</f>
        <v/>
      </c>
      <c r="E1554" s="8">
        <f>E1553*(1+D1554)</f>
        <v/>
      </c>
    </row>
    <row r="1555">
      <c r="A1555" s="8" t="inlineStr">
        <is>
          <t>2000-02-01</t>
        </is>
      </c>
      <c r="B1555" s="6" t="n">
        <v>6.52</v>
      </c>
      <c r="C1555" s="8">
        <f>-PV(B1555/100,$B$3,B1554/100,1)</f>
        <v/>
      </c>
      <c r="D1555" s="8">
        <f>B1554/100/12+(C1555-1)</f>
        <v/>
      </c>
      <c r="E1555" s="8">
        <f>E1554*(1+D1555)</f>
        <v/>
      </c>
    </row>
    <row r="1556">
      <c r="A1556" s="8" t="inlineStr">
        <is>
          <t>2000-03-01</t>
        </is>
      </c>
      <c r="B1556" s="6" t="n">
        <v>6.26</v>
      </c>
      <c r="C1556" s="8">
        <f>-PV(B1556/100,$B$3,B1555/100,1)</f>
        <v/>
      </c>
      <c r="D1556" s="8">
        <f>B1555/100/12+(C1556-1)</f>
        <v/>
      </c>
      <c r="E1556" s="8">
        <f>E1555*(1+D1556)</f>
        <v/>
      </c>
    </row>
    <row r="1557">
      <c r="A1557" s="8" t="inlineStr">
        <is>
          <t>2000-04-01</t>
        </is>
      </c>
      <c r="B1557" s="6" t="n">
        <v>5.99</v>
      </c>
      <c r="C1557" s="8">
        <f>-PV(B1557/100,$B$3,B1556/100,1)</f>
        <v/>
      </c>
      <c r="D1557" s="8">
        <f>B1556/100/12+(C1557-1)</f>
        <v/>
      </c>
      <c r="E1557" s="8">
        <f>E1556*(1+D1557)</f>
        <v/>
      </c>
    </row>
    <row r="1558">
      <c r="A1558" s="8" t="inlineStr">
        <is>
          <t>2000-05-01</t>
        </is>
      </c>
      <c r="B1558" s="6" t="n">
        <v>6.44</v>
      </c>
      <c r="C1558" s="8">
        <f>-PV(B1558/100,$B$3,B1557/100,1)</f>
        <v/>
      </c>
      <c r="D1558" s="8">
        <f>B1557/100/12+(C1558-1)</f>
        <v/>
      </c>
      <c r="E1558" s="8">
        <f>E1557*(1+D1558)</f>
        <v/>
      </c>
    </row>
    <row r="1559">
      <c r="A1559" s="8" t="inlineStr">
        <is>
          <t>2000-06-01</t>
        </is>
      </c>
      <c r="B1559" s="6" t="n">
        <v>6.1</v>
      </c>
      <c r="C1559" s="8">
        <f>-PV(B1559/100,$B$3,B1558/100,1)</f>
        <v/>
      </c>
      <c r="D1559" s="8">
        <f>B1558/100/12+(C1559-1)</f>
        <v/>
      </c>
      <c r="E1559" s="8">
        <f>E1558*(1+D1559)</f>
        <v/>
      </c>
    </row>
    <row r="1560">
      <c r="A1560" s="8" t="inlineStr">
        <is>
          <t>2000-07-01</t>
        </is>
      </c>
      <c r="B1560" s="6" t="n">
        <v>6.05</v>
      </c>
      <c r="C1560" s="8">
        <f>-PV(B1560/100,$B$3,B1559/100,1)</f>
        <v/>
      </c>
      <c r="D1560" s="8">
        <f>B1559/100/12+(C1560-1)</f>
        <v/>
      </c>
      <c r="E1560" s="8">
        <f>E1559*(1+D1560)</f>
        <v/>
      </c>
    </row>
    <row r="1561">
      <c r="A1561" s="8" t="inlineStr">
        <is>
          <t>2000-08-01</t>
        </is>
      </c>
      <c r="B1561" s="6" t="n">
        <v>5.83</v>
      </c>
      <c r="C1561" s="8">
        <f>-PV(B1561/100,$B$3,B1560/100,1)</f>
        <v/>
      </c>
      <c r="D1561" s="8">
        <f>B1560/100/12+(C1561-1)</f>
        <v/>
      </c>
      <c r="E1561" s="8">
        <f>E1560*(1+D1561)</f>
        <v/>
      </c>
    </row>
    <row r="1562">
      <c r="A1562" s="8" t="inlineStr">
        <is>
          <t>2000-09-01</t>
        </is>
      </c>
      <c r="B1562" s="6" t="n">
        <v>5.8</v>
      </c>
      <c r="C1562" s="8">
        <f>-PV(B1562/100,$B$3,B1561/100,1)</f>
        <v/>
      </c>
      <c r="D1562" s="8">
        <f>B1561/100/12+(C1562-1)</f>
        <v/>
      </c>
      <c r="E1562" s="8">
        <f>E1561*(1+D1562)</f>
        <v/>
      </c>
    </row>
    <row r="1563">
      <c r="A1563" s="8" t="inlineStr">
        <is>
          <t>2000-10-01</t>
        </is>
      </c>
      <c r="B1563" s="6" t="n">
        <v>5.74</v>
      </c>
      <c r="C1563" s="8">
        <f>-PV(B1563/100,$B$3,B1562/100,1)</f>
        <v/>
      </c>
      <c r="D1563" s="8">
        <f>B1562/100/12+(C1563-1)</f>
        <v/>
      </c>
      <c r="E1563" s="8">
        <f>E1562*(1+D1563)</f>
        <v/>
      </c>
    </row>
    <row r="1564">
      <c r="A1564" s="8" t="inlineStr">
        <is>
          <t>2000-11-01</t>
        </is>
      </c>
      <c r="B1564" s="6" t="n">
        <v>5.72</v>
      </c>
      <c r="C1564" s="8">
        <f>-PV(B1564/100,$B$3,B1563/100,1)</f>
        <v/>
      </c>
      <c r="D1564" s="8">
        <f>B1563/100/12+(C1564-1)</f>
        <v/>
      </c>
      <c r="E1564" s="8">
        <f>E1563*(1+D1564)</f>
        <v/>
      </c>
    </row>
    <row r="1565">
      <c r="A1565" s="8" t="inlineStr">
        <is>
          <t>2000-12-01</t>
        </is>
      </c>
      <c r="B1565" s="6" t="n">
        <v>5.24</v>
      </c>
      <c r="C1565" s="8">
        <f>-PV(B1565/100,$B$3,B1564/100,1)</f>
        <v/>
      </c>
      <c r="D1565" s="8">
        <f>B1564/100/12+(C1565-1)</f>
        <v/>
      </c>
      <c r="E1565" s="8">
        <f>E1564*(1+D1565)</f>
        <v/>
      </c>
    </row>
    <row r="1566">
      <c r="A1566" s="8" t="inlineStr">
        <is>
          <t>2001-01-01</t>
        </is>
      </c>
      <c r="B1566" s="6" t="n">
        <v>5.16</v>
      </c>
      <c r="C1566" s="8">
        <f>-PV(B1566/100,$B$3,B1565/100,1)</f>
        <v/>
      </c>
      <c r="D1566" s="8">
        <f>B1565/100/12+(C1566-1)</f>
        <v/>
      </c>
      <c r="E1566" s="8">
        <f>E1565*(1+D1566)</f>
        <v/>
      </c>
    </row>
    <row r="1567">
      <c r="A1567" s="8" t="inlineStr">
        <is>
          <t>2001-02-01</t>
        </is>
      </c>
      <c r="B1567" s="6" t="n">
        <v>5.1</v>
      </c>
      <c r="C1567" s="8">
        <f>-PV(B1567/100,$B$3,B1566/100,1)</f>
        <v/>
      </c>
      <c r="D1567" s="8">
        <f>B1566/100/12+(C1567-1)</f>
        <v/>
      </c>
      <c r="E1567" s="8">
        <f>E1566*(1+D1567)</f>
        <v/>
      </c>
    </row>
    <row r="1568">
      <c r="A1568" s="8" t="inlineStr">
        <is>
          <t>2001-03-01</t>
        </is>
      </c>
      <c r="B1568" s="6" t="n">
        <v>4.89</v>
      </c>
      <c r="C1568" s="8">
        <f>-PV(B1568/100,$B$3,B1567/100,1)</f>
        <v/>
      </c>
      <c r="D1568" s="8">
        <f>B1567/100/12+(C1568-1)</f>
        <v/>
      </c>
      <c r="E1568" s="8">
        <f>E1567*(1+D1568)</f>
        <v/>
      </c>
    </row>
    <row r="1569">
      <c r="A1569" s="8" t="inlineStr">
        <is>
          <t>2001-04-01</t>
        </is>
      </c>
      <c r="B1569" s="6" t="n">
        <v>5.14</v>
      </c>
      <c r="C1569" s="8">
        <f>-PV(B1569/100,$B$3,B1568/100,1)</f>
        <v/>
      </c>
      <c r="D1569" s="8">
        <f>B1568/100/12+(C1569-1)</f>
        <v/>
      </c>
      <c r="E1569" s="8">
        <f>E1568*(1+D1569)</f>
        <v/>
      </c>
    </row>
    <row r="1570">
      <c r="A1570" s="8" t="inlineStr">
        <is>
          <t>2001-05-01</t>
        </is>
      </c>
      <c r="B1570" s="6" t="n">
        <v>5.39</v>
      </c>
      <c r="C1570" s="8">
        <f>-PV(B1570/100,$B$3,B1569/100,1)</f>
        <v/>
      </c>
      <c r="D1570" s="8">
        <f>B1569/100/12+(C1570-1)</f>
        <v/>
      </c>
      <c r="E1570" s="8">
        <f>E1569*(1+D1570)</f>
        <v/>
      </c>
    </row>
    <row r="1571">
      <c r="A1571" s="8" t="inlineStr">
        <is>
          <t>2001-06-01</t>
        </is>
      </c>
      <c r="B1571" s="6" t="n">
        <v>5.28</v>
      </c>
      <c r="C1571" s="8">
        <f>-PV(B1571/100,$B$3,B1570/100,1)</f>
        <v/>
      </c>
      <c r="D1571" s="8">
        <f>B1570/100/12+(C1571-1)</f>
        <v/>
      </c>
      <c r="E1571" s="8">
        <f>E1570*(1+D1571)</f>
        <v/>
      </c>
    </row>
    <row r="1572">
      <c r="A1572" s="8" t="inlineStr">
        <is>
          <t>2001-07-01</t>
        </is>
      </c>
      <c r="B1572" s="6" t="n">
        <v>5.24</v>
      </c>
      <c r="C1572" s="8">
        <f>-PV(B1572/100,$B$3,B1571/100,1)</f>
        <v/>
      </c>
      <c r="D1572" s="8">
        <f>B1571/100/12+(C1572-1)</f>
        <v/>
      </c>
      <c r="E1572" s="8">
        <f>E1571*(1+D1572)</f>
        <v/>
      </c>
    </row>
    <row r="1573">
      <c r="A1573" s="8" t="inlineStr">
        <is>
          <t>2001-08-01</t>
        </is>
      </c>
      <c r="B1573" s="6" t="n">
        <v>4.97</v>
      </c>
      <c r="C1573" s="8">
        <f>-PV(B1573/100,$B$3,B1572/100,1)</f>
        <v/>
      </c>
      <c r="D1573" s="8">
        <f>B1572/100/12+(C1573-1)</f>
        <v/>
      </c>
      <c r="E1573" s="8">
        <f>E1572*(1+D1573)</f>
        <v/>
      </c>
    </row>
    <row r="1574">
      <c r="A1574" s="8" t="inlineStr">
        <is>
          <t>2001-09-01</t>
        </is>
      </c>
      <c r="B1574" s="6" t="n">
        <v>4.73</v>
      </c>
      <c r="C1574" s="8">
        <f>-PV(B1574/100,$B$3,B1573/100,1)</f>
        <v/>
      </c>
      <c r="D1574" s="8">
        <f>B1573/100/12+(C1574-1)</f>
        <v/>
      </c>
      <c r="E1574" s="8">
        <f>E1573*(1+D1574)</f>
        <v/>
      </c>
    </row>
    <row r="1575">
      <c r="A1575" s="8" t="inlineStr">
        <is>
          <t>2001-10-01</t>
        </is>
      </c>
      <c r="B1575" s="6" t="n">
        <v>4.57</v>
      </c>
      <c r="C1575" s="8">
        <f>-PV(B1575/100,$B$3,B1574/100,1)</f>
        <v/>
      </c>
      <c r="D1575" s="8">
        <f>B1574/100/12+(C1575-1)</f>
        <v/>
      </c>
      <c r="E1575" s="8">
        <f>E1574*(1+D1575)</f>
        <v/>
      </c>
    </row>
    <row r="1576">
      <c r="A1576" s="8" t="inlineStr">
        <is>
          <t>2001-11-01</t>
        </is>
      </c>
      <c r="B1576" s="6" t="n">
        <v>4.65</v>
      </c>
      <c r="C1576" s="8">
        <f>-PV(B1576/100,$B$3,B1575/100,1)</f>
        <v/>
      </c>
      <c r="D1576" s="8">
        <f>B1575/100/12+(C1576-1)</f>
        <v/>
      </c>
      <c r="E1576" s="8">
        <f>E1575*(1+D1576)</f>
        <v/>
      </c>
    </row>
    <row r="1577">
      <c r="A1577" s="8" t="inlineStr">
        <is>
          <t>2001-12-01</t>
        </is>
      </c>
      <c r="B1577" s="6" t="n">
        <v>5.09</v>
      </c>
      <c r="C1577" s="8">
        <f>-PV(B1577/100,$B$3,B1576/100,1)</f>
        <v/>
      </c>
      <c r="D1577" s="8">
        <f>B1576/100/12+(C1577-1)</f>
        <v/>
      </c>
      <c r="E1577" s="8">
        <f>E1576*(1+D1577)</f>
        <v/>
      </c>
    </row>
    <row r="1578">
      <c r="A1578" s="8" t="inlineStr">
        <is>
          <t>2002-01-01</t>
        </is>
      </c>
      <c r="B1578" s="6" t="n">
        <v>5.04</v>
      </c>
      <c r="C1578" s="8">
        <f>-PV(B1578/100,$B$3,B1577/100,1)</f>
        <v/>
      </c>
      <c r="D1578" s="8">
        <f>B1577/100/12+(C1578-1)</f>
        <v/>
      </c>
      <c r="E1578" s="8">
        <f>E1577*(1+D1578)</f>
        <v/>
      </c>
    </row>
    <row r="1579">
      <c r="A1579" s="8" t="inlineStr">
        <is>
          <t>2002-02-01</t>
        </is>
      </c>
      <c r="B1579" s="6" t="n">
        <v>4.91</v>
      </c>
      <c r="C1579" s="8">
        <f>-PV(B1579/100,$B$3,B1578/100,1)</f>
        <v/>
      </c>
      <c r="D1579" s="8">
        <f>B1578/100/12+(C1579-1)</f>
        <v/>
      </c>
      <c r="E1579" s="8">
        <f>E1578*(1+D1579)</f>
        <v/>
      </c>
    </row>
    <row r="1580">
      <c r="A1580" s="8" t="inlineStr">
        <is>
          <t>2002-03-01</t>
        </is>
      </c>
      <c r="B1580" s="6" t="n">
        <v>5.28</v>
      </c>
      <c r="C1580" s="8">
        <f>-PV(B1580/100,$B$3,B1579/100,1)</f>
        <v/>
      </c>
      <c r="D1580" s="8">
        <f>B1579/100/12+(C1580-1)</f>
        <v/>
      </c>
      <c r="E1580" s="8">
        <f>E1579*(1+D1580)</f>
        <v/>
      </c>
    </row>
    <row r="1581">
      <c r="A1581" s="8" t="inlineStr">
        <is>
          <t>2002-04-01</t>
        </is>
      </c>
      <c r="B1581" s="6" t="n">
        <v>5.21</v>
      </c>
      <c r="C1581" s="8">
        <f>-PV(B1581/100,$B$3,B1580/100,1)</f>
        <v/>
      </c>
      <c r="D1581" s="8">
        <f>B1580/100/12+(C1581-1)</f>
        <v/>
      </c>
      <c r="E1581" s="8">
        <f>E1580*(1+D1581)</f>
        <v/>
      </c>
    </row>
    <row r="1582">
      <c r="A1582" s="8" t="inlineStr">
        <is>
          <t>2002-05-01</t>
        </is>
      </c>
      <c r="B1582" s="6" t="n">
        <v>5.16</v>
      </c>
      <c r="C1582" s="8">
        <f>-PV(B1582/100,$B$3,B1581/100,1)</f>
        <v/>
      </c>
      <c r="D1582" s="8">
        <f>B1581/100/12+(C1582-1)</f>
        <v/>
      </c>
      <c r="E1582" s="8">
        <f>E1581*(1+D1582)</f>
        <v/>
      </c>
    </row>
    <row r="1583">
      <c r="A1583" s="8" t="inlineStr">
        <is>
          <t>2002-06-01</t>
        </is>
      </c>
      <c r="B1583" s="6" t="n">
        <v>4.93</v>
      </c>
      <c r="C1583" s="8">
        <f>-PV(B1583/100,$B$3,B1582/100,1)</f>
        <v/>
      </c>
      <c r="D1583" s="8">
        <f>B1582/100/12+(C1583-1)</f>
        <v/>
      </c>
      <c r="E1583" s="8">
        <f>E1582*(1+D1583)</f>
        <v/>
      </c>
    </row>
    <row r="1584">
      <c r="A1584" s="8" t="inlineStr">
        <is>
          <t>2002-07-01</t>
        </is>
      </c>
      <c r="B1584" s="6" t="n">
        <v>4.65</v>
      </c>
      <c r="C1584" s="8">
        <f>-PV(B1584/100,$B$3,B1583/100,1)</f>
        <v/>
      </c>
      <c r="D1584" s="8">
        <f>B1583/100/12+(C1584-1)</f>
        <v/>
      </c>
      <c r="E1584" s="8">
        <f>E1583*(1+D1584)</f>
        <v/>
      </c>
    </row>
    <row r="1585">
      <c r="A1585" s="8" t="inlineStr">
        <is>
          <t>2002-08-01</t>
        </is>
      </c>
      <c r="B1585" s="6" t="n">
        <v>4.26</v>
      </c>
      <c r="C1585" s="8">
        <f>-PV(B1585/100,$B$3,B1584/100,1)</f>
        <v/>
      </c>
      <c r="D1585" s="8">
        <f>B1584/100/12+(C1585-1)</f>
        <v/>
      </c>
      <c r="E1585" s="8">
        <f>E1584*(1+D1585)</f>
        <v/>
      </c>
    </row>
    <row r="1586">
      <c r="A1586" s="8" t="inlineStr">
        <is>
          <t>2002-09-01</t>
        </is>
      </c>
      <c r="B1586" s="6" t="n">
        <v>3.87</v>
      </c>
      <c r="C1586" s="8">
        <f>-PV(B1586/100,$B$3,B1585/100,1)</f>
        <v/>
      </c>
      <c r="D1586" s="8">
        <f>B1585/100/12+(C1586-1)</f>
        <v/>
      </c>
      <c r="E1586" s="8">
        <f>E1585*(1+D1586)</f>
        <v/>
      </c>
    </row>
    <row r="1587">
      <c r="A1587" s="8" t="inlineStr">
        <is>
          <t>2002-10-01</t>
        </is>
      </c>
      <c r="B1587" s="6" t="n">
        <v>3.94</v>
      </c>
      <c r="C1587" s="8">
        <f>-PV(B1587/100,$B$3,B1586/100,1)</f>
        <v/>
      </c>
      <c r="D1587" s="8">
        <f>B1586/100/12+(C1587-1)</f>
        <v/>
      </c>
      <c r="E1587" s="8">
        <f>E1586*(1+D1587)</f>
        <v/>
      </c>
    </row>
    <row r="1588">
      <c r="A1588" s="8" t="inlineStr">
        <is>
          <t>2002-11-01</t>
        </is>
      </c>
      <c r="B1588" s="6" t="n">
        <v>4.05</v>
      </c>
      <c r="C1588" s="8">
        <f>-PV(B1588/100,$B$3,B1587/100,1)</f>
        <v/>
      </c>
      <c r="D1588" s="8">
        <f>B1587/100/12+(C1588-1)</f>
        <v/>
      </c>
      <c r="E1588" s="8">
        <f>E1587*(1+D1588)</f>
        <v/>
      </c>
    </row>
    <row r="1589">
      <c r="A1589" s="8" t="inlineStr">
        <is>
          <t>2002-12-01</t>
        </is>
      </c>
      <c r="B1589" s="6" t="n">
        <v>4.03</v>
      </c>
      <c r="C1589" s="8">
        <f>-PV(B1589/100,$B$3,B1588/100,1)</f>
        <v/>
      </c>
      <c r="D1589" s="8">
        <f>B1588/100/12+(C1589-1)</f>
        <v/>
      </c>
      <c r="E1589" s="8">
        <f>E1588*(1+D1589)</f>
        <v/>
      </c>
    </row>
    <row r="1590">
      <c r="A1590" s="8" t="inlineStr">
        <is>
          <t>2003-01-01</t>
        </is>
      </c>
      <c r="B1590" s="6" t="n">
        <v>4.05</v>
      </c>
      <c r="C1590" s="8">
        <f>-PV(B1590/100,$B$3,B1589/100,1)</f>
        <v/>
      </c>
      <c r="D1590" s="8">
        <f>B1589/100/12+(C1590-1)</f>
        <v/>
      </c>
      <c r="E1590" s="8">
        <f>E1589*(1+D1590)</f>
        <v/>
      </c>
    </row>
    <row r="1591">
      <c r="A1591" s="8" t="inlineStr">
        <is>
          <t>2003-02-01</t>
        </is>
      </c>
      <c r="B1591" s="6" t="n">
        <v>3.9</v>
      </c>
      <c r="C1591" s="8">
        <f>-PV(B1591/100,$B$3,B1590/100,1)</f>
        <v/>
      </c>
      <c r="D1591" s="8">
        <f>B1590/100/12+(C1591-1)</f>
        <v/>
      </c>
      <c r="E1591" s="8">
        <f>E1590*(1+D1591)</f>
        <v/>
      </c>
    </row>
    <row r="1592">
      <c r="A1592" s="8" t="inlineStr">
        <is>
          <t>2003-03-01</t>
        </is>
      </c>
      <c r="B1592" s="6" t="n">
        <v>3.81</v>
      </c>
      <c r="C1592" s="8">
        <f>-PV(B1592/100,$B$3,B1591/100,1)</f>
        <v/>
      </c>
      <c r="D1592" s="8">
        <f>B1591/100/12+(C1592-1)</f>
        <v/>
      </c>
      <c r="E1592" s="8">
        <f>E1591*(1+D1592)</f>
        <v/>
      </c>
    </row>
    <row r="1593">
      <c r="A1593" s="8" t="inlineStr">
        <is>
          <t>2003-04-01</t>
        </is>
      </c>
      <c r="B1593" s="6" t="n">
        <v>3.96</v>
      </c>
      <c r="C1593" s="8">
        <f>-PV(B1593/100,$B$3,B1592/100,1)</f>
        <v/>
      </c>
      <c r="D1593" s="8">
        <f>B1592/100/12+(C1593-1)</f>
        <v/>
      </c>
      <c r="E1593" s="8">
        <f>E1592*(1+D1593)</f>
        <v/>
      </c>
    </row>
    <row r="1594">
      <c r="A1594" s="8" t="inlineStr">
        <is>
          <t>2003-05-01</t>
        </is>
      </c>
      <c r="B1594" s="6" t="n">
        <v>3.57</v>
      </c>
      <c r="C1594" s="8">
        <f>-PV(B1594/100,$B$3,B1593/100,1)</f>
        <v/>
      </c>
      <c r="D1594" s="8">
        <f>B1593/100/12+(C1594-1)</f>
        <v/>
      </c>
      <c r="E1594" s="8">
        <f>E1593*(1+D1594)</f>
        <v/>
      </c>
    </row>
    <row r="1595">
      <c r="A1595" s="8" t="inlineStr">
        <is>
          <t>2003-06-01</t>
        </is>
      </c>
      <c r="B1595" s="6" t="n">
        <v>3.33</v>
      </c>
      <c r="C1595" s="8">
        <f>-PV(B1595/100,$B$3,B1594/100,1)</f>
        <v/>
      </c>
      <c r="D1595" s="8">
        <f>B1594/100/12+(C1595-1)</f>
        <v/>
      </c>
      <c r="E1595" s="8">
        <f>E1594*(1+D1595)</f>
        <v/>
      </c>
    </row>
    <row r="1596">
      <c r="A1596" s="8" t="inlineStr">
        <is>
          <t>2003-07-01</t>
        </is>
      </c>
      <c r="B1596" s="6" t="n">
        <v>3.98</v>
      </c>
      <c r="C1596" s="8">
        <f>-PV(B1596/100,$B$3,B1595/100,1)</f>
        <v/>
      </c>
      <c r="D1596" s="8">
        <f>B1595/100/12+(C1596-1)</f>
        <v/>
      </c>
      <c r="E1596" s="8">
        <f>E1595*(1+D1596)</f>
        <v/>
      </c>
    </row>
    <row r="1597">
      <c r="A1597" s="8" t="inlineStr">
        <is>
          <t>2003-08-01</t>
        </is>
      </c>
      <c r="B1597" s="6" t="n">
        <v>4.45</v>
      </c>
      <c r="C1597" s="8">
        <f>-PV(B1597/100,$B$3,B1596/100,1)</f>
        <v/>
      </c>
      <c r="D1597" s="8">
        <f>B1596/100/12+(C1597-1)</f>
        <v/>
      </c>
      <c r="E1597" s="8">
        <f>E1596*(1+D1597)</f>
        <v/>
      </c>
    </row>
    <row r="1598">
      <c r="A1598" s="8" t="inlineStr">
        <is>
          <t>2003-09-01</t>
        </is>
      </c>
      <c r="B1598" s="6" t="n">
        <v>4.27</v>
      </c>
      <c r="C1598" s="8">
        <f>-PV(B1598/100,$B$3,B1597/100,1)</f>
        <v/>
      </c>
      <c r="D1598" s="8">
        <f>B1597/100/12+(C1598-1)</f>
        <v/>
      </c>
      <c r="E1598" s="8">
        <f>E1597*(1+D1598)</f>
        <v/>
      </c>
    </row>
    <row r="1599">
      <c r="A1599" s="8" t="inlineStr">
        <is>
          <t>2003-10-01</t>
        </is>
      </c>
      <c r="B1599" s="6" t="n">
        <v>4.29</v>
      </c>
      <c r="C1599" s="8">
        <f>-PV(B1599/100,$B$3,B1598/100,1)</f>
        <v/>
      </c>
      <c r="D1599" s="8">
        <f>B1598/100/12+(C1599-1)</f>
        <v/>
      </c>
      <c r="E1599" s="8">
        <f>E1598*(1+D1599)</f>
        <v/>
      </c>
    </row>
    <row r="1600">
      <c r="A1600" s="8" t="inlineStr">
        <is>
          <t>2003-11-01</t>
        </is>
      </c>
      <c r="B1600" s="6" t="n">
        <v>4.3</v>
      </c>
      <c r="C1600" s="8">
        <f>-PV(B1600/100,$B$3,B1599/100,1)</f>
        <v/>
      </c>
      <c r="D1600" s="8">
        <f>B1599/100/12+(C1600-1)</f>
        <v/>
      </c>
      <c r="E1600" s="8">
        <f>E1599*(1+D1600)</f>
        <v/>
      </c>
    </row>
    <row r="1601">
      <c r="A1601" s="8" t="inlineStr">
        <is>
          <t>2003-12-01</t>
        </is>
      </c>
      <c r="B1601" s="6" t="n">
        <v>4.27</v>
      </c>
      <c r="C1601" s="8">
        <f>-PV(B1601/100,$B$3,B1600/100,1)</f>
        <v/>
      </c>
      <c r="D1601" s="8">
        <f>B1600/100/12+(C1601-1)</f>
        <v/>
      </c>
      <c r="E1601" s="8">
        <f>E1600*(1+D1601)</f>
        <v/>
      </c>
    </row>
    <row r="1602">
      <c r="A1602" s="8" t="inlineStr">
        <is>
          <t>2004-01-01</t>
        </is>
      </c>
      <c r="B1602" s="6" t="n">
        <v>4.15</v>
      </c>
      <c r="C1602" s="8">
        <f>-PV(B1602/100,$B$3,B1601/100,1)</f>
        <v/>
      </c>
      <c r="D1602" s="8">
        <f>B1601/100/12+(C1602-1)</f>
        <v/>
      </c>
      <c r="E1602" s="8">
        <f>E1601*(1+D1602)</f>
        <v/>
      </c>
    </row>
    <row r="1603">
      <c r="A1603" s="8" t="inlineStr">
        <is>
          <t>2004-02-01</t>
        </is>
      </c>
      <c r="B1603" s="6" t="n">
        <v>4.08</v>
      </c>
      <c r="C1603" s="8">
        <f>-PV(B1603/100,$B$3,B1602/100,1)</f>
        <v/>
      </c>
      <c r="D1603" s="8">
        <f>B1602/100/12+(C1603-1)</f>
        <v/>
      </c>
      <c r="E1603" s="8">
        <f>E1602*(1+D1603)</f>
        <v/>
      </c>
    </row>
    <row r="1604">
      <c r="A1604" s="8" t="inlineStr">
        <is>
          <t>2004-03-01</t>
        </is>
      </c>
      <c r="B1604" s="6" t="n">
        <v>3.83</v>
      </c>
      <c r="C1604" s="8">
        <f>-PV(B1604/100,$B$3,B1603/100,1)</f>
        <v/>
      </c>
      <c r="D1604" s="8">
        <f>B1603/100/12+(C1604-1)</f>
        <v/>
      </c>
      <c r="E1604" s="8">
        <f>E1603*(1+D1604)</f>
        <v/>
      </c>
    </row>
    <row r="1605">
      <c r="A1605" s="8" t="inlineStr">
        <is>
          <t>2004-04-01</t>
        </is>
      </c>
      <c r="B1605" s="6" t="n">
        <v>4.35</v>
      </c>
      <c r="C1605" s="8">
        <f>-PV(B1605/100,$B$3,B1604/100,1)</f>
        <v/>
      </c>
      <c r="D1605" s="8">
        <f>B1604/100/12+(C1605-1)</f>
        <v/>
      </c>
      <c r="E1605" s="8">
        <f>E1604*(1+D1605)</f>
        <v/>
      </c>
    </row>
    <row r="1606">
      <c r="A1606" s="8" t="inlineStr">
        <is>
          <t>2004-05-01</t>
        </is>
      </c>
      <c r="B1606" s="6" t="n">
        <v>4.72</v>
      </c>
      <c r="C1606" s="8">
        <f>-PV(B1606/100,$B$3,B1605/100,1)</f>
        <v/>
      </c>
      <c r="D1606" s="8">
        <f>B1605/100/12+(C1606-1)</f>
        <v/>
      </c>
      <c r="E1606" s="8">
        <f>E1605*(1+D1606)</f>
        <v/>
      </c>
    </row>
    <row r="1607">
      <c r="A1607" s="8" t="inlineStr">
        <is>
          <t>2004-06-01</t>
        </is>
      </c>
      <c r="B1607" s="6" t="n">
        <v>4.73</v>
      </c>
      <c r="C1607" s="8">
        <f>-PV(B1607/100,$B$3,B1606/100,1)</f>
        <v/>
      </c>
      <c r="D1607" s="8">
        <f>B1606/100/12+(C1607-1)</f>
        <v/>
      </c>
      <c r="E1607" s="8">
        <f>E1606*(1+D1607)</f>
        <v/>
      </c>
    </row>
    <row r="1608">
      <c r="A1608" s="8" t="inlineStr">
        <is>
          <t>2004-07-01</t>
        </is>
      </c>
      <c r="B1608" s="6" t="n">
        <v>4.5</v>
      </c>
      <c r="C1608" s="8">
        <f>-PV(B1608/100,$B$3,B1607/100,1)</f>
        <v/>
      </c>
      <c r="D1608" s="8">
        <f>B1607/100/12+(C1608-1)</f>
        <v/>
      </c>
      <c r="E1608" s="8">
        <f>E1607*(1+D1608)</f>
        <v/>
      </c>
    </row>
    <row r="1609">
      <c r="A1609" s="8" t="inlineStr">
        <is>
          <t>2004-08-01</t>
        </is>
      </c>
      <c r="B1609" s="6" t="n">
        <v>4.28</v>
      </c>
      <c r="C1609" s="8">
        <f>-PV(B1609/100,$B$3,B1608/100,1)</f>
        <v/>
      </c>
      <c r="D1609" s="8">
        <f>B1608/100/12+(C1609-1)</f>
        <v/>
      </c>
      <c r="E1609" s="8">
        <f>E1608*(1+D1609)</f>
        <v/>
      </c>
    </row>
    <row r="1610">
      <c r="A1610" s="8" t="inlineStr">
        <is>
          <t>2004-09-01</t>
        </is>
      </c>
      <c r="B1610" s="6" t="n">
        <v>4.13</v>
      </c>
      <c r="C1610" s="8">
        <f>-PV(B1610/100,$B$3,B1609/100,1)</f>
        <v/>
      </c>
      <c r="D1610" s="8">
        <f>B1609/100/12+(C1610-1)</f>
        <v/>
      </c>
      <c r="E1610" s="8">
        <f>E1609*(1+D1610)</f>
        <v/>
      </c>
    </row>
    <row r="1611">
      <c r="A1611" s="8" t="inlineStr">
        <is>
          <t>2004-10-01</t>
        </is>
      </c>
      <c r="B1611" s="6" t="n">
        <v>4.1</v>
      </c>
      <c r="C1611" s="8">
        <f>-PV(B1611/100,$B$3,B1610/100,1)</f>
        <v/>
      </c>
      <c r="D1611" s="8">
        <f>B1610/100/12+(C1611-1)</f>
        <v/>
      </c>
      <c r="E1611" s="8">
        <f>E1610*(1+D1611)</f>
        <v/>
      </c>
    </row>
    <row r="1612">
      <c r="A1612" s="8" t="inlineStr">
        <is>
          <t>2004-11-01</t>
        </is>
      </c>
      <c r="B1612" s="6" t="n">
        <v>4.19</v>
      </c>
      <c r="C1612" s="8">
        <f>-PV(B1612/100,$B$3,B1611/100,1)</f>
        <v/>
      </c>
      <c r="D1612" s="8">
        <f>B1611/100/12+(C1612-1)</f>
        <v/>
      </c>
      <c r="E1612" s="8">
        <f>E1611*(1+D1612)</f>
        <v/>
      </c>
    </row>
    <row r="1613">
      <c r="A1613" s="8" t="inlineStr">
        <is>
          <t>2004-12-01</t>
        </is>
      </c>
      <c r="B1613" s="6" t="n">
        <v>4.23</v>
      </c>
      <c r="C1613" s="8">
        <f>-PV(B1613/100,$B$3,B1612/100,1)</f>
        <v/>
      </c>
      <c r="D1613" s="8">
        <f>B1612/100/12+(C1613-1)</f>
        <v/>
      </c>
      <c r="E1613" s="8">
        <f>E1612*(1+D1613)</f>
        <v/>
      </c>
    </row>
    <row r="1614">
      <c r="A1614" s="8" t="inlineStr">
        <is>
          <t>2005-01-01</t>
        </is>
      </c>
      <c r="B1614" s="6" t="n">
        <v>4.22</v>
      </c>
      <c r="C1614" s="8">
        <f>-PV(B1614/100,$B$3,B1613/100,1)</f>
        <v/>
      </c>
      <c r="D1614" s="8">
        <f>B1613/100/12+(C1614-1)</f>
        <v/>
      </c>
      <c r="E1614" s="8">
        <f>E1613*(1+D1614)</f>
        <v/>
      </c>
    </row>
    <row r="1615">
      <c r="A1615" s="8" t="inlineStr">
        <is>
          <t>2005-02-01</t>
        </is>
      </c>
      <c r="B1615" s="6" t="n">
        <v>4.17</v>
      </c>
      <c r="C1615" s="8">
        <f>-PV(B1615/100,$B$3,B1614/100,1)</f>
        <v/>
      </c>
      <c r="D1615" s="8">
        <f>B1614/100/12+(C1615-1)</f>
        <v/>
      </c>
      <c r="E1615" s="8">
        <f>E1614*(1+D1615)</f>
        <v/>
      </c>
    </row>
    <row r="1616">
      <c r="A1616" s="8" t="inlineStr">
        <is>
          <t>2005-03-01</t>
        </is>
      </c>
      <c r="B1616" s="6" t="n">
        <v>4.5</v>
      </c>
      <c r="C1616" s="8">
        <f>-PV(B1616/100,$B$3,B1615/100,1)</f>
        <v/>
      </c>
      <c r="D1616" s="8">
        <f>B1615/100/12+(C1616-1)</f>
        <v/>
      </c>
      <c r="E1616" s="8">
        <f>E1615*(1+D1616)</f>
        <v/>
      </c>
    </row>
    <row r="1617">
      <c r="A1617" s="8" t="inlineStr">
        <is>
          <t>2005-04-01</t>
        </is>
      </c>
      <c r="B1617" s="6" t="n">
        <v>4.34</v>
      </c>
      <c r="C1617" s="8">
        <f>-PV(B1617/100,$B$3,B1616/100,1)</f>
        <v/>
      </c>
      <c r="D1617" s="8">
        <f>B1616/100/12+(C1617-1)</f>
        <v/>
      </c>
      <c r="E1617" s="8">
        <f>E1616*(1+D1617)</f>
        <v/>
      </c>
    </row>
    <row r="1618">
      <c r="A1618" s="8" t="inlineStr">
        <is>
          <t>2005-05-01</t>
        </is>
      </c>
      <c r="B1618" s="6" t="n">
        <v>4.14</v>
      </c>
      <c r="C1618" s="8">
        <f>-PV(B1618/100,$B$3,B1617/100,1)</f>
        <v/>
      </c>
      <c r="D1618" s="8">
        <f>B1617/100/12+(C1618-1)</f>
        <v/>
      </c>
      <c r="E1618" s="8">
        <f>E1617*(1+D1618)</f>
        <v/>
      </c>
    </row>
    <row r="1619">
      <c r="A1619" s="8" t="inlineStr">
        <is>
          <t>2005-06-01</t>
        </is>
      </c>
      <c r="B1619" s="6" t="n">
        <v>4</v>
      </c>
      <c r="C1619" s="8">
        <f>-PV(B1619/100,$B$3,B1618/100,1)</f>
        <v/>
      </c>
      <c r="D1619" s="8">
        <f>B1618/100/12+(C1619-1)</f>
        <v/>
      </c>
      <c r="E1619" s="8">
        <f>E1618*(1+D1619)</f>
        <v/>
      </c>
    </row>
    <row r="1620">
      <c r="A1620" s="8" t="inlineStr">
        <is>
          <t>2005-07-01</t>
        </is>
      </c>
      <c r="B1620" s="6" t="n">
        <v>4.18</v>
      </c>
      <c r="C1620" s="8">
        <f>-PV(B1620/100,$B$3,B1619/100,1)</f>
        <v/>
      </c>
      <c r="D1620" s="8">
        <f>B1619/100/12+(C1620-1)</f>
        <v/>
      </c>
      <c r="E1620" s="8">
        <f>E1619*(1+D1620)</f>
        <v/>
      </c>
    </row>
    <row r="1621">
      <c r="A1621" s="8" t="inlineStr">
        <is>
          <t>2005-08-01</t>
        </is>
      </c>
      <c r="B1621" s="6" t="n">
        <v>4.26</v>
      </c>
      <c r="C1621" s="8">
        <f>-PV(B1621/100,$B$3,B1620/100,1)</f>
        <v/>
      </c>
      <c r="D1621" s="8">
        <f>B1620/100/12+(C1621-1)</f>
        <v/>
      </c>
      <c r="E1621" s="8">
        <f>E1620*(1+D1621)</f>
        <v/>
      </c>
    </row>
    <row r="1622">
      <c r="A1622" s="8" t="inlineStr">
        <is>
          <t>2005-09-01</t>
        </is>
      </c>
      <c r="B1622" s="6" t="n">
        <v>4.2</v>
      </c>
      <c r="C1622" s="8">
        <f>-PV(B1622/100,$B$3,B1621/100,1)</f>
        <v/>
      </c>
      <c r="D1622" s="8">
        <f>B1621/100/12+(C1622-1)</f>
        <v/>
      </c>
      <c r="E1622" s="8">
        <f>E1621*(1+D1622)</f>
        <v/>
      </c>
    </row>
    <row r="1623">
      <c r="A1623" s="8" t="inlineStr">
        <is>
          <t>2005-10-01</t>
        </is>
      </c>
      <c r="B1623" s="6" t="n">
        <v>4.46</v>
      </c>
      <c r="C1623" s="8">
        <f>-PV(B1623/100,$B$3,B1622/100,1)</f>
        <v/>
      </c>
      <c r="D1623" s="8">
        <f>B1622/100/12+(C1623-1)</f>
        <v/>
      </c>
      <c r="E1623" s="8">
        <f>E1622*(1+D1623)</f>
        <v/>
      </c>
    </row>
    <row r="1624">
      <c r="A1624" s="8" t="inlineStr">
        <is>
          <t>2005-11-01</t>
        </is>
      </c>
      <c r="B1624" s="6" t="n">
        <v>4.54</v>
      </c>
      <c r="C1624" s="8">
        <f>-PV(B1624/100,$B$3,B1623/100,1)</f>
        <v/>
      </c>
      <c r="D1624" s="8">
        <f>B1623/100/12+(C1624-1)</f>
        <v/>
      </c>
      <c r="E1624" s="8">
        <f>E1623*(1+D1624)</f>
        <v/>
      </c>
    </row>
    <row r="1625">
      <c r="A1625" s="8" t="inlineStr">
        <is>
          <t>2005-12-01</t>
        </is>
      </c>
      <c r="B1625" s="6" t="n">
        <v>4.47</v>
      </c>
      <c r="C1625" s="8">
        <f>-PV(B1625/100,$B$3,B1624/100,1)</f>
        <v/>
      </c>
      <c r="D1625" s="8">
        <f>B1624/100/12+(C1625-1)</f>
        <v/>
      </c>
      <c r="E1625" s="8">
        <f>E1624*(1+D1625)</f>
        <v/>
      </c>
    </row>
    <row r="1626">
      <c r="A1626" s="8" t="inlineStr">
        <is>
          <t>2006-01-01</t>
        </is>
      </c>
      <c r="B1626" s="6" t="n">
        <v>4.42</v>
      </c>
      <c r="C1626" s="8">
        <f>-PV(B1626/100,$B$3,B1625/100,1)</f>
        <v/>
      </c>
      <c r="D1626" s="8">
        <f>B1625/100/12+(C1626-1)</f>
        <v/>
      </c>
      <c r="E1626" s="8">
        <f>E1625*(1+D1626)</f>
        <v/>
      </c>
    </row>
    <row r="1627">
      <c r="A1627" s="8" t="inlineStr">
        <is>
          <t>2006-02-01</t>
        </is>
      </c>
      <c r="B1627" s="6" t="n">
        <v>4.57</v>
      </c>
      <c r="C1627" s="8">
        <f>-PV(B1627/100,$B$3,B1626/100,1)</f>
        <v/>
      </c>
      <c r="D1627" s="8">
        <f>B1626/100/12+(C1627-1)</f>
        <v/>
      </c>
      <c r="E1627" s="8">
        <f>E1626*(1+D1627)</f>
        <v/>
      </c>
    </row>
    <row r="1628">
      <c r="A1628" s="8" t="inlineStr">
        <is>
          <t>2006-03-01</t>
        </is>
      </c>
      <c r="B1628" s="6" t="n">
        <v>4.72</v>
      </c>
      <c r="C1628" s="8">
        <f>-PV(B1628/100,$B$3,B1627/100,1)</f>
        <v/>
      </c>
      <c r="D1628" s="8">
        <f>B1627/100/12+(C1628-1)</f>
        <v/>
      </c>
      <c r="E1628" s="8">
        <f>E1627*(1+D1628)</f>
        <v/>
      </c>
    </row>
    <row r="1629">
      <c r="A1629" s="8" t="inlineStr">
        <is>
          <t>2006-04-01</t>
        </is>
      </c>
      <c r="B1629" s="6" t="n">
        <v>4.99</v>
      </c>
      <c r="C1629" s="8">
        <f>-PV(B1629/100,$B$3,B1628/100,1)</f>
        <v/>
      </c>
      <c r="D1629" s="8">
        <f>B1628/100/12+(C1629-1)</f>
        <v/>
      </c>
      <c r="E1629" s="8">
        <f>E1628*(1+D1629)</f>
        <v/>
      </c>
    </row>
    <row r="1630">
      <c r="A1630" s="8" t="inlineStr">
        <is>
          <t>2006-05-01</t>
        </is>
      </c>
      <c r="B1630" s="6" t="n">
        <v>5.11</v>
      </c>
      <c r="C1630" s="8">
        <f>-PV(B1630/100,$B$3,B1629/100,1)</f>
        <v/>
      </c>
      <c r="D1630" s="8">
        <f>B1629/100/12+(C1630-1)</f>
        <v/>
      </c>
      <c r="E1630" s="8">
        <f>E1629*(1+D1630)</f>
        <v/>
      </c>
    </row>
    <row r="1631">
      <c r="A1631" s="8" t="inlineStr">
        <is>
          <t>2006-06-01</t>
        </is>
      </c>
      <c r="B1631" s="6" t="n">
        <v>5.11</v>
      </c>
      <c r="C1631" s="8">
        <f>-PV(B1631/100,$B$3,B1630/100,1)</f>
        <v/>
      </c>
      <c r="D1631" s="8">
        <f>B1630/100/12+(C1631-1)</f>
        <v/>
      </c>
      <c r="E1631" s="8">
        <f>E1630*(1+D1631)</f>
        <v/>
      </c>
    </row>
    <row r="1632">
      <c r="A1632" s="8" t="inlineStr">
        <is>
          <t>2006-07-01</t>
        </is>
      </c>
      <c r="B1632" s="6" t="n">
        <v>5.09</v>
      </c>
      <c r="C1632" s="8">
        <f>-PV(B1632/100,$B$3,B1631/100,1)</f>
        <v/>
      </c>
      <c r="D1632" s="8">
        <f>B1631/100/12+(C1632-1)</f>
        <v/>
      </c>
      <c r="E1632" s="8">
        <f>E1631*(1+D1632)</f>
        <v/>
      </c>
    </row>
    <row r="1633">
      <c r="A1633" s="8" t="inlineStr">
        <is>
          <t>2006-08-01</t>
        </is>
      </c>
      <c r="B1633" s="6" t="n">
        <v>4.88</v>
      </c>
      <c r="C1633" s="8">
        <f>-PV(B1633/100,$B$3,B1632/100,1)</f>
        <v/>
      </c>
      <c r="D1633" s="8">
        <f>B1632/100/12+(C1633-1)</f>
        <v/>
      </c>
      <c r="E1633" s="8">
        <f>E1632*(1+D1633)</f>
        <v/>
      </c>
    </row>
    <row r="1634">
      <c r="A1634" s="8" t="inlineStr">
        <is>
          <t>2006-09-01</t>
        </is>
      </c>
      <c r="B1634" s="6" t="n">
        <v>4.72</v>
      </c>
      <c r="C1634" s="8">
        <f>-PV(B1634/100,$B$3,B1633/100,1)</f>
        <v/>
      </c>
      <c r="D1634" s="8">
        <f>B1633/100/12+(C1634-1)</f>
        <v/>
      </c>
      <c r="E1634" s="8">
        <f>E1633*(1+D1634)</f>
        <v/>
      </c>
    </row>
    <row r="1635">
      <c r="A1635" s="8" t="inlineStr">
        <is>
          <t>2006-10-01</t>
        </is>
      </c>
      <c r="B1635" s="6" t="n">
        <v>4.73</v>
      </c>
      <c r="C1635" s="8">
        <f>-PV(B1635/100,$B$3,B1634/100,1)</f>
        <v/>
      </c>
      <c r="D1635" s="8">
        <f>B1634/100/12+(C1635-1)</f>
        <v/>
      </c>
      <c r="E1635" s="8">
        <f>E1634*(1+D1635)</f>
        <v/>
      </c>
    </row>
    <row r="1636">
      <c r="A1636" s="8" t="inlineStr">
        <is>
          <t>2006-11-01</t>
        </is>
      </c>
      <c r="B1636" s="6" t="n">
        <v>4.6</v>
      </c>
      <c r="C1636" s="8">
        <f>-PV(B1636/100,$B$3,B1635/100,1)</f>
        <v/>
      </c>
      <c r="D1636" s="8">
        <f>B1635/100/12+(C1636-1)</f>
        <v/>
      </c>
      <c r="E1636" s="8">
        <f>E1635*(1+D1636)</f>
        <v/>
      </c>
    </row>
    <row r="1637">
      <c r="A1637" s="8" t="inlineStr">
        <is>
          <t>2006-12-01</t>
        </is>
      </c>
      <c r="B1637" s="6" t="n">
        <v>4.56</v>
      </c>
      <c r="C1637" s="8">
        <f>-PV(B1637/100,$B$3,B1636/100,1)</f>
        <v/>
      </c>
      <c r="D1637" s="8">
        <f>B1636/100/12+(C1637-1)</f>
        <v/>
      </c>
      <c r="E1637" s="8">
        <f>E1636*(1+D1637)</f>
        <v/>
      </c>
    </row>
    <row r="1638">
      <c r="A1638" s="8" t="inlineStr">
        <is>
          <t>2007-01-01</t>
        </is>
      </c>
      <c r="B1638" s="6" t="n">
        <v>4.76</v>
      </c>
      <c r="C1638" s="8">
        <f>-PV(B1638/100,$B$3,B1637/100,1)</f>
        <v/>
      </c>
      <c r="D1638" s="8">
        <f>B1637/100/12+(C1638-1)</f>
        <v/>
      </c>
      <c r="E1638" s="8">
        <f>E1637*(1+D1638)</f>
        <v/>
      </c>
    </row>
    <row r="1639">
      <c r="A1639" s="8" t="inlineStr">
        <is>
          <t>2007-02-01</t>
        </is>
      </c>
      <c r="B1639" s="6" t="n">
        <v>4.72</v>
      </c>
      <c r="C1639" s="8">
        <f>-PV(B1639/100,$B$3,B1638/100,1)</f>
        <v/>
      </c>
      <c r="D1639" s="8">
        <f>B1638/100/12+(C1639-1)</f>
        <v/>
      </c>
      <c r="E1639" s="8">
        <f>E1638*(1+D1639)</f>
        <v/>
      </c>
    </row>
    <row r="1640">
      <c r="A1640" s="8" t="inlineStr">
        <is>
          <t>2007-03-01</t>
        </is>
      </c>
      <c r="B1640" s="6" t="n">
        <v>4.56</v>
      </c>
      <c r="C1640" s="8">
        <f>-PV(B1640/100,$B$3,B1639/100,1)</f>
        <v/>
      </c>
      <c r="D1640" s="8">
        <f>B1639/100/12+(C1640-1)</f>
        <v/>
      </c>
      <c r="E1640" s="8">
        <f>E1639*(1+D1640)</f>
        <v/>
      </c>
    </row>
    <row r="1641">
      <c r="A1641" s="8" t="inlineStr">
        <is>
          <t>2007-04-01</t>
        </is>
      </c>
      <c r="B1641" s="6" t="n">
        <v>4.69</v>
      </c>
      <c r="C1641" s="8">
        <f>-PV(B1641/100,$B$3,B1640/100,1)</f>
        <v/>
      </c>
      <c r="D1641" s="8">
        <f>B1640/100/12+(C1641-1)</f>
        <v/>
      </c>
      <c r="E1641" s="8">
        <f>E1640*(1+D1641)</f>
        <v/>
      </c>
    </row>
    <row r="1642">
      <c r="A1642" s="8" t="inlineStr">
        <is>
          <t>2007-05-01</t>
        </is>
      </c>
      <c r="B1642" s="6" t="n">
        <v>4.75</v>
      </c>
      <c r="C1642" s="8">
        <f>-PV(B1642/100,$B$3,B1641/100,1)</f>
        <v/>
      </c>
      <c r="D1642" s="8">
        <f>B1641/100/12+(C1642-1)</f>
        <v/>
      </c>
      <c r="E1642" s="8">
        <f>E1641*(1+D1642)</f>
        <v/>
      </c>
    </row>
    <row r="1643">
      <c r="A1643" s="8" t="inlineStr">
        <is>
          <t>2007-06-01</t>
        </is>
      </c>
      <c r="B1643" s="6" t="n">
        <v>5.1</v>
      </c>
      <c r="C1643" s="8">
        <f>-PV(B1643/100,$B$3,B1642/100,1)</f>
        <v/>
      </c>
      <c r="D1643" s="8">
        <f>B1642/100/12+(C1643-1)</f>
        <v/>
      </c>
      <c r="E1643" s="8">
        <f>E1642*(1+D1643)</f>
        <v/>
      </c>
    </row>
    <row r="1644">
      <c r="A1644" s="8" t="inlineStr">
        <is>
          <t>2007-07-01</t>
        </is>
      </c>
      <c r="B1644" s="6" t="n">
        <v>5</v>
      </c>
      <c r="C1644" s="8">
        <f>-PV(B1644/100,$B$3,B1643/100,1)</f>
        <v/>
      </c>
      <c r="D1644" s="8">
        <f>B1643/100/12+(C1644-1)</f>
        <v/>
      </c>
      <c r="E1644" s="8">
        <f>E1643*(1+D1644)</f>
        <v/>
      </c>
    </row>
    <row r="1645">
      <c r="A1645" s="8" t="inlineStr">
        <is>
          <t>2007-08-01</t>
        </is>
      </c>
      <c r="B1645" s="6" t="n">
        <v>4.67</v>
      </c>
      <c r="C1645" s="8">
        <f>-PV(B1645/100,$B$3,B1644/100,1)</f>
        <v/>
      </c>
      <c r="D1645" s="8">
        <f>B1644/100/12+(C1645-1)</f>
        <v/>
      </c>
      <c r="E1645" s="8">
        <f>E1644*(1+D1645)</f>
        <v/>
      </c>
    </row>
    <row r="1646">
      <c r="A1646" s="8" t="inlineStr">
        <is>
          <t>2007-09-01</t>
        </is>
      </c>
      <c r="B1646" s="6" t="n">
        <v>4.52</v>
      </c>
      <c r="C1646" s="8">
        <f>-PV(B1646/100,$B$3,B1645/100,1)</f>
        <v/>
      </c>
      <c r="D1646" s="8">
        <f>B1645/100/12+(C1646-1)</f>
        <v/>
      </c>
      <c r="E1646" s="8">
        <f>E1645*(1+D1646)</f>
        <v/>
      </c>
    </row>
    <row r="1647">
      <c r="A1647" s="8" t="inlineStr">
        <is>
          <t>2007-10-01</t>
        </is>
      </c>
      <c r="B1647" s="6" t="n">
        <v>4.53</v>
      </c>
      <c r="C1647" s="8">
        <f>-PV(B1647/100,$B$3,B1646/100,1)</f>
        <v/>
      </c>
      <c r="D1647" s="8">
        <f>B1646/100/12+(C1647-1)</f>
        <v/>
      </c>
      <c r="E1647" s="8">
        <f>E1646*(1+D1647)</f>
        <v/>
      </c>
    </row>
    <row r="1648">
      <c r="A1648" s="8" t="inlineStr">
        <is>
          <t>2007-11-01</t>
        </is>
      </c>
      <c r="B1648" s="6" t="n">
        <v>4.15</v>
      </c>
      <c r="C1648" s="8">
        <f>-PV(B1648/100,$B$3,B1647/100,1)</f>
        <v/>
      </c>
      <c r="D1648" s="8">
        <f>B1647/100/12+(C1648-1)</f>
        <v/>
      </c>
      <c r="E1648" s="8">
        <f>E1647*(1+D1648)</f>
        <v/>
      </c>
    </row>
    <row r="1649">
      <c r="A1649" s="8" t="inlineStr">
        <is>
          <t>2007-12-01</t>
        </is>
      </c>
      <c r="B1649" s="6" t="n">
        <v>4.1</v>
      </c>
      <c r="C1649" s="8">
        <f>-PV(B1649/100,$B$3,B1648/100,1)</f>
        <v/>
      </c>
      <c r="D1649" s="8">
        <f>B1648/100/12+(C1649-1)</f>
        <v/>
      </c>
      <c r="E1649" s="8">
        <f>E1648*(1+D1649)</f>
        <v/>
      </c>
    </row>
    <row r="1650">
      <c r="A1650" s="8" t="inlineStr">
        <is>
          <t>2008-01-01</t>
        </is>
      </c>
      <c r="B1650" s="6" t="n">
        <v>3.74</v>
      </c>
      <c r="C1650" s="8">
        <f>-PV(B1650/100,$B$3,B1649/100,1)</f>
        <v/>
      </c>
      <c r="D1650" s="8">
        <f>B1649/100/12+(C1650-1)</f>
        <v/>
      </c>
      <c r="E1650" s="8">
        <f>E1649*(1+D1650)</f>
        <v/>
      </c>
    </row>
    <row r="1651">
      <c r="A1651" s="8" t="inlineStr">
        <is>
          <t>2008-02-01</t>
        </is>
      </c>
      <c r="B1651" s="6" t="n">
        <v>3.74</v>
      </c>
      <c r="C1651" s="8">
        <f>-PV(B1651/100,$B$3,B1650/100,1)</f>
        <v/>
      </c>
      <c r="D1651" s="8">
        <f>B1650/100/12+(C1651-1)</f>
        <v/>
      </c>
      <c r="E1651" s="8">
        <f>E1650*(1+D1651)</f>
        <v/>
      </c>
    </row>
    <row r="1652">
      <c r="A1652" s="8" t="inlineStr">
        <is>
          <t>2008-03-01</t>
        </is>
      </c>
      <c r="B1652" s="6" t="n">
        <v>3.51</v>
      </c>
      <c r="C1652" s="8">
        <f>-PV(B1652/100,$B$3,B1651/100,1)</f>
        <v/>
      </c>
      <c r="D1652" s="8">
        <f>B1651/100/12+(C1652-1)</f>
        <v/>
      </c>
      <c r="E1652" s="8">
        <f>E1651*(1+D1652)</f>
        <v/>
      </c>
    </row>
    <row r="1653">
      <c r="A1653" s="8" t="inlineStr">
        <is>
          <t>2008-04-01</t>
        </is>
      </c>
      <c r="B1653" s="6" t="n">
        <v>3.68</v>
      </c>
      <c r="C1653" s="8">
        <f>-PV(B1653/100,$B$3,B1652/100,1)</f>
        <v/>
      </c>
      <c r="D1653" s="8">
        <f>B1652/100/12+(C1653-1)</f>
        <v/>
      </c>
      <c r="E1653" s="8">
        <f>E1652*(1+D1653)</f>
        <v/>
      </c>
    </row>
    <row r="1654">
      <c r="A1654" s="8" t="inlineStr">
        <is>
          <t>2008-05-01</t>
        </is>
      </c>
      <c r="B1654" s="6" t="n">
        <v>3.88</v>
      </c>
      <c r="C1654" s="8">
        <f>-PV(B1654/100,$B$3,B1653/100,1)</f>
        <v/>
      </c>
      <c r="D1654" s="8">
        <f>B1653/100/12+(C1654-1)</f>
        <v/>
      </c>
      <c r="E1654" s="8">
        <f>E1653*(1+D1654)</f>
        <v/>
      </c>
    </row>
    <row r="1655">
      <c r="A1655" s="8" t="inlineStr">
        <is>
          <t>2008-06-01</t>
        </is>
      </c>
      <c r="B1655" s="6" t="n">
        <v>4.1</v>
      </c>
      <c r="C1655" s="8">
        <f>-PV(B1655/100,$B$3,B1654/100,1)</f>
        <v/>
      </c>
      <c r="D1655" s="8">
        <f>B1654/100/12+(C1655-1)</f>
        <v/>
      </c>
      <c r="E1655" s="8">
        <f>E1654*(1+D1655)</f>
        <v/>
      </c>
    </row>
    <row r="1656">
      <c r="A1656" s="8" t="inlineStr">
        <is>
          <t>2008-07-01</t>
        </is>
      </c>
      <c r="B1656" s="6" t="n">
        <v>4.01</v>
      </c>
      <c r="C1656" s="8">
        <f>-PV(B1656/100,$B$3,B1655/100,1)</f>
        <v/>
      </c>
      <c r="D1656" s="8">
        <f>B1655/100/12+(C1656-1)</f>
        <v/>
      </c>
      <c r="E1656" s="8">
        <f>E1655*(1+D1656)</f>
        <v/>
      </c>
    </row>
    <row r="1657">
      <c r="A1657" s="8" t="inlineStr">
        <is>
          <t>2008-08-01</t>
        </is>
      </c>
      <c r="B1657" s="6" t="n">
        <v>3.89</v>
      </c>
      <c r="C1657" s="8">
        <f>-PV(B1657/100,$B$3,B1656/100,1)</f>
        <v/>
      </c>
      <c r="D1657" s="8">
        <f>B1656/100/12+(C1657-1)</f>
        <v/>
      </c>
      <c r="E1657" s="8">
        <f>E1656*(1+D1657)</f>
        <v/>
      </c>
    </row>
    <row r="1658">
      <c r="A1658" s="8" t="inlineStr">
        <is>
          <t>2008-09-01</t>
        </is>
      </c>
      <c r="B1658" s="6" t="n">
        <v>3.69</v>
      </c>
      <c r="C1658" s="8">
        <f>-PV(B1658/100,$B$3,B1657/100,1)</f>
        <v/>
      </c>
      <c r="D1658" s="8">
        <f>B1657/100/12+(C1658-1)</f>
        <v/>
      </c>
      <c r="E1658" s="8">
        <f>E1657*(1+D1658)</f>
        <v/>
      </c>
    </row>
    <row r="1659">
      <c r="A1659" s="8" t="inlineStr">
        <is>
          <t>2008-10-01</t>
        </is>
      </c>
      <c r="B1659" s="6" t="n">
        <v>3.81</v>
      </c>
      <c r="C1659" s="8">
        <f>-PV(B1659/100,$B$3,B1658/100,1)</f>
        <v/>
      </c>
      <c r="D1659" s="8">
        <f>B1658/100/12+(C1659-1)</f>
        <v/>
      </c>
      <c r="E1659" s="8">
        <f>E1658*(1+D1659)</f>
        <v/>
      </c>
    </row>
    <row r="1660">
      <c r="A1660" s="8" t="inlineStr">
        <is>
          <t>2008-11-01</t>
        </is>
      </c>
      <c r="B1660" s="6" t="n">
        <v>3.53</v>
      </c>
      <c r="C1660" s="8">
        <f>-PV(B1660/100,$B$3,B1659/100,1)</f>
        <v/>
      </c>
      <c r="D1660" s="8">
        <f>B1659/100/12+(C1660-1)</f>
        <v/>
      </c>
      <c r="E1660" s="8">
        <f>E1659*(1+D1660)</f>
        <v/>
      </c>
    </row>
    <row r="1661">
      <c r="A1661" s="8" t="inlineStr">
        <is>
          <t>2008-12-01</t>
        </is>
      </c>
      <c r="B1661" s="6" t="n">
        <v>2.42</v>
      </c>
      <c r="C1661" s="8">
        <f>-PV(B1661/100,$B$3,B1660/100,1)</f>
        <v/>
      </c>
      <c r="D1661" s="8">
        <f>B1660/100/12+(C1661-1)</f>
        <v/>
      </c>
      <c r="E1661" s="8">
        <f>E1660*(1+D1661)</f>
        <v/>
      </c>
    </row>
    <row r="1662">
      <c r="A1662" s="8" t="inlineStr">
        <is>
          <t>2009-01-01</t>
        </is>
      </c>
      <c r="B1662" s="6" t="n">
        <v>2.52</v>
      </c>
      <c r="C1662" s="8">
        <f>-PV(B1662/100,$B$3,B1661/100,1)</f>
        <v/>
      </c>
      <c r="D1662" s="8">
        <f>B1661/100/12+(C1662-1)</f>
        <v/>
      </c>
      <c r="E1662" s="8">
        <f>E1661*(1+D1662)</f>
        <v/>
      </c>
    </row>
    <row r="1663">
      <c r="A1663" s="8" t="inlineStr">
        <is>
          <t>2009-02-01</t>
        </is>
      </c>
      <c r="B1663" s="6" t="n">
        <v>2.87</v>
      </c>
      <c r="C1663" s="8">
        <f>-PV(B1663/100,$B$3,B1662/100,1)</f>
        <v/>
      </c>
      <c r="D1663" s="8">
        <f>B1662/100/12+(C1663-1)</f>
        <v/>
      </c>
      <c r="E1663" s="8">
        <f>E1662*(1+D1663)</f>
        <v/>
      </c>
    </row>
    <row r="1664">
      <c r="A1664" s="8" t="inlineStr">
        <is>
          <t>2009-03-01</t>
        </is>
      </c>
      <c r="B1664" s="6" t="n">
        <v>2.82</v>
      </c>
      <c r="C1664" s="8">
        <f>-PV(B1664/100,$B$3,B1663/100,1)</f>
        <v/>
      </c>
      <c r="D1664" s="8">
        <f>B1663/100/12+(C1664-1)</f>
        <v/>
      </c>
      <c r="E1664" s="8">
        <f>E1663*(1+D1664)</f>
        <v/>
      </c>
    </row>
    <row r="1665">
      <c r="A1665" s="8" t="inlineStr">
        <is>
          <t>2009-04-01</t>
        </is>
      </c>
      <c r="B1665" s="6" t="n">
        <v>2.93</v>
      </c>
      <c r="C1665" s="8">
        <f>-PV(B1665/100,$B$3,B1664/100,1)</f>
        <v/>
      </c>
      <c r="D1665" s="8">
        <f>B1664/100/12+(C1665-1)</f>
        <v/>
      </c>
      <c r="E1665" s="8">
        <f>E1664*(1+D1665)</f>
        <v/>
      </c>
    </row>
    <row r="1666">
      <c r="A1666" s="8" t="inlineStr">
        <is>
          <t>2009-05-01</t>
        </is>
      </c>
      <c r="B1666" s="6" t="n">
        <v>3.29</v>
      </c>
      <c r="C1666" s="8">
        <f>-PV(B1666/100,$B$3,B1665/100,1)</f>
        <v/>
      </c>
      <c r="D1666" s="8">
        <f>B1665/100/12+(C1666-1)</f>
        <v/>
      </c>
      <c r="E1666" s="8">
        <f>E1665*(1+D1666)</f>
        <v/>
      </c>
    </row>
    <row r="1667">
      <c r="A1667" s="8" t="inlineStr">
        <is>
          <t>2009-06-01</t>
        </is>
      </c>
      <c r="B1667" s="6" t="n">
        <v>3.72</v>
      </c>
      <c r="C1667" s="8">
        <f>-PV(B1667/100,$B$3,B1666/100,1)</f>
        <v/>
      </c>
      <c r="D1667" s="8">
        <f>B1666/100/12+(C1667-1)</f>
        <v/>
      </c>
      <c r="E1667" s="8">
        <f>E1666*(1+D1667)</f>
        <v/>
      </c>
    </row>
    <row r="1668">
      <c r="A1668" s="8" t="inlineStr">
        <is>
          <t>2009-07-01</t>
        </is>
      </c>
      <c r="B1668" s="6" t="n">
        <v>3.56</v>
      </c>
      <c r="C1668" s="8">
        <f>-PV(B1668/100,$B$3,B1667/100,1)</f>
        <v/>
      </c>
      <c r="D1668" s="8">
        <f>B1667/100/12+(C1668-1)</f>
        <v/>
      </c>
      <c r="E1668" s="8">
        <f>E1667*(1+D1668)</f>
        <v/>
      </c>
    </row>
    <row r="1669">
      <c r="A1669" s="8" t="inlineStr">
        <is>
          <t>2009-08-01</t>
        </is>
      </c>
      <c r="B1669" s="6" t="n">
        <v>3.59</v>
      </c>
      <c r="C1669" s="8">
        <f>-PV(B1669/100,$B$3,B1668/100,1)</f>
        <v/>
      </c>
      <c r="D1669" s="8">
        <f>B1668/100/12+(C1669-1)</f>
        <v/>
      </c>
      <c r="E1669" s="8">
        <f>E1668*(1+D1669)</f>
        <v/>
      </c>
    </row>
    <row r="1670">
      <c r="A1670" s="8" t="inlineStr">
        <is>
          <t>2009-09-01</t>
        </is>
      </c>
      <c r="B1670" s="6" t="n">
        <v>3.4</v>
      </c>
      <c r="C1670" s="8">
        <f>-PV(B1670/100,$B$3,B1669/100,1)</f>
        <v/>
      </c>
      <c r="D1670" s="8">
        <f>B1669/100/12+(C1670-1)</f>
        <v/>
      </c>
      <c r="E1670" s="8">
        <f>E1669*(1+D1670)</f>
        <v/>
      </c>
    </row>
    <row r="1671">
      <c r="A1671" s="8" t="inlineStr">
        <is>
          <t>2009-10-01</t>
        </is>
      </c>
      <c r="B1671" s="6" t="n">
        <v>3.39</v>
      </c>
      <c r="C1671" s="8">
        <f>-PV(B1671/100,$B$3,B1670/100,1)</f>
        <v/>
      </c>
      <c r="D1671" s="8">
        <f>B1670/100/12+(C1671-1)</f>
        <v/>
      </c>
      <c r="E1671" s="8">
        <f>E1670*(1+D1671)</f>
        <v/>
      </c>
    </row>
    <row r="1672">
      <c r="A1672" s="8" t="inlineStr">
        <is>
          <t>2009-11-01</t>
        </is>
      </c>
      <c r="B1672" s="6" t="n">
        <v>3.4</v>
      </c>
      <c r="C1672" s="8">
        <f>-PV(B1672/100,$B$3,B1671/100,1)</f>
        <v/>
      </c>
      <c r="D1672" s="8">
        <f>B1671/100/12+(C1672-1)</f>
        <v/>
      </c>
      <c r="E1672" s="8">
        <f>E1671*(1+D1672)</f>
        <v/>
      </c>
    </row>
    <row r="1673">
      <c r="A1673" s="8" t="inlineStr">
        <is>
          <t>2009-12-01</t>
        </is>
      </c>
      <c r="B1673" s="6" t="n">
        <v>3.59</v>
      </c>
      <c r="C1673" s="8">
        <f>-PV(B1673/100,$B$3,B1672/100,1)</f>
        <v/>
      </c>
      <c r="D1673" s="8">
        <f>B1672/100/12+(C1673-1)</f>
        <v/>
      </c>
      <c r="E1673" s="8">
        <f>E1672*(1+D1673)</f>
        <v/>
      </c>
    </row>
    <row r="1674">
      <c r="A1674" s="8" t="inlineStr">
        <is>
          <t>2010-01-01</t>
        </is>
      </c>
      <c r="B1674" s="6" t="n">
        <v>3.73</v>
      </c>
      <c r="C1674" s="8">
        <f>-PV(B1674/100,$B$3,B1673/100,1)</f>
        <v/>
      </c>
      <c r="D1674" s="8">
        <f>B1673/100/12+(C1674-1)</f>
        <v/>
      </c>
      <c r="E1674" s="8">
        <f>E1673*(1+D1674)</f>
        <v/>
      </c>
    </row>
    <row r="1675">
      <c r="A1675" s="8" t="inlineStr">
        <is>
          <t>2010-02-01</t>
        </is>
      </c>
      <c r="B1675" s="6" t="n">
        <v>3.69</v>
      </c>
      <c r="C1675" s="8">
        <f>-PV(B1675/100,$B$3,B1674/100,1)</f>
        <v/>
      </c>
      <c r="D1675" s="8">
        <f>B1674/100/12+(C1675-1)</f>
        <v/>
      </c>
      <c r="E1675" s="8">
        <f>E1674*(1+D1675)</f>
        <v/>
      </c>
    </row>
    <row r="1676">
      <c r="A1676" s="8" t="inlineStr">
        <is>
          <t>2010-03-01</t>
        </is>
      </c>
      <c r="B1676" s="6" t="n">
        <v>3.73</v>
      </c>
      <c r="C1676" s="8">
        <f>-PV(B1676/100,$B$3,B1675/100,1)</f>
        <v/>
      </c>
      <c r="D1676" s="8">
        <f>B1675/100/12+(C1676-1)</f>
        <v/>
      </c>
      <c r="E1676" s="8">
        <f>E1675*(1+D1676)</f>
        <v/>
      </c>
    </row>
    <row r="1677">
      <c r="A1677" s="8" t="inlineStr">
        <is>
          <t>2010-04-01</t>
        </is>
      </c>
      <c r="B1677" s="6" t="n">
        <v>3.85</v>
      </c>
      <c r="C1677" s="8">
        <f>-PV(B1677/100,$B$3,B1676/100,1)</f>
        <v/>
      </c>
      <c r="D1677" s="8">
        <f>B1676/100/12+(C1677-1)</f>
        <v/>
      </c>
      <c r="E1677" s="8">
        <f>E1676*(1+D1677)</f>
        <v/>
      </c>
    </row>
    <row r="1678">
      <c r="A1678" s="8" t="inlineStr">
        <is>
          <t>2010-05-01</t>
        </is>
      </c>
      <c r="B1678" s="6" t="n">
        <v>3.42</v>
      </c>
      <c r="C1678" s="8">
        <f>-PV(B1678/100,$B$3,B1677/100,1)</f>
        <v/>
      </c>
      <c r="D1678" s="8">
        <f>B1677/100/12+(C1678-1)</f>
        <v/>
      </c>
      <c r="E1678" s="8">
        <f>E1677*(1+D1678)</f>
        <v/>
      </c>
    </row>
    <row r="1679">
      <c r="A1679" s="8" t="inlineStr">
        <is>
          <t>2010-06-01</t>
        </is>
      </c>
      <c r="B1679" s="6" t="n">
        <v>3.2</v>
      </c>
      <c r="C1679" s="8">
        <f>-PV(B1679/100,$B$3,B1678/100,1)</f>
        <v/>
      </c>
      <c r="D1679" s="8">
        <f>B1678/100/12+(C1679-1)</f>
        <v/>
      </c>
      <c r="E1679" s="8">
        <f>E1678*(1+D1679)</f>
        <v/>
      </c>
    </row>
    <row r="1680">
      <c r="A1680" s="8" t="inlineStr">
        <is>
          <t>2010-07-01</t>
        </is>
      </c>
      <c r="B1680" s="6" t="n">
        <v>3.01</v>
      </c>
      <c r="C1680" s="8">
        <f>-PV(B1680/100,$B$3,B1679/100,1)</f>
        <v/>
      </c>
      <c r="D1680" s="8">
        <f>B1679/100/12+(C1680-1)</f>
        <v/>
      </c>
      <c r="E1680" s="8">
        <f>E1679*(1+D1680)</f>
        <v/>
      </c>
    </row>
    <row r="1681">
      <c r="A1681" s="8" t="inlineStr">
        <is>
          <t>2010-08-01</t>
        </is>
      </c>
      <c r="B1681" s="6" t="n">
        <v>2.7</v>
      </c>
      <c r="C1681" s="8">
        <f>-PV(B1681/100,$B$3,B1680/100,1)</f>
        <v/>
      </c>
      <c r="D1681" s="8">
        <f>B1680/100/12+(C1681-1)</f>
        <v/>
      </c>
      <c r="E1681" s="8">
        <f>E1680*(1+D1681)</f>
        <v/>
      </c>
    </row>
    <row r="1682">
      <c r="A1682" s="8" t="inlineStr">
        <is>
          <t>2010-09-01</t>
        </is>
      </c>
      <c r="B1682" s="6" t="n">
        <v>2.65</v>
      </c>
      <c r="C1682" s="8">
        <f>-PV(B1682/100,$B$3,B1681/100,1)</f>
        <v/>
      </c>
      <c r="D1682" s="8">
        <f>B1681/100/12+(C1682-1)</f>
        <v/>
      </c>
      <c r="E1682" s="8">
        <f>E1681*(1+D1682)</f>
        <v/>
      </c>
    </row>
    <row r="1683">
      <c r="A1683" s="8" t="inlineStr">
        <is>
          <t>2010-10-01</t>
        </is>
      </c>
      <c r="B1683" s="6" t="n">
        <v>2.54</v>
      </c>
      <c r="C1683" s="8">
        <f>-PV(B1683/100,$B$3,B1682/100,1)</f>
        <v/>
      </c>
      <c r="D1683" s="8">
        <f>B1682/100/12+(C1683-1)</f>
        <v/>
      </c>
      <c r="E1683" s="8">
        <f>E1682*(1+D1683)</f>
        <v/>
      </c>
    </row>
    <row r="1684">
      <c r="A1684" s="8" t="inlineStr">
        <is>
          <t>2010-11-01</t>
        </is>
      </c>
      <c r="B1684" s="6" t="n">
        <v>2.76</v>
      </c>
      <c r="C1684" s="8">
        <f>-PV(B1684/100,$B$3,B1683/100,1)</f>
        <v/>
      </c>
      <c r="D1684" s="8">
        <f>B1683/100/12+(C1684-1)</f>
        <v/>
      </c>
      <c r="E1684" s="8">
        <f>E1683*(1+D1684)</f>
        <v/>
      </c>
    </row>
    <row r="1685">
      <c r="A1685" s="8" t="inlineStr">
        <is>
          <t>2010-12-01</t>
        </is>
      </c>
      <c r="B1685" s="6" t="n">
        <v>3.29</v>
      </c>
      <c r="C1685" s="8">
        <f>-PV(B1685/100,$B$3,B1684/100,1)</f>
        <v/>
      </c>
      <c r="D1685" s="8">
        <f>B1684/100/12+(C1685-1)</f>
        <v/>
      </c>
      <c r="E1685" s="8">
        <f>E1684*(1+D1685)</f>
        <v/>
      </c>
    </row>
    <row r="1686">
      <c r="A1686" s="8" t="inlineStr">
        <is>
          <t>2011-01-01</t>
        </is>
      </c>
      <c r="B1686" s="6" t="n">
        <v>3.39</v>
      </c>
      <c r="C1686" s="8">
        <f>-PV(B1686/100,$B$3,B1685/100,1)</f>
        <v/>
      </c>
      <c r="D1686" s="8">
        <f>B1685/100/12+(C1686-1)</f>
        <v/>
      </c>
      <c r="E1686" s="8">
        <f>E1685*(1+D1686)</f>
        <v/>
      </c>
    </row>
    <row r="1687">
      <c r="A1687" s="8" t="inlineStr">
        <is>
          <t>2011-02-01</t>
        </is>
      </c>
      <c r="B1687" s="6" t="n">
        <v>3.58</v>
      </c>
      <c r="C1687" s="8">
        <f>-PV(B1687/100,$B$3,B1686/100,1)</f>
        <v/>
      </c>
      <c r="D1687" s="8">
        <f>B1686/100/12+(C1687-1)</f>
        <v/>
      </c>
      <c r="E1687" s="8">
        <f>E1686*(1+D1687)</f>
        <v/>
      </c>
    </row>
    <row r="1688">
      <c r="A1688" s="8" t="inlineStr">
        <is>
          <t>2011-03-01</t>
        </is>
      </c>
      <c r="B1688" s="6" t="n">
        <v>3.41</v>
      </c>
      <c r="C1688" s="8">
        <f>-PV(B1688/100,$B$3,B1687/100,1)</f>
        <v/>
      </c>
      <c r="D1688" s="8">
        <f>B1687/100/12+(C1688-1)</f>
        <v/>
      </c>
      <c r="E1688" s="8">
        <f>E1687*(1+D1688)</f>
        <v/>
      </c>
    </row>
    <row r="1689">
      <c r="A1689" s="8" t="inlineStr">
        <is>
          <t>2011-04-01</t>
        </is>
      </c>
      <c r="B1689" s="6" t="n">
        <v>3.46</v>
      </c>
      <c r="C1689" s="8">
        <f>-PV(B1689/100,$B$3,B1688/100,1)</f>
        <v/>
      </c>
      <c r="D1689" s="8">
        <f>B1688/100/12+(C1689-1)</f>
        <v/>
      </c>
      <c r="E1689" s="8">
        <f>E1688*(1+D1689)</f>
        <v/>
      </c>
    </row>
    <row r="1690">
      <c r="A1690" s="8" t="inlineStr">
        <is>
          <t>2011-05-01</t>
        </is>
      </c>
      <c r="B1690" s="6" t="n">
        <v>3.17</v>
      </c>
      <c r="C1690" s="8">
        <f>-PV(B1690/100,$B$3,B1689/100,1)</f>
        <v/>
      </c>
      <c r="D1690" s="8">
        <f>B1689/100/12+(C1690-1)</f>
        <v/>
      </c>
      <c r="E1690" s="8">
        <f>E1689*(1+D1690)</f>
        <v/>
      </c>
    </row>
    <row r="1691">
      <c r="A1691" s="8" t="inlineStr">
        <is>
          <t>2011-06-01</t>
        </is>
      </c>
      <c r="B1691" s="6" t="n">
        <v>3</v>
      </c>
      <c r="C1691" s="8">
        <f>-PV(B1691/100,$B$3,B1690/100,1)</f>
        <v/>
      </c>
      <c r="D1691" s="8">
        <f>B1690/100/12+(C1691-1)</f>
        <v/>
      </c>
      <c r="E1691" s="8">
        <f>E1690*(1+D1691)</f>
        <v/>
      </c>
    </row>
    <row r="1692">
      <c r="A1692" s="8" t="inlineStr">
        <is>
          <t>2011-07-01</t>
        </is>
      </c>
      <c r="B1692" s="6" t="n">
        <v>3</v>
      </c>
      <c r="C1692" s="8">
        <f>-PV(B1692/100,$B$3,B1691/100,1)</f>
        <v/>
      </c>
      <c r="D1692" s="8">
        <f>B1691/100/12+(C1692-1)</f>
        <v/>
      </c>
      <c r="E1692" s="8">
        <f>E1691*(1+D1692)</f>
        <v/>
      </c>
    </row>
    <row r="1693">
      <c r="A1693" s="8" t="inlineStr">
        <is>
          <t>2011-08-01</t>
        </is>
      </c>
      <c r="B1693" s="6" t="n">
        <v>2.3</v>
      </c>
      <c r="C1693" s="8">
        <f>-PV(B1693/100,$B$3,B1692/100,1)</f>
        <v/>
      </c>
      <c r="D1693" s="8">
        <f>B1692/100/12+(C1693-1)</f>
        <v/>
      </c>
      <c r="E1693" s="8">
        <f>E1692*(1+D1693)</f>
        <v/>
      </c>
    </row>
    <row r="1694">
      <c r="A1694" s="8" t="inlineStr">
        <is>
          <t>2011-09-01</t>
        </is>
      </c>
      <c r="B1694" s="6" t="n">
        <v>1.98</v>
      </c>
      <c r="C1694" s="8">
        <f>-PV(B1694/100,$B$3,B1693/100,1)</f>
        <v/>
      </c>
      <c r="D1694" s="8">
        <f>B1693/100/12+(C1694-1)</f>
        <v/>
      </c>
      <c r="E1694" s="8">
        <f>E1693*(1+D1694)</f>
        <v/>
      </c>
    </row>
    <row r="1695">
      <c r="A1695" s="8" t="inlineStr">
        <is>
          <t>2011-10-01</t>
        </is>
      </c>
      <c r="B1695" s="6" t="n">
        <v>2.15</v>
      </c>
      <c r="C1695" s="8">
        <f>-PV(B1695/100,$B$3,B1694/100,1)</f>
        <v/>
      </c>
      <c r="D1695" s="8">
        <f>B1694/100/12+(C1695-1)</f>
        <v/>
      </c>
      <c r="E1695" s="8">
        <f>E1694*(1+D1695)</f>
        <v/>
      </c>
    </row>
    <row r="1696">
      <c r="A1696" s="8" t="inlineStr">
        <is>
          <t>2011-11-01</t>
        </is>
      </c>
      <c r="B1696" s="6" t="n">
        <v>2.01</v>
      </c>
      <c r="C1696" s="8">
        <f>-PV(B1696/100,$B$3,B1695/100,1)</f>
        <v/>
      </c>
      <c r="D1696" s="8">
        <f>B1695/100/12+(C1696-1)</f>
        <v/>
      </c>
      <c r="E1696" s="8">
        <f>E1695*(1+D1696)</f>
        <v/>
      </c>
    </row>
    <row r="1697">
      <c r="A1697" s="8" t="inlineStr">
        <is>
          <t>2011-12-01</t>
        </is>
      </c>
      <c r="B1697" s="6" t="n">
        <v>1.98</v>
      </c>
      <c r="C1697" s="8">
        <f>-PV(B1697/100,$B$3,B1696/100,1)</f>
        <v/>
      </c>
      <c r="D1697" s="8">
        <f>B1696/100/12+(C1697-1)</f>
        <v/>
      </c>
      <c r="E1697" s="8">
        <f>E1696*(1+D1697)</f>
        <v/>
      </c>
    </row>
    <row r="1698">
      <c r="A1698" s="8" t="inlineStr">
        <is>
          <t>2012-01-01</t>
        </is>
      </c>
      <c r="B1698" s="6" t="n">
        <v>1.97</v>
      </c>
      <c r="C1698" s="8">
        <f>-PV(B1698/100,$B$3,B1697/100,1)</f>
        <v/>
      </c>
      <c r="D1698" s="8">
        <f>B1697/100/12+(C1698-1)</f>
        <v/>
      </c>
      <c r="E1698" s="8">
        <f>E1697*(1+D1698)</f>
        <v/>
      </c>
    </row>
    <row r="1699">
      <c r="A1699" s="8" t="inlineStr">
        <is>
          <t>2012-02-01</t>
        </is>
      </c>
      <c r="B1699" s="6" t="n">
        <v>1.97</v>
      </c>
      <c r="C1699" s="8">
        <f>-PV(B1699/100,$B$3,B1698/100,1)</f>
        <v/>
      </c>
      <c r="D1699" s="8">
        <f>B1698/100/12+(C1699-1)</f>
        <v/>
      </c>
      <c r="E1699" s="8">
        <f>E1698*(1+D1699)</f>
        <v/>
      </c>
    </row>
    <row r="1700">
      <c r="A1700" s="8" t="inlineStr">
        <is>
          <t>2012-03-01</t>
        </is>
      </c>
      <c r="B1700" s="6" t="n">
        <v>2.17</v>
      </c>
      <c r="C1700" s="8">
        <f>-PV(B1700/100,$B$3,B1699/100,1)</f>
        <v/>
      </c>
      <c r="D1700" s="8">
        <f>B1699/100/12+(C1700-1)</f>
        <v/>
      </c>
      <c r="E1700" s="8">
        <f>E1699*(1+D1700)</f>
        <v/>
      </c>
    </row>
    <row r="1701">
      <c r="A1701" s="8" t="inlineStr">
        <is>
          <t>2012-04-01</t>
        </is>
      </c>
      <c r="B1701" s="6" t="n">
        <v>2.05</v>
      </c>
      <c r="C1701" s="8">
        <f>-PV(B1701/100,$B$3,B1700/100,1)</f>
        <v/>
      </c>
      <c r="D1701" s="8">
        <f>B1700/100/12+(C1701-1)</f>
        <v/>
      </c>
      <c r="E1701" s="8">
        <f>E1700*(1+D1701)</f>
        <v/>
      </c>
    </row>
    <row r="1702">
      <c r="A1702" s="8" t="inlineStr">
        <is>
          <t>2012-05-01</t>
        </is>
      </c>
      <c r="B1702" s="6" t="n">
        <v>1.8</v>
      </c>
      <c r="C1702" s="8">
        <f>-PV(B1702/100,$B$3,B1701/100,1)</f>
        <v/>
      </c>
      <c r="D1702" s="8">
        <f>B1701/100/12+(C1702-1)</f>
        <v/>
      </c>
      <c r="E1702" s="8">
        <f>E1701*(1+D1702)</f>
        <v/>
      </c>
    </row>
    <row r="1703">
      <c r="A1703" s="8" t="inlineStr">
        <is>
          <t>2012-06-01</t>
        </is>
      </c>
      <c r="B1703" s="6" t="n">
        <v>1.62</v>
      </c>
      <c r="C1703" s="8">
        <f>-PV(B1703/100,$B$3,B1702/100,1)</f>
        <v/>
      </c>
      <c r="D1703" s="8">
        <f>B1702/100/12+(C1703-1)</f>
        <v/>
      </c>
      <c r="E1703" s="8">
        <f>E1702*(1+D1703)</f>
        <v/>
      </c>
    </row>
    <row r="1704">
      <c r="A1704" s="8" t="inlineStr">
        <is>
          <t>2012-07-01</t>
        </is>
      </c>
      <c r="B1704" s="6" t="n">
        <v>1.53</v>
      </c>
      <c r="C1704" s="8">
        <f>-PV(B1704/100,$B$3,B1703/100,1)</f>
        <v/>
      </c>
      <c r="D1704" s="8">
        <f>B1703/100/12+(C1704-1)</f>
        <v/>
      </c>
      <c r="E1704" s="8">
        <f>E1703*(1+D1704)</f>
        <v/>
      </c>
    </row>
    <row r="1705">
      <c r="A1705" s="8" t="inlineStr">
        <is>
          <t>2012-08-01</t>
        </is>
      </c>
      <c r="B1705" s="6" t="n">
        <v>1.68</v>
      </c>
      <c r="C1705" s="8">
        <f>-PV(B1705/100,$B$3,B1704/100,1)</f>
        <v/>
      </c>
      <c r="D1705" s="8">
        <f>B1704/100/12+(C1705-1)</f>
        <v/>
      </c>
      <c r="E1705" s="8">
        <f>E1704*(1+D1705)</f>
        <v/>
      </c>
    </row>
    <row r="1706">
      <c r="A1706" s="8" t="inlineStr">
        <is>
          <t>2012-09-01</t>
        </is>
      </c>
      <c r="B1706" s="6" t="n">
        <v>1.72</v>
      </c>
      <c r="C1706" s="8">
        <f>-PV(B1706/100,$B$3,B1705/100,1)</f>
        <v/>
      </c>
      <c r="D1706" s="8">
        <f>B1705/100/12+(C1706-1)</f>
        <v/>
      </c>
      <c r="E1706" s="8">
        <f>E1705*(1+D1706)</f>
        <v/>
      </c>
    </row>
    <row r="1707">
      <c r="A1707" s="8" t="inlineStr">
        <is>
          <t>2012-10-01</t>
        </is>
      </c>
      <c r="B1707" s="6" t="n">
        <v>1.75</v>
      </c>
      <c r="C1707" s="8">
        <f>-PV(B1707/100,$B$3,B1706/100,1)</f>
        <v/>
      </c>
      <c r="D1707" s="8">
        <f>B1706/100/12+(C1707-1)</f>
        <v/>
      </c>
      <c r="E1707" s="8">
        <f>E1706*(1+D1707)</f>
        <v/>
      </c>
    </row>
    <row r="1708">
      <c r="A1708" s="8" t="inlineStr">
        <is>
          <t>2012-11-01</t>
        </is>
      </c>
      <c r="B1708" s="6" t="n">
        <v>1.65</v>
      </c>
      <c r="C1708" s="8">
        <f>-PV(B1708/100,$B$3,B1707/100,1)</f>
        <v/>
      </c>
      <c r="D1708" s="8">
        <f>B1707/100/12+(C1708-1)</f>
        <v/>
      </c>
      <c r="E1708" s="8">
        <f>E1707*(1+D1708)</f>
        <v/>
      </c>
    </row>
    <row r="1709">
      <c r="A1709" s="8" t="inlineStr">
        <is>
          <t>2012-12-01</t>
        </is>
      </c>
      <c r="B1709" s="6" t="n">
        <v>1.72</v>
      </c>
      <c r="C1709" s="8">
        <f>-PV(B1709/100,$B$3,B1708/100,1)</f>
        <v/>
      </c>
      <c r="D1709" s="8">
        <f>B1708/100/12+(C1709-1)</f>
        <v/>
      </c>
      <c r="E1709" s="8">
        <f>E1708*(1+D1709)</f>
        <v/>
      </c>
    </row>
    <row r="1710">
      <c r="A1710" s="8" t="inlineStr">
        <is>
          <t>2013-01-01</t>
        </is>
      </c>
      <c r="B1710" s="6" t="n">
        <v>1.91</v>
      </c>
      <c r="C1710" s="8">
        <f>-PV(B1710/100,$B$3,B1709/100,1)</f>
        <v/>
      </c>
      <c r="D1710" s="8">
        <f>B1709/100/12+(C1710-1)</f>
        <v/>
      </c>
      <c r="E1710" s="8">
        <f>E1709*(1+D1710)</f>
        <v/>
      </c>
    </row>
    <row r="1711">
      <c r="A1711" s="8" t="inlineStr">
        <is>
          <t>2013-02-01</t>
        </is>
      </c>
      <c r="B1711" s="6" t="n">
        <v>1.98</v>
      </c>
      <c r="C1711" s="8">
        <f>-PV(B1711/100,$B$3,B1710/100,1)</f>
        <v/>
      </c>
      <c r="D1711" s="8">
        <f>B1710/100/12+(C1711-1)</f>
        <v/>
      </c>
      <c r="E1711" s="8">
        <f>E1710*(1+D1711)</f>
        <v/>
      </c>
    </row>
    <row r="1712">
      <c r="A1712" s="8" t="inlineStr">
        <is>
          <t>2013-03-01</t>
        </is>
      </c>
      <c r="B1712" s="6" t="n">
        <v>1.96</v>
      </c>
      <c r="C1712" s="8">
        <f>-PV(B1712/100,$B$3,B1711/100,1)</f>
        <v/>
      </c>
      <c r="D1712" s="8">
        <f>B1711/100/12+(C1712-1)</f>
        <v/>
      </c>
      <c r="E1712" s="8">
        <f>E1711*(1+D1712)</f>
        <v/>
      </c>
    </row>
    <row r="1713">
      <c r="A1713" s="8" t="inlineStr">
        <is>
          <t>2013-04-01</t>
        </is>
      </c>
      <c r="B1713" s="6" t="n">
        <v>1.76</v>
      </c>
      <c r="C1713" s="8">
        <f>-PV(B1713/100,$B$3,B1712/100,1)</f>
        <v/>
      </c>
      <c r="D1713" s="8">
        <f>B1712/100/12+(C1713-1)</f>
        <v/>
      </c>
      <c r="E1713" s="8">
        <f>E1712*(1+D1713)</f>
        <v/>
      </c>
    </row>
    <row r="1714">
      <c r="A1714" s="8" t="inlineStr">
        <is>
          <t>2013-05-01</t>
        </is>
      </c>
      <c r="B1714" s="6" t="n">
        <v>1.93</v>
      </c>
      <c r="C1714" s="8">
        <f>-PV(B1714/100,$B$3,B1713/100,1)</f>
        <v/>
      </c>
      <c r="D1714" s="8">
        <f>B1713/100/12+(C1714-1)</f>
        <v/>
      </c>
      <c r="E1714" s="8">
        <f>E1713*(1+D1714)</f>
        <v/>
      </c>
    </row>
    <row r="1715">
      <c r="A1715" s="8" t="inlineStr">
        <is>
          <t>2013-06-01</t>
        </is>
      </c>
      <c r="B1715" s="6" t="n">
        <v>2.3</v>
      </c>
      <c r="C1715" s="8">
        <f>-PV(B1715/100,$B$3,B1714/100,1)</f>
        <v/>
      </c>
      <c r="D1715" s="8">
        <f>B1714/100/12+(C1715-1)</f>
        <v/>
      </c>
      <c r="E1715" s="8">
        <f>E1714*(1+D1715)</f>
        <v/>
      </c>
    </row>
    <row r="1716">
      <c r="A1716" s="8" t="inlineStr">
        <is>
          <t>2013-07-01</t>
        </is>
      </c>
      <c r="B1716" s="6" t="n">
        <v>2.58</v>
      </c>
      <c r="C1716" s="8">
        <f>-PV(B1716/100,$B$3,B1715/100,1)</f>
        <v/>
      </c>
      <c r="D1716" s="8">
        <f>B1715/100/12+(C1716-1)</f>
        <v/>
      </c>
      <c r="E1716" s="8">
        <f>E1715*(1+D1716)</f>
        <v/>
      </c>
    </row>
    <row r="1717">
      <c r="A1717" s="8" t="inlineStr">
        <is>
          <t>2013-08-01</t>
        </is>
      </c>
      <c r="B1717" s="6" t="n">
        <v>2.74</v>
      </c>
      <c r="C1717" s="8">
        <f>-PV(B1717/100,$B$3,B1716/100,1)</f>
        <v/>
      </c>
      <c r="D1717" s="8">
        <f>B1716/100/12+(C1717-1)</f>
        <v/>
      </c>
      <c r="E1717" s="8">
        <f>E1716*(1+D1717)</f>
        <v/>
      </c>
    </row>
    <row r="1718">
      <c r="A1718" s="8" t="inlineStr">
        <is>
          <t>2013-09-01</t>
        </is>
      </c>
      <c r="B1718" s="6" t="n">
        <v>2.81</v>
      </c>
      <c r="C1718" s="8">
        <f>-PV(B1718/100,$B$3,B1717/100,1)</f>
        <v/>
      </c>
      <c r="D1718" s="8">
        <f>B1717/100/12+(C1718-1)</f>
        <v/>
      </c>
      <c r="E1718" s="8">
        <f>E1717*(1+D1718)</f>
        <v/>
      </c>
    </row>
    <row r="1719">
      <c r="A1719" s="8" t="inlineStr">
        <is>
          <t>2013-10-01</t>
        </is>
      </c>
      <c r="B1719" s="6" t="n">
        <v>2.62</v>
      </c>
      <c r="C1719" s="8">
        <f>-PV(B1719/100,$B$3,B1718/100,1)</f>
        <v/>
      </c>
      <c r="D1719" s="8">
        <f>B1718/100/12+(C1719-1)</f>
        <v/>
      </c>
      <c r="E1719" s="8">
        <f>E1718*(1+D1719)</f>
        <v/>
      </c>
    </row>
    <row r="1720">
      <c r="A1720" s="8" t="inlineStr">
        <is>
          <t>2013-11-01</t>
        </is>
      </c>
      <c r="B1720" s="6" t="n">
        <v>2.72</v>
      </c>
      <c r="C1720" s="8">
        <f>-PV(B1720/100,$B$3,B1719/100,1)</f>
        <v/>
      </c>
      <c r="D1720" s="8">
        <f>B1719/100/12+(C1720-1)</f>
        <v/>
      </c>
      <c r="E1720" s="8">
        <f>E1719*(1+D1720)</f>
        <v/>
      </c>
    </row>
    <row r="1721">
      <c r="A1721" s="8" t="inlineStr">
        <is>
          <t>2013-12-01</t>
        </is>
      </c>
      <c r="B1721" s="6" t="n">
        <v>2.9</v>
      </c>
      <c r="C1721" s="8">
        <f>-PV(B1721/100,$B$3,B1720/100,1)</f>
        <v/>
      </c>
      <c r="D1721" s="8">
        <f>B1720/100/12+(C1721-1)</f>
        <v/>
      </c>
      <c r="E1721" s="8">
        <f>E1720*(1+D1721)</f>
        <v/>
      </c>
    </row>
    <row r="1722">
      <c r="A1722" s="8" t="inlineStr">
        <is>
          <t>2014-01-01</t>
        </is>
      </c>
      <c r="B1722" s="6" t="n">
        <v>2.86</v>
      </c>
      <c r="C1722" s="8">
        <f>-PV(B1722/100,$B$3,B1721/100,1)</f>
        <v/>
      </c>
      <c r="D1722" s="8">
        <f>B1721/100/12+(C1722-1)</f>
        <v/>
      </c>
      <c r="E1722" s="8">
        <f>E1721*(1+D1722)</f>
        <v/>
      </c>
    </row>
    <row r="1723">
      <c r="A1723" s="8" t="inlineStr">
        <is>
          <t>2014-02-01</t>
        </is>
      </c>
      <c r="B1723" s="6" t="n">
        <v>2.71</v>
      </c>
      <c r="C1723" s="8">
        <f>-PV(B1723/100,$B$3,B1722/100,1)</f>
        <v/>
      </c>
      <c r="D1723" s="8">
        <f>B1722/100/12+(C1723-1)</f>
        <v/>
      </c>
      <c r="E1723" s="8">
        <f>E1722*(1+D1723)</f>
        <v/>
      </c>
    </row>
    <row r="1724">
      <c r="A1724" s="8" t="inlineStr">
        <is>
          <t>2014-03-01</t>
        </is>
      </c>
      <c r="B1724" s="6" t="n">
        <v>2.72</v>
      </c>
      <c r="C1724" s="8">
        <f>-PV(B1724/100,$B$3,B1723/100,1)</f>
        <v/>
      </c>
      <c r="D1724" s="8">
        <f>B1723/100/12+(C1724-1)</f>
        <v/>
      </c>
      <c r="E1724" s="8">
        <f>E1723*(1+D1724)</f>
        <v/>
      </c>
    </row>
    <row r="1725">
      <c r="A1725" s="8" t="inlineStr">
        <is>
          <t>2014-04-01</t>
        </is>
      </c>
      <c r="B1725" s="6" t="n">
        <v>2.71</v>
      </c>
      <c r="C1725" s="8">
        <f>-PV(B1725/100,$B$3,B1724/100,1)</f>
        <v/>
      </c>
      <c r="D1725" s="8">
        <f>B1724/100/12+(C1725-1)</f>
        <v/>
      </c>
      <c r="E1725" s="8">
        <f>E1724*(1+D1725)</f>
        <v/>
      </c>
    </row>
    <row r="1726">
      <c r="A1726" s="8" t="inlineStr">
        <is>
          <t>2014-05-01</t>
        </is>
      </c>
      <c r="B1726" s="6" t="n">
        <v>2.56</v>
      </c>
      <c r="C1726" s="8">
        <f>-PV(B1726/100,$B$3,B1725/100,1)</f>
        <v/>
      </c>
      <c r="D1726" s="8">
        <f>B1725/100/12+(C1726-1)</f>
        <v/>
      </c>
      <c r="E1726" s="8">
        <f>E1725*(1+D1726)</f>
        <v/>
      </c>
    </row>
    <row r="1727">
      <c r="A1727" s="8" t="inlineStr">
        <is>
          <t>2014-06-01</t>
        </is>
      </c>
      <c r="B1727" s="6" t="n">
        <v>2.6</v>
      </c>
      <c r="C1727" s="8">
        <f>-PV(B1727/100,$B$3,B1726/100,1)</f>
        <v/>
      </c>
      <c r="D1727" s="8">
        <f>B1726/100/12+(C1727-1)</f>
        <v/>
      </c>
      <c r="E1727" s="8">
        <f>E1726*(1+D1727)</f>
        <v/>
      </c>
    </row>
    <row r="1728">
      <c r="A1728" s="8" t="inlineStr">
        <is>
          <t>2014-07-01</t>
        </is>
      </c>
      <c r="B1728" s="6" t="n">
        <v>2.54</v>
      </c>
      <c r="C1728" s="8">
        <f>-PV(B1728/100,$B$3,B1727/100,1)</f>
        <v/>
      </c>
      <c r="D1728" s="8">
        <f>B1727/100/12+(C1728-1)</f>
        <v/>
      </c>
      <c r="E1728" s="8">
        <f>E1727*(1+D1728)</f>
        <v/>
      </c>
    </row>
    <row r="1729">
      <c r="A1729" s="8" t="inlineStr">
        <is>
          <t>2014-08-01</t>
        </is>
      </c>
      <c r="B1729" s="6" t="n">
        <v>2.42</v>
      </c>
      <c r="C1729" s="8">
        <f>-PV(B1729/100,$B$3,B1728/100,1)</f>
        <v/>
      </c>
      <c r="D1729" s="8">
        <f>B1728/100/12+(C1729-1)</f>
        <v/>
      </c>
      <c r="E1729" s="8">
        <f>E1728*(1+D1729)</f>
        <v/>
      </c>
    </row>
    <row r="1730">
      <c r="A1730" s="8" t="inlineStr">
        <is>
          <t>2014-09-01</t>
        </is>
      </c>
      <c r="B1730" s="6" t="n">
        <v>2.53</v>
      </c>
      <c r="C1730" s="8">
        <f>-PV(B1730/100,$B$3,B1729/100,1)</f>
        <v/>
      </c>
      <c r="D1730" s="8">
        <f>B1729/100/12+(C1730-1)</f>
        <v/>
      </c>
      <c r="E1730" s="8">
        <f>E1729*(1+D1730)</f>
        <v/>
      </c>
    </row>
    <row r="1731">
      <c r="A1731" s="8" t="inlineStr">
        <is>
          <t>2014-10-01</t>
        </is>
      </c>
      <c r="B1731" s="6" t="n">
        <v>2.3</v>
      </c>
      <c r="C1731" s="8">
        <f>-PV(B1731/100,$B$3,B1730/100,1)</f>
        <v/>
      </c>
      <c r="D1731" s="8">
        <f>B1730/100/12+(C1731-1)</f>
        <v/>
      </c>
      <c r="E1731" s="8">
        <f>E1730*(1+D1731)</f>
        <v/>
      </c>
    </row>
    <row r="1732">
      <c r="A1732" s="8" t="inlineStr">
        <is>
          <t>2014-11-01</t>
        </is>
      </c>
      <c r="B1732" s="6" t="n">
        <v>2.33</v>
      </c>
      <c r="C1732" s="8">
        <f>-PV(B1732/100,$B$3,B1731/100,1)</f>
        <v/>
      </c>
      <c r="D1732" s="8">
        <f>B1731/100/12+(C1732-1)</f>
        <v/>
      </c>
      <c r="E1732" s="8">
        <f>E1731*(1+D1732)</f>
        <v/>
      </c>
    </row>
    <row r="1733">
      <c r="A1733" s="8" t="inlineStr">
        <is>
          <t>2014-12-01</t>
        </is>
      </c>
      <c r="B1733" s="6" t="n">
        <v>2.21</v>
      </c>
      <c r="C1733" s="8">
        <f>-PV(B1733/100,$B$3,B1732/100,1)</f>
        <v/>
      </c>
      <c r="D1733" s="8">
        <f>B1732/100/12+(C1733-1)</f>
        <v/>
      </c>
      <c r="E1733" s="8">
        <f>E1732*(1+D1733)</f>
        <v/>
      </c>
    </row>
    <row r="1734">
      <c r="A1734" s="8" t="inlineStr">
        <is>
          <t>2015-01-01</t>
        </is>
      </c>
      <c r="B1734" s="6" t="n">
        <v>1.88</v>
      </c>
      <c r="C1734" s="8">
        <f>-PV(B1734/100,$B$3,B1733/100,1)</f>
        <v/>
      </c>
      <c r="D1734" s="8">
        <f>B1733/100/12+(C1734-1)</f>
        <v/>
      </c>
      <c r="E1734" s="8">
        <f>E1733*(1+D1734)</f>
        <v/>
      </c>
    </row>
    <row r="1735">
      <c r="A1735" s="8" t="inlineStr">
        <is>
          <t>2015-02-01</t>
        </is>
      </c>
      <c r="B1735" s="6" t="n">
        <v>1.98</v>
      </c>
      <c r="C1735" s="8">
        <f>-PV(B1735/100,$B$3,B1734/100,1)</f>
        <v/>
      </c>
      <c r="D1735" s="8">
        <f>B1734/100/12+(C1735-1)</f>
        <v/>
      </c>
      <c r="E1735" s="8">
        <f>E1734*(1+D1735)</f>
        <v/>
      </c>
    </row>
    <row r="1736">
      <c r="A1736" s="8" t="inlineStr">
        <is>
          <t>2015-03-01</t>
        </is>
      </c>
      <c r="B1736" s="6" t="n">
        <v>2.04</v>
      </c>
      <c r="C1736" s="8">
        <f>-PV(B1736/100,$B$3,B1735/100,1)</f>
        <v/>
      </c>
      <c r="D1736" s="8">
        <f>B1735/100/12+(C1736-1)</f>
        <v/>
      </c>
      <c r="E1736" s="8">
        <f>E1735*(1+D1736)</f>
        <v/>
      </c>
    </row>
    <row r="1737">
      <c r="A1737" s="8" t="inlineStr">
        <is>
          <t>2015-04-01</t>
        </is>
      </c>
      <c r="B1737" s="6" t="n">
        <v>1.94</v>
      </c>
      <c r="C1737" s="8">
        <f>-PV(B1737/100,$B$3,B1736/100,1)</f>
        <v/>
      </c>
      <c r="D1737" s="8">
        <f>B1736/100/12+(C1737-1)</f>
        <v/>
      </c>
      <c r="E1737" s="8">
        <f>E1736*(1+D1737)</f>
        <v/>
      </c>
    </row>
    <row r="1738">
      <c r="A1738" s="8" t="inlineStr">
        <is>
          <t>2015-05-01</t>
        </is>
      </c>
      <c r="B1738" s="6" t="n">
        <v>2.2</v>
      </c>
      <c r="C1738" s="8">
        <f>-PV(B1738/100,$B$3,B1737/100,1)</f>
        <v/>
      </c>
      <c r="D1738" s="8">
        <f>B1737/100/12+(C1738-1)</f>
        <v/>
      </c>
      <c r="E1738" s="8">
        <f>E1737*(1+D1738)</f>
        <v/>
      </c>
    </row>
    <row r="1739">
      <c r="A1739" s="8" t="inlineStr">
        <is>
          <t>2015-06-01</t>
        </is>
      </c>
      <c r="B1739" s="6" t="n">
        <v>2.36</v>
      </c>
      <c r="C1739" s="8">
        <f>-PV(B1739/100,$B$3,B1738/100,1)</f>
        <v/>
      </c>
      <c r="D1739" s="8">
        <f>B1738/100/12+(C1739-1)</f>
        <v/>
      </c>
      <c r="E1739" s="8">
        <f>E1738*(1+D1739)</f>
        <v/>
      </c>
    </row>
    <row r="1740">
      <c r="A1740" s="8" t="inlineStr">
        <is>
          <t>2015-07-01</t>
        </is>
      </c>
      <c r="B1740" s="6" t="n">
        <v>2.32</v>
      </c>
      <c r="C1740" s="8">
        <f>-PV(B1740/100,$B$3,B1739/100,1)</f>
        <v/>
      </c>
      <c r="D1740" s="8">
        <f>B1739/100/12+(C1740-1)</f>
        <v/>
      </c>
      <c r="E1740" s="8">
        <f>E1739*(1+D1740)</f>
        <v/>
      </c>
    </row>
    <row r="1741">
      <c r="A1741" s="8" t="inlineStr">
        <is>
          <t>2015-08-01</t>
        </is>
      </c>
      <c r="B1741" s="6" t="n">
        <v>2.17</v>
      </c>
      <c r="C1741" s="8">
        <f>-PV(B1741/100,$B$3,B1740/100,1)</f>
        <v/>
      </c>
      <c r="D1741" s="8">
        <f>B1740/100/12+(C1741-1)</f>
        <v/>
      </c>
      <c r="E1741" s="8">
        <f>E1740*(1+D1741)</f>
        <v/>
      </c>
    </row>
    <row r="1742">
      <c r="A1742" s="8" t="inlineStr">
        <is>
          <t>2015-09-01</t>
        </is>
      </c>
      <c r="B1742" s="6" t="n">
        <v>2.17</v>
      </c>
      <c r="C1742" s="8">
        <f>-PV(B1742/100,$B$3,B1741/100,1)</f>
        <v/>
      </c>
      <c r="D1742" s="8">
        <f>B1741/100/12+(C1742-1)</f>
        <v/>
      </c>
      <c r="E1742" s="8">
        <f>E1741*(1+D1742)</f>
        <v/>
      </c>
    </row>
    <row r="1743">
      <c r="A1743" s="8" t="inlineStr">
        <is>
          <t>2015-10-01</t>
        </is>
      </c>
      <c r="B1743" s="6" t="n">
        <v>2.07</v>
      </c>
      <c r="C1743" s="8">
        <f>-PV(B1743/100,$B$3,B1742/100,1)</f>
        <v/>
      </c>
      <c r="D1743" s="8">
        <f>B1742/100/12+(C1743-1)</f>
        <v/>
      </c>
      <c r="E1743" s="8">
        <f>E1742*(1+D1743)</f>
        <v/>
      </c>
    </row>
    <row r="1744">
      <c r="A1744" s="8" t="inlineStr">
        <is>
          <t>2015-11-01</t>
        </is>
      </c>
      <c r="B1744" s="6" t="n">
        <v>2.26</v>
      </c>
      <c r="C1744" s="8">
        <f>-PV(B1744/100,$B$3,B1743/100,1)</f>
        <v/>
      </c>
      <c r="D1744" s="8">
        <f>B1743/100/12+(C1744-1)</f>
        <v/>
      </c>
      <c r="E1744" s="8">
        <f>E1743*(1+D1744)</f>
        <v/>
      </c>
    </row>
    <row r="1745">
      <c r="A1745" s="8" t="inlineStr">
        <is>
          <t>2015-12-01</t>
        </is>
      </c>
      <c r="B1745" s="6" t="n">
        <v>2.24</v>
      </c>
      <c r="C1745" s="8">
        <f>-PV(B1745/100,$B$3,B1744/100,1)</f>
        <v/>
      </c>
      <c r="D1745" s="8">
        <f>B1744/100/12+(C1745-1)</f>
        <v/>
      </c>
      <c r="E1745" s="8">
        <f>E1744*(1+D1745)</f>
        <v/>
      </c>
    </row>
    <row r="1746">
      <c r="A1746" s="8" t="inlineStr">
        <is>
          <t>2016-01-01</t>
        </is>
      </c>
      <c r="B1746" s="6" t="n">
        <v>2.09</v>
      </c>
      <c r="C1746" s="8">
        <f>-PV(B1746/100,$B$3,B1745/100,1)</f>
        <v/>
      </c>
      <c r="D1746" s="8">
        <f>B1745/100/12+(C1746-1)</f>
        <v/>
      </c>
      <c r="E1746" s="8">
        <f>E1745*(1+D1746)</f>
        <v/>
      </c>
    </row>
    <row r="1747">
      <c r="A1747" s="8" t="inlineStr">
        <is>
          <t>2016-02-01</t>
        </is>
      </c>
      <c r="B1747" s="6" t="n">
        <v>1.78</v>
      </c>
      <c r="C1747" s="8">
        <f>-PV(B1747/100,$B$3,B1746/100,1)</f>
        <v/>
      </c>
      <c r="D1747" s="8">
        <f>B1746/100/12+(C1747-1)</f>
        <v/>
      </c>
      <c r="E1747" s="8">
        <f>E1746*(1+D1747)</f>
        <v/>
      </c>
    </row>
    <row r="1748">
      <c r="A1748" s="8" t="inlineStr">
        <is>
          <t>2016-03-01</t>
        </is>
      </c>
      <c r="B1748" s="6" t="n">
        <v>1.89</v>
      </c>
      <c r="C1748" s="8">
        <f>-PV(B1748/100,$B$3,B1747/100,1)</f>
        <v/>
      </c>
      <c r="D1748" s="8">
        <f>B1747/100/12+(C1748-1)</f>
        <v/>
      </c>
      <c r="E1748" s="8">
        <f>E1747*(1+D1748)</f>
        <v/>
      </c>
    </row>
    <row r="1749">
      <c r="A1749" s="8" t="inlineStr">
        <is>
          <t>2016-04-01</t>
        </is>
      </c>
      <c r="B1749" s="6" t="n">
        <v>1.81</v>
      </c>
      <c r="C1749" s="8">
        <f>-PV(B1749/100,$B$3,B1748/100,1)</f>
        <v/>
      </c>
      <c r="D1749" s="8">
        <f>B1748/100/12+(C1749-1)</f>
        <v/>
      </c>
      <c r="E1749" s="8">
        <f>E1748*(1+D1749)</f>
        <v/>
      </c>
    </row>
    <row r="1750">
      <c r="A1750" s="8" t="inlineStr">
        <is>
          <t>2016-05-01</t>
        </is>
      </c>
      <c r="B1750" s="6" t="n">
        <v>1.81</v>
      </c>
      <c r="C1750" s="8">
        <f>-PV(B1750/100,$B$3,B1749/100,1)</f>
        <v/>
      </c>
      <c r="D1750" s="8">
        <f>B1749/100/12+(C1750-1)</f>
        <v/>
      </c>
      <c r="E1750" s="8">
        <f>E1749*(1+D1750)</f>
        <v/>
      </c>
    </row>
    <row r="1751">
      <c r="A1751" s="8" t="inlineStr">
        <is>
          <t>2016-06-01</t>
        </is>
      </c>
      <c r="B1751" s="6" t="n">
        <v>1.64</v>
      </c>
      <c r="C1751" s="8">
        <f>-PV(B1751/100,$B$3,B1750/100,1)</f>
        <v/>
      </c>
      <c r="D1751" s="8">
        <f>B1750/100/12+(C1751-1)</f>
        <v/>
      </c>
      <c r="E1751" s="8">
        <f>E1750*(1+D1751)</f>
        <v/>
      </c>
    </row>
    <row r="1752">
      <c r="A1752" s="8" t="inlineStr">
        <is>
          <t>2016-07-01</t>
        </is>
      </c>
      <c r="B1752" s="6" t="n">
        <v>1.5</v>
      </c>
      <c r="C1752" s="8">
        <f>-PV(B1752/100,$B$3,B1751/100,1)</f>
        <v/>
      </c>
      <c r="D1752" s="8">
        <f>B1751/100/12+(C1752-1)</f>
        <v/>
      </c>
      <c r="E1752" s="8">
        <f>E1751*(1+D1752)</f>
        <v/>
      </c>
    </row>
    <row r="1753">
      <c r="A1753" s="8" t="inlineStr">
        <is>
          <t>2016-08-01</t>
        </is>
      </c>
      <c r="B1753" s="6" t="n">
        <v>1.56</v>
      </c>
      <c r="C1753" s="8">
        <f>-PV(B1753/100,$B$3,B1752/100,1)</f>
        <v/>
      </c>
      <c r="D1753" s="8">
        <f>B1752/100/12+(C1753-1)</f>
        <v/>
      </c>
      <c r="E1753" s="8">
        <f>E1752*(1+D1753)</f>
        <v/>
      </c>
    </row>
    <row r="1754">
      <c r="A1754" s="8" t="inlineStr">
        <is>
          <t>2016-09-01</t>
        </is>
      </c>
      <c r="B1754" s="6" t="n">
        <v>1.63</v>
      </c>
      <c r="C1754" s="8">
        <f>-PV(B1754/100,$B$3,B1753/100,1)</f>
        <v/>
      </c>
      <c r="D1754" s="8">
        <f>B1753/100/12+(C1754-1)</f>
        <v/>
      </c>
      <c r="E1754" s="8">
        <f>E1753*(1+D1754)</f>
        <v/>
      </c>
    </row>
    <row r="1755">
      <c r="A1755" s="8" t="inlineStr">
        <is>
          <t>2016-10-01</t>
        </is>
      </c>
      <c r="B1755" s="6" t="n">
        <v>1.76</v>
      </c>
      <c r="C1755" s="8">
        <f>-PV(B1755/100,$B$3,B1754/100,1)</f>
        <v/>
      </c>
      <c r="D1755" s="8">
        <f>B1754/100/12+(C1755-1)</f>
        <v/>
      </c>
      <c r="E1755" s="8">
        <f>E1754*(1+D1755)</f>
        <v/>
      </c>
    </row>
    <row r="1756">
      <c r="A1756" s="8" t="inlineStr">
        <is>
          <t>2016-11-01</t>
        </is>
      </c>
      <c r="B1756" s="6" t="n">
        <v>2.14</v>
      </c>
      <c r="C1756" s="8">
        <f>-PV(B1756/100,$B$3,B1755/100,1)</f>
        <v/>
      </c>
      <c r="D1756" s="8">
        <f>B1755/100/12+(C1756-1)</f>
        <v/>
      </c>
      <c r="E1756" s="8">
        <f>E1755*(1+D1756)</f>
        <v/>
      </c>
    </row>
    <row r="1757">
      <c r="A1757" s="8" t="inlineStr">
        <is>
          <t>2016-12-01</t>
        </is>
      </c>
      <c r="B1757" s="6" t="n">
        <v>2.49</v>
      </c>
      <c r="C1757" s="8">
        <f>-PV(B1757/100,$B$3,B1756/100,1)</f>
        <v/>
      </c>
      <c r="D1757" s="8">
        <f>B1756/100/12+(C1757-1)</f>
        <v/>
      </c>
      <c r="E1757" s="8">
        <f>E1756*(1+D1757)</f>
        <v/>
      </c>
    </row>
    <row r="1758">
      <c r="A1758" s="8" t="inlineStr">
        <is>
          <t>2017-01-01</t>
        </is>
      </c>
      <c r="B1758" s="6" t="n">
        <v>2.43</v>
      </c>
      <c r="C1758" s="8">
        <f>-PV(B1758/100,$B$3,B1757/100,1)</f>
        <v/>
      </c>
      <c r="D1758" s="8">
        <f>B1757/100/12+(C1758-1)</f>
        <v/>
      </c>
      <c r="E1758" s="8">
        <f>E1757*(1+D1758)</f>
        <v/>
      </c>
    </row>
    <row r="1759">
      <c r="A1759" s="8" t="inlineStr">
        <is>
          <t>2017-02-01</t>
        </is>
      </c>
      <c r="B1759" s="6" t="n">
        <v>2.42</v>
      </c>
      <c r="C1759" s="8">
        <f>-PV(B1759/100,$B$3,B1758/100,1)</f>
        <v/>
      </c>
      <c r="D1759" s="8">
        <f>B1758/100/12+(C1759-1)</f>
        <v/>
      </c>
      <c r="E1759" s="8">
        <f>E1758*(1+D1759)</f>
        <v/>
      </c>
    </row>
    <row r="1760">
      <c r="A1760" s="8" t="inlineStr">
        <is>
          <t>2017-03-01</t>
        </is>
      </c>
      <c r="B1760" s="6" t="n">
        <v>2.48</v>
      </c>
      <c r="C1760" s="8">
        <f>-PV(B1760/100,$B$3,B1759/100,1)</f>
        <v/>
      </c>
      <c r="D1760" s="8">
        <f>B1759/100/12+(C1760-1)</f>
        <v/>
      </c>
      <c r="E1760" s="8">
        <f>E1759*(1+D1760)</f>
        <v/>
      </c>
    </row>
    <row r="1761">
      <c r="A1761" s="8" t="inlineStr">
        <is>
          <t>2017-04-01</t>
        </is>
      </c>
      <c r="B1761" s="6" t="n">
        <v>2.3</v>
      </c>
      <c r="C1761" s="8">
        <f>-PV(B1761/100,$B$3,B1760/100,1)</f>
        <v/>
      </c>
      <c r="D1761" s="8">
        <f>B1760/100/12+(C1761-1)</f>
        <v/>
      </c>
      <c r="E1761" s="8">
        <f>E1760*(1+D1761)</f>
        <v/>
      </c>
    </row>
    <row r="1762">
      <c r="A1762" s="8" t="inlineStr">
        <is>
          <t>2017-05-01</t>
        </is>
      </c>
      <c r="B1762" s="6" t="n">
        <v>2.3</v>
      </c>
      <c r="C1762" s="8">
        <f>-PV(B1762/100,$B$3,B1761/100,1)</f>
        <v/>
      </c>
      <c r="D1762" s="8">
        <f>B1761/100/12+(C1762-1)</f>
        <v/>
      </c>
      <c r="E1762" s="8">
        <f>E1761*(1+D1762)</f>
        <v/>
      </c>
    </row>
    <row r="1763">
      <c r="A1763" s="8" t="inlineStr">
        <is>
          <t>2017-06-01</t>
        </is>
      </c>
      <c r="B1763" s="6" t="n">
        <v>2.19</v>
      </c>
      <c r="C1763" s="8">
        <f>-PV(B1763/100,$B$3,B1762/100,1)</f>
        <v/>
      </c>
      <c r="D1763" s="8">
        <f>B1762/100/12+(C1763-1)</f>
        <v/>
      </c>
      <c r="E1763" s="8">
        <f>E1762*(1+D1763)</f>
        <v/>
      </c>
    </row>
    <row r="1764">
      <c r="A1764" s="8" t="inlineStr">
        <is>
          <t>2017-07-01</t>
        </is>
      </c>
      <c r="B1764" s="6" t="n">
        <v>2.32</v>
      </c>
      <c r="C1764" s="8">
        <f>-PV(B1764/100,$B$3,B1763/100,1)</f>
        <v/>
      </c>
      <c r="D1764" s="8">
        <f>B1763/100/12+(C1764-1)</f>
        <v/>
      </c>
      <c r="E1764" s="8">
        <f>E1763*(1+D1764)</f>
        <v/>
      </c>
    </row>
    <row r="1765">
      <c r="A1765" s="8" t="inlineStr">
        <is>
          <t>2017-08-01</t>
        </is>
      </c>
      <c r="B1765" s="6" t="n">
        <v>2.21</v>
      </c>
      <c r="C1765" s="8">
        <f>-PV(B1765/100,$B$3,B1764/100,1)</f>
        <v/>
      </c>
      <c r="D1765" s="8">
        <f>B1764/100/12+(C1765-1)</f>
        <v/>
      </c>
      <c r="E1765" s="8">
        <f>E1764*(1+D1765)</f>
        <v/>
      </c>
    </row>
    <row r="1766">
      <c r="A1766" s="8" t="inlineStr">
        <is>
          <t>2017-09-01</t>
        </is>
      </c>
      <c r="B1766" s="6" t="n">
        <v>2.2</v>
      </c>
      <c r="C1766" s="8">
        <f>-PV(B1766/100,$B$3,B1765/100,1)</f>
        <v/>
      </c>
      <c r="D1766" s="8">
        <f>B1765/100/12+(C1766-1)</f>
        <v/>
      </c>
      <c r="E1766" s="8">
        <f>E1765*(1+D1766)</f>
        <v/>
      </c>
    </row>
    <row r="1767">
      <c r="A1767" s="8" t="inlineStr">
        <is>
          <t>2017-10-01</t>
        </is>
      </c>
      <c r="B1767" s="6" t="n">
        <v>2.36</v>
      </c>
      <c r="C1767" s="8">
        <f>-PV(B1767/100,$B$3,B1766/100,1)</f>
        <v/>
      </c>
      <c r="D1767" s="8">
        <f>B1766/100/12+(C1767-1)</f>
        <v/>
      </c>
      <c r="E1767" s="8">
        <f>E1766*(1+D1767)</f>
        <v/>
      </c>
    </row>
    <row r="1768">
      <c r="A1768" s="8" t="inlineStr">
        <is>
          <t>2017-11-01</t>
        </is>
      </c>
      <c r="B1768" s="6" t="n">
        <v>2.35</v>
      </c>
      <c r="C1768" s="8">
        <f>-PV(B1768/100,$B$3,B1767/100,1)</f>
        <v/>
      </c>
      <c r="D1768" s="8">
        <f>B1767/100/12+(C1768-1)</f>
        <v/>
      </c>
      <c r="E1768" s="8">
        <f>E1767*(1+D1768)</f>
        <v/>
      </c>
    </row>
    <row r="1769">
      <c r="A1769" s="8" t="inlineStr">
        <is>
          <t>2017-12-01</t>
        </is>
      </c>
      <c r="B1769" s="6" t="n">
        <v>2.4</v>
      </c>
      <c r="C1769" s="8">
        <f>-PV(B1769/100,$B$3,B1768/100,1)</f>
        <v/>
      </c>
      <c r="D1769" s="8">
        <f>B1768/100/12+(C1769-1)</f>
        <v/>
      </c>
      <c r="E1769" s="8">
        <f>E1768*(1+D1769)</f>
        <v/>
      </c>
    </row>
    <row r="1770">
      <c r="A1770" s="8" t="inlineStr">
        <is>
          <t>2018-01-01</t>
        </is>
      </c>
      <c r="B1770" s="6" t="n">
        <v>2.58</v>
      </c>
      <c r="C1770" s="8">
        <f>-PV(B1770/100,$B$3,B1769/100,1)</f>
        <v/>
      </c>
      <c r="D1770" s="8">
        <f>B1769/100/12+(C1770-1)</f>
        <v/>
      </c>
      <c r="E1770" s="8">
        <f>E1769*(1+D1770)</f>
        <v/>
      </c>
    </row>
    <row r="1771">
      <c r="A1771" s="8" t="inlineStr">
        <is>
          <t>2018-02-01</t>
        </is>
      </c>
      <c r="B1771" s="6" t="n">
        <v>2.86</v>
      </c>
      <c r="C1771" s="8">
        <f>-PV(B1771/100,$B$3,B1770/100,1)</f>
        <v/>
      </c>
      <c r="D1771" s="8">
        <f>B1770/100/12+(C1771-1)</f>
        <v/>
      </c>
      <c r="E1771" s="8">
        <f>E1770*(1+D1771)</f>
        <v/>
      </c>
    </row>
    <row r="1772">
      <c r="A1772" s="8" t="inlineStr">
        <is>
          <t>2018-03-01</t>
        </is>
      </c>
      <c r="B1772" s="6" t="n">
        <v>2.84</v>
      </c>
      <c r="C1772" s="8">
        <f>-PV(B1772/100,$B$3,B1771/100,1)</f>
        <v/>
      </c>
      <c r="D1772" s="8">
        <f>B1771/100/12+(C1772-1)</f>
        <v/>
      </c>
      <c r="E1772" s="8">
        <f>E1771*(1+D1772)</f>
        <v/>
      </c>
    </row>
    <row r="1773">
      <c r="A1773" s="8" t="inlineStr">
        <is>
          <t>2018-04-01</t>
        </is>
      </c>
      <c r="B1773" s="6" t="n">
        <v>2.87</v>
      </c>
      <c r="C1773" s="8">
        <f>-PV(B1773/100,$B$3,B1772/100,1)</f>
        <v/>
      </c>
      <c r="D1773" s="8">
        <f>B1772/100/12+(C1773-1)</f>
        <v/>
      </c>
      <c r="E1773" s="8">
        <f>E1772*(1+D1773)</f>
        <v/>
      </c>
    </row>
    <row r="1774">
      <c r="A1774" s="8" t="inlineStr">
        <is>
          <t>2018-05-01</t>
        </is>
      </c>
      <c r="B1774" s="6" t="n">
        <v>2.976</v>
      </c>
      <c r="C1774" s="8">
        <f>-PV(B1774/100,$B$3,B1773/100,1)</f>
        <v/>
      </c>
      <c r="D1774" s="8">
        <f>B1773/100/12+(C1774-1)</f>
        <v/>
      </c>
      <c r="E1774" s="8">
        <f>E1773*(1+D1774)</f>
        <v/>
      </c>
    </row>
    <row r="1775">
      <c r="A1775" s="8" t="inlineStr">
        <is>
          <t>2018-06-01</t>
        </is>
      </c>
      <c r="B1775" s="6" t="n">
        <v>2.91</v>
      </c>
      <c r="C1775" s="8">
        <f>-PV(B1775/100,$B$3,B1774/100,1)</f>
        <v/>
      </c>
      <c r="D1775" s="8">
        <f>B1774/100/12+(C1775-1)</f>
        <v/>
      </c>
      <c r="E1775" s="8">
        <f>E1774*(1+D1775)</f>
        <v/>
      </c>
    </row>
    <row r="1776">
      <c r="A1776" s="8" t="inlineStr">
        <is>
          <t>2018-07-01</t>
        </is>
      </c>
      <c r="B1776" s="6" t="n">
        <v>2.89</v>
      </c>
      <c r="C1776" s="8">
        <f>-PV(B1776/100,$B$3,B1775/100,1)</f>
        <v/>
      </c>
      <c r="D1776" s="8">
        <f>B1775/100/12+(C1776-1)</f>
        <v/>
      </c>
      <c r="E1776" s="8">
        <f>E1775*(1+D1776)</f>
        <v/>
      </c>
    </row>
    <row r="1777">
      <c r="A1777" s="8" t="inlineStr">
        <is>
          <t>2018-08-01</t>
        </is>
      </c>
      <c r="B1777" s="6" t="n">
        <v>2.89</v>
      </c>
      <c r="C1777" s="8">
        <f>-PV(B1777/100,$B$3,B1776/100,1)</f>
        <v/>
      </c>
      <c r="D1777" s="8">
        <f>B1776/100/12+(C1777-1)</f>
        <v/>
      </c>
      <c r="E1777" s="8">
        <f>E1776*(1+D1777)</f>
        <v/>
      </c>
    </row>
    <row r="1778">
      <c r="A1778" s="8" t="inlineStr">
        <is>
          <t>2018-09-01</t>
        </is>
      </c>
      <c r="B1778" s="6" t="n">
        <v>3</v>
      </c>
      <c r="C1778" s="8">
        <f>-PV(B1778/100,$B$3,B1777/100,1)</f>
        <v/>
      </c>
      <c r="D1778" s="8">
        <f>B1777/100/12+(C1778-1)</f>
        <v/>
      </c>
      <c r="E1778" s="8">
        <f>E1777*(1+D1778)</f>
        <v/>
      </c>
    </row>
    <row r="1779">
      <c r="A1779" s="8" t="inlineStr">
        <is>
          <t>2018-10-01</t>
        </is>
      </c>
      <c r="B1779" s="6" t="n">
        <v>3.15</v>
      </c>
      <c r="C1779" s="8">
        <f>-PV(B1779/100,$B$3,B1778/100,1)</f>
        <v/>
      </c>
      <c r="D1779" s="8">
        <f>B1778/100/12+(C1779-1)</f>
        <v/>
      </c>
      <c r="E1779" s="8">
        <f>E1778*(1+D1779)</f>
        <v/>
      </c>
    </row>
    <row r="1780">
      <c r="A1780" s="8" t="inlineStr">
        <is>
          <t>2018-11-01</t>
        </is>
      </c>
      <c r="B1780" s="6" t="n">
        <v>3.12</v>
      </c>
      <c r="C1780" s="8">
        <f>-PV(B1780/100,$B$3,B1779/100,1)</f>
        <v/>
      </c>
      <c r="D1780" s="8">
        <f>B1779/100/12+(C1780-1)</f>
        <v/>
      </c>
      <c r="E1780" s="8">
        <f>E1779*(1+D1780)</f>
        <v/>
      </c>
    </row>
    <row r="1781">
      <c r="A1781" s="8" t="inlineStr">
        <is>
          <t>2018-12-01</t>
        </is>
      </c>
      <c r="B1781" s="6" t="n">
        <v>2.83</v>
      </c>
      <c r="C1781" s="8">
        <f>-PV(B1781/100,$B$3,B1780/100,1)</f>
        <v/>
      </c>
      <c r="D1781" s="8">
        <f>B1780/100/12+(C1781-1)</f>
        <v/>
      </c>
      <c r="E1781" s="8">
        <f>E1780*(1+D1781)</f>
        <v/>
      </c>
    </row>
    <row r="1782">
      <c r="A1782" s="8" t="inlineStr">
        <is>
          <t>2019-01-01</t>
        </is>
      </c>
      <c r="B1782" s="6" t="n">
        <v>2.71</v>
      </c>
      <c r="C1782" s="8">
        <f>-PV(B1782/100,$B$3,B1781/100,1)</f>
        <v/>
      </c>
      <c r="D1782" s="8">
        <f>B1781/100/12+(C1782-1)</f>
        <v/>
      </c>
      <c r="E1782" s="8">
        <f>E1781*(1+D1782)</f>
        <v/>
      </c>
    </row>
    <row r="1783">
      <c r="A1783" s="8" t="inlineStr">
        <is>
          <t>2019-02-01</t>
        </is>
      </c>
      <c r="B1783" s="6" t="n">
        <v>2.68</v>
      </c>
      <c r="C1783" s="8">
        <f>-PV(B1783/100,$B$3,B1782/100,1)</f>
        <v/>
      </c>
      <c r="D1783" s="8">
        <f>B1782/100/12+(C1783-1)</f>
        <v/>
      </c>
      <c r="E1783" s="8">
        <f>E1782*(1+D1783)</f>
        <v/>
      </c>
    </row>
    <row r="1784">
      <c r="A1784" s="8" t="inlineStr">
        <is>
          <t>2019-03-01</t>
        </is>
      </c>
      <c r="B1784" s="6" t="n">
        <v>2.57</v>
      </c>
      <c r="C1784" s="8">
        <f>-PV(B1784/100,$B$3,B1783/100,1)</f>
        <v/>
      </c>
      <c r="D1784" s="8">
        <f>B1783/100/12+(C1784-1)</f>
        <v/>
      </c>
      <c r="E1784" s="8">
        <f>E1783*(1+D1784)</f>
        <v/>
      </c>
    </row>
    <row r="1785">
      <c r="A1785" s="8" t="inlineStr">
        <is>
          <t>2019-04-01</t>
        </is>
      </c>
      <c r="B1785" s="6" t="n">
        <v>2.53</v>
      </c>
      <c r="C1785" s="8">
        <f>-PV(B1785/100,$B$3,B1784/100,1)</f>
        <v/>
      </c>
      <c r="D1785" s="8">
        <f>B1784/100/12+(C1785-1)</f>
        <v/>
      </c>
      <c r="E1785" s="8">
        <f>E1784*(1+D1785)</f>
        <v/>
      </c>
    </row>
    <row r="1786">
      <c r="A1786" s="8" t="inlineStr">
        <is>
          <t>2019-05-01</t>
        </is>
      </c>
      <c r="B1786" s="6" t="n">
        <v>2.4</v>
      </c>
      <c r="C1786" s="8">
        <f>-PV(B1786/100,$B$3,B1785/100,1)</f>
        <v/>
      </c>
      <c r="D1786" s="8">
        <f>B1785/100/12+(C1786-1)</f>
        <v/>
      </c>
      <c r="E1786" s="8">
        <f>E1785*(1+D1786)</f>
        <v/>
      </c>
    </row>
    <row r="1787">
      <c r="A1787" s="8" t="inlineStr">
        <is>
          <t>2019-06-01</t>
        </is>
      </c>
      <c r="B1787" s="6" t="n">
        <v>2.06</v>
      </c>
      <c r="C1787" s="8">
        <f>-PV(B1787/100,$B$3,B1786/100,1)</f>
        <v/>
      </c>
      <c r="D1787" s="8">
        <f>B1786/100/12+(C1787-1)</f>
        <v/>
      </c>
      <c r="E1787" s="8">
        <f>E1786*(1+D1787)</f>
        <v/>
      </c>
    </row>
    <row r="1788">
      <c r="A1788" s="8" t="inlineStr">
        <is>
          <t>2019-07-01</t>
        </is>
      </c>
      <c r="B1788" s="6" t="n">
        <v>1.63</v>
      </c>
      <c r="C1788" s="8">
        <f>-PV(B1788/100,$B$3,B1787/100,1)</f>
        <v/>
      </c>
      <c r="D1788" s="8">
        <f>B1787/100/12+(C1788-1)</f>
        <v/>
      </c>
      <c r="E1788" s="8">
        <f>E1787*(1+D1788)</f>
        <v/>
      </c>
    </row>
    <row r="1789">
      <c r="A1789" s="8" t="inlineStr">
        <is>
          <t>2019-08-01</t>
        </is>
      </c>
      <c r="B1789" s="6" t="n">
        <v>1.63</v>
      </c>
      <c r="C1789" s="8">
        <f>-PV(B1789/100,$B$3,B1788/100,1)</f>
        <v/>
      </c>
      <c r="D1789" s="8">
        <f>B1788/100/12+(C1789-1)</f>
        <v/>
      </c>
      <c r="E1789" s="8">
        <f>E1788*(1+D1789)</f>
        <v/>
      </c>
    </row>
    <row r="1790">
      <c r="A1790" s="8" t="inlineStr">
        <is>
          <t>2019-09-01</t>
        </is>
      </c>
      <c r="B1790" s="6" t="n">
        <v>1.7</v>
      </c>
      <c r="C1790" s="8">
        <f>-PV(B1790/100,$B$3,B1789/100,1)</f>
        <v/>
      </c>
      <c r="D1790" s="8">
        <f>B1789/100/12+(C1790-1)</f>
        <v/>
      </c>
      <c r="E1790" s="8">
        <f>E1789*(1+D1790)</f>
        <v/>
      </c>
    </row>
    <row r="1791">
      <c r="A1791" s="8" t="inlineStr">
        <is>
          <t>2019-10-01</t>
        </is>
      </c>
      <c r="B1791" s="6" t="n">
        <v>1.71</v>
      </c>
      <c r="C1791" s="8">
        <f>-PV(B1791/100,$B$3,B1790/100,1)</f>
        <v/>
      </c>
      <c r="D1791" s="8">
        <f>B1790/100/12+(C1791-1)</f>
        <v/>
      </c>
      <c r="E1791" s="8">
        <f>E1790*(1+D1791)</f>
        <v/>
      </c>
    </row>
    <row r="1792">
      <c r="A1792" s="8" t="inlineStr">
        <is>
          <t>2019-11-01</t>
        </is>
      </c>
      <c r="B1792" s="6" t="n">
        <v>1.81</v>
      </c>
      <c r="C1792" s="8">
        <f>-PV(B1792/100,$B$3,B1791/100,1)</f>
        <v/>
      </c>
      <c r="D1792" s="8">
        <f>B1791/100/12+(C1792-1)</f>
        <v/>
      </c>
      <c r="E1792" s="8">
        <f>E1791*(1+D1792)</f>
        <v/>
      </c>
    </row>
    <row r="1793">
      <c r="A1793" s="8" t="inlineStr">
        <is>
          <t>2019-12-01</t>
        </is>
      </c>
      <c r="B1793" s="6" t="n">
        <v>1.86</v>
      </c>
      <c r="C1793" s="8">
        <f>-PV(B1793/100,$B$3,B1792/100,1)</f>
        <v/>
      </c>
      <c r="D1793" s="8">
        <f>B1792/100/12+(C1793-1)</f>
        <v/>
      </c>
      <c r="E1793" s="8">
        <f>E1792*(1+D1793)</f>
        <v/>
      </c>
    </row>
    <row r="1794">
      <c r="A1794" s="8" t="inlineStr">
        <is>
          <t>2020-01-01</t>
        </is>
      </c>
      <c r="B1794" s="6" t="n">
        <v>1.76</v>
      </c>
      <c r="C1794" s="8">
        <f>-PV(B1794/100,$B$3,B1793/100,1)</f>
        <v/>
      </c>
      <c r="D1794" s="8">
        <f>B1793/100/12+(C1794-1)</f>
        <v/>
      </c>
      <c r="E1794" s="8">
        <f>E1793*(1+D1794)</f>
        <v/>
      </c>
    </row>
    <row r="1795">
      <c r="A1795" s="8" t="inlineStr">
        <is>
          <t>2020-02-01</t>
        </is>
      </c>
      <c r="B1795" s="6" t="n">
        <v>1.5</v>
      </c>
      <c r="C1795" s="8">
        <f>-PV(B1795/100,$B$3,B1794/100,1)</f>
        <v/>
      </c>
      <c r="D1795" s="8">
        <f>B1794/100/12+(C1795-1)</f>
        <v/>
      </c>
      <c r="E1795" s="8">
        <f>E1794*(1+D1795)</f>
        <v/>
      </c>
    </row>
    <row r="1796">
      <c r="A1796" s="8" t="inlineStr">
        <is>
          <t>2020-03-01</t>
        </is>
      </c>
      <c r="B1796" s="6" t="n">
        <v>0.87</v>
      </c>
      <c r="C1796" s="8">
        <f>-PV(B1796/100,$B$3,B1795/100,1)</f>
        <v/>
      </c>
      <c r="D1796" s="8">
        <f>B1795/100/12+(C1796-1)</f>
        <v/>
      </c>
      <c r="E1796" s="8">
        <f>E1795*(1+D1796)</f>
        <v/>
      </c>
    </row>
    <row r="1797">
      <c r="A1797" s="8" t="inlineStr">
        <is>
          <t>2020-04-01</t>
        </is>
      </c>
      <c r="B1797" s="6" t="n">
        <v>0.66</v>
      </c>
      <c r="C1797" s="8">
        <f>-PV(B1797/100,$B$3,B1796/100,1)</f>
        <v/>
      </c>
      <c r="D1797" s="8">
        <f>B1796/100/12+(C1797-1)</f>
        <v/>
      </c>
      <c r="E1797" s="8">
        <f>E1796*(1+D1797)</f>
        <v/>
      </c>
    </row>
    <row r="1798">
      <c r="A1798" s="8" t="inlineStr">
        <is>
          <t>2020-05-01</t>
        </is>
      </c>
      <c r="B1798" s="6" t="n">
        <v>0.67</v>
      </c>
      <c r="C1798" s="8">
        <f>-PV(B1798/100,$B$3,B1797/100,1)</f>
        <v/>
      </c>
      <c r="D1798" s="8">
        <f>B1797/100/12+(C1798-1)</f>
        <v/>
      </c>
      <c r="E1798" s="8">
        <f>E1797*(1+D1798)</f>
        <v/>
      </c>
    </row>
    <row r="1799">
      <c r="A1799" s="8" t="inlineStr">
        <is>
          <t>2020-06-01</t>
        </is>
      </c>
      <c r="B1799" s="6" t="n">
        <v>0.73</v>
      </c>
      <c r="C1799" s="8">
        <f>-PV(B1799/100,$B$3,B1798/100,1)</f>
        <v/>
      </c>
      <c r="D1799" s="8">
        <f>B1798/100/12+(C1799-1)</f>
        <v/>
      </c>
      <c r="E1799" s="8">
        <f>E1798*(1+D1799)</f>
        <v/>
      </c>
    </row>
    <row r="1800">
      <c r="A1800" s="8" t="inlineStr">
        <is>
          <t>2020-07-01</t>
        </is>
      </c>
      <c r="B1800" s="6" t="n">
        <v>0.62</v>
      </c>
      <c r="C1800" s="8">
        <f>-PV(B1800/100,$B$3,B1799/100,1)</f>
        <v/>
      </c>
      <c r="D1800" s="8">
        <f>B1799/100/12+(C1800-1)</f>
        <v/>
      </c>
      <c r="E1800" s="8">
        <f>E1799*(1+D1800)</f>
        <v/>
      </c>
    </row>
    <row r="1801">
      <c r="A1801" s="8" t="inlineStr">
        <is>
          <t>2020-08-01</t>
        </is>
      </c>
      <c r="B1801" s="6" t="n">
        <v>0.65</v>
      </c>
      <c r="C1801" s="8">
        <f>-PV(B1801/100,$B$3,B1800/100,1)</f>
        <v/>
      </c>
      <c r="D1801" s="8">
        <f>B1800/100/12+(C1801-1)</f>
        <v/>
      </c>
      <c r="E1801" s="8">
        <f>E1800*(1+D1801)</f>
        <v/>
      </c>
    </row>
    <row r="1802">
      <c r="A1802" s="8" t="inlineStr">
        <is>
          <t>2020-09-01</t>
        </is>
      </c>
      <c r="B1802" s="6" t="n">
        <v>0.68</v>
      </c>
      <c r="C1802" s="8">
        <f>-PV(B1802/100,$B$3,B1801/100,1)</f>
        <v/>
      </c>
      <c r="D1802" s="8">
        <f>B1801/100/12+(C1802-1)</f>
        <v/>
      </c>
      <c r="E1802" s="8">
        <f>E1801*(1+D1802)</f>
        <v/>
      </c>
    </row>
    <row r="1803">
      <c r="A1803" s="8" t="inlineStr">
        <is>
          <t>2020-10-01</t>
        </is>
      </c>
      <c r="B1803" s="6" t="n">
        <v>0.79</v>
      </c>
      <c r="C1803" s="8">
        <f>-PV(B1803/100,$B$3,B1802/100,1)</f>
        <v/>
      </c>
      <c r="D1803" s="8">
        <f>B1802/100/12+(C1803-1)</f>
        <v/>
      </c>
      <c r="E1803" s="8">
        <f>E1802*(1+D1803)</f>
        <v/>
      </c>
    </row>
    <row r="1804">
      <c r="A1804" s="8" t="inlineStr">
        <is>
          <t>2020-11-01</t>
        </is>
      </c>
      <c r="B1804" s="6" t="n">
        <v>0.87</v>
      </c>
      <c r="C1804" s="8">
        <f>-PV(B1804/100,$B$3,B1803/100,1)</f>
        <v/>
      </c>
      <c r="D1804" s="8">
        <f>B1803/100/12+(C1804-1)</f>
        <v/>
      </c>
      <c r="E1804" s="8">
        <f>E1803*(1+D1804)</f>
        <v/>
      </c>
    </row>
    <row r="1805">
      <c r="A1805" s="8" t="inlineStr">
        <is>
          <t>2020-12-01</t>
        </is>
      </c>
      <c r="B1805" s="6" t="n">
        <v>0.93</v>
      </c>
      <c r="C1805" s="8">
        <f>-PV(B1805/100,$B$3,B1804/100,1)</f>
        <v/>
      </c>
      <c r="D1805" s="8">
        <f>B1804/100/12+(C1805-1)</f>
        <v/>
      </c>
      <c r="E1805" s="8">
        <f>E1804*(1+D1805)</f>
        <v/>
      </c>
    </row>
    <row r="1806">
      <c r="A1806" s="8" t="inlineStr">
        <is>
          <t>2021-01-01</t>
        </is>
      </c>
      <c r="B1806" s="6" t="n">
        <v>1.08</v>
      </c>
      <c r="C1806" s="8">
        <f>-PV(B1806/100,$B$3,B1805/100,1)</f>
        <v/>
      </c>
      <c r="D1806" s="8">
        <f>B1805/100/12+(C1806-1)</f>
        <v/>
      </c>
      <c r="E1806" s="8">
        <f>E1805*(1+D1806)</f>
        <v/>
      </c>
    </row>
    <row r="1807">
      <c r="A1807" s="8" t="inlineStr">
        <is>
          <t>2021-02-01</t>
        </is>
      </c>
      <c r="B1807" s="6" t="n">
        <v>1.26</v>
      </c>
      <c r="C1807" s="8">
        <f>-PV(B1807/100,$B$3,B1806/100,1)</f>
        <v/>
      </c>
      <c r="D1807" s="8">
        <f>B1806/100/12+(C1807-1)</f>
        <v/>
      </c>
      <c r="E1807" s="8">
        <f>E1806*(1+D1807)</f>
        <v/>
      </c>
    </row>
    <row r="1808">
      <c r="A1808" s="8" t="inlineStr">
        <is>
          <t>2021-03-01</t>
        </is>
      </c>
      <c r="B1808" s="6" t="n">
        <v>1.61</v>
      </c>
      <c r="C1808" s="8">
        <f>-PV(B1808/100,$B$3,B1807/100,1)</f>
        <v/>
      </c>
      <c r="D1808" s="8">
        <f>B1807/100/12+(C1808-1)</f>
        <v/>
      </c>
      <c r="E1808" s="8">
        <f>E1807*(1+D1808)</f>
        <v/>
      </c>
    </row>
    <row r="1809">
      <c r="A1809" s="8" t="inlineStr">
        <is>
          <t>2021-04-01</t>
        </is>
      </c>
      <c r="B1809" s="6" t="n">
        <v>1.64</v>
      </c>
      <c r="C1809" s="8">
        <f>-PV(B1809/100,$B$3,B1808/100,1)</f>
        <v/>
      </c>
      <c r="D1809" s="8">
        <f>B1808/100/12+(C1809-1)</f>
        <v/>
      </c>
      <c r="E1809" s="8">
        <f>E1808*(1+D1809)</f>
        <v/>
      </c>
    </row>
    <row r="1810">
      <c r="A1810" s="8" t="inlineStr">
        <is>
          <t>2021-05-01</t>
        </is>
      </c>
      <c r="B1810" s="6" t="n">
        <v>1.62</v>
      </c>
      <c r="C1810" s="8">
        <f>-PV(B1810/100,$B$3,B1809/100,1)</f>
        <v/>
      </c>
      <c r="D1810" s="8">
        <f>B1809/100/12+(C1810-1)</f>
        <v/>
      </c>
      <c r="E1810" s="8">
        <f>E1809*(1+D1810)</f>
        <v/>
      </c>
    </row>
    <row r="1811">
      <c r="A1811" s="8" t="inlineStr">
        <is>
          <t>2021-06-01</t>
        </is>
      </c>
      <c r="B1811" s="6" t="n">
        <v>1.52</v>
      </c>
      <c r="C1811" s="8">
        <f>-PV(B1811/100,$B$3,B1810/100,1)</f>
        <v/>
      </c>
      <c r="D1811" s="8">
        <f>B1810/100/12+(C1811-1)</f>
        <v/>
      </c>
      <c r="E1811" s="8">
        <f>E1810*(1+D1811)</f>
        <v/>
      </c>
    </row>
    <row r="1812">
      <c r="A1812" s="8" t="inlineStr">
        <is>
          <t>2021-07-01</t>
        </is>
      </c>
      <c r="B1812" s="6" t="n">
        <v>1.32</v>
      </c>
      <c r="C1812" s="8">
        <f>-PV(B1812/100,$B$3,B1811/100,1)</f>
        <v/>
      </c>
      <c r="D1812" s="8">
        <f>B1811/100/12+(C1812-1)</f>
        <v/>
      </c>
      <c r="E1812" s="8">
        <f>E1811*(1+D1812)</f>
        <v/>
      </c>
    </row>
    <row r="1813">
      <c r="A1813" s="8" t="inlineStr">
        <is>
          <t>2021-08-01</t>
        </is>
      </c>
      <c r="B1813" s="6" t="n">
        <v>1.28</v>
      </c>
      <c r="C1813" s="8">
        <f>-PV(B1813/100,$B$3,B1812/100,1)</f>
        <v/>
      </c>
      <c r="D1813" s="8">
        <f>B1812/100/12+(C1813-1)</f>
        <v/>
      </c>
      <c r="E1813" s="8">
        <f>E1812*(1+D1813)</f>
        <v/>
      </c>
    </row>
    <row r="1814">
      <c r="A1814" s="8" t="inlineStr">
        <is>
          <t>2021-09-01</t>
        </is>
      </c>
      <c r="B1814" s="6" t="n">
        <v>1.37</v>
      </c>
      <c r="C1814" s="8">
        <f>-PV(B1814/100,$B$3,B1813/100,1)</f>
        <v/>
      </c>
      <c r="D1814" s="8">
        <f>B1813/100/12+(C1814-1)</f>
        <v/>
      </c>
      <c r="E1814" s="8">
        <f>E1813*(1+D1814)</f>
        <v/>
      </c>
    </row>
    <row r="1815">
      <c r="A1815" s="8" t="inlineStr">
        <is>
          <t>2021-10-01</t>
        </is>
      </c>
      <c r="B1815" s="6" t="n">
        <v>1.58</v>
      </c>
      <c r="C1815" s="8">
        <f>-PV(B1815/100,$B$3,B1814/100,1)</f>
        <v/>
      </c>
      <c r="D1815" s="8">
        <f>B1814/100/12+(C1815-1)</f>
        <v/>
      </c>
      <c r="E1815" s="8">
        <f>E1814*(1+D1815)</f>
        <v/>
      </c>
    </row>
    <row r="1816">
      <c r="A1816" s="8" t="inlineStr">
        <is>
          <t>2021-11-01</t>
        </is>
      </c>
      <c r="B1816" s="6" t="n">
        <v>1.56</v>
      </c>
      <c r="C1816" s="8">
        <f>-PV(B1816/100,$B$3,B1815/100,1)</f>
        <v/>
      </c>
      <c r="D1816" s="8">
        <f>B1815/100/12+(C1816-1)</f>
        <v/>
      </c>
      <c r="E1816" s="8">
        <f>E1815*(1+D1816)</f>
        <v/>
      </c>
    </row>
    <row r="1817">
      <c r="A1817" s="8" t="inlineStr">
        <is>
          <t>2021-12-01</t>
        </is>
      </c>
      <c r="B1817" s="6" t="n">
        <v>1.47</v>
      </c>
      <c r="C1817" s="8">
        <f>-PV(B1817/100,$B$3,B1816/100,1)</f>
        <v/>
      </c>
      <c r="D1817" s="8">
        <f>B1816/100/12+(C1817-1)</f>
        <v/>
      </c>
      <c r="E1817" s="8">
        <f>E1816*(1+D1817)</f>
        <v/>
      </c>
    </row>
    <row r="1818">
      <c r="A1818" s="8" t="inlineStr">
        <is>
          <t>2022-01-01</t>
        </is>
      </c>
      <c r="B1818" s="6" t="n">
        <v>1.76</v>
      </c>
      <c r="C1818" s="8">
        <f>-PV(B1818/100,$B$3,B1817/100,1)</f>
        <v/>
      </c>
      <c r="D1818" s="8">
        <f>B1817/100/12+(C1818-1)</f>
        <v/>
      </c>
      <c r="E1818" s="8">
        <f>E1817*(1+D1818)</f>
        <v/>
      </c>
    </row>
    <row r="1819">
      <c r="A1819" s="8" t="inlineStr">
        <is>
          <t>2022-02-01</t>
        </is>
      </c>
      <c r="B1819" s="6" t="n">
        <v>1.93</v>
      </c>
      <c r="C1819" s="8">
        <f>-PV(B1819/100,$B$3,B1818/100,1)</f>
        <v/>
      </c>
      <c r="D1819" s="8">
        <f>B1818/100/12+(C1819-1)</f>
        <v/>
      </c>
      <c r="E1819" s="8">
        <f>E1818*(1+D1819)</f>
        <v/>
      </c>
    </row>
    <row r="1820">
      <c r="A1820" s="8" t="inlineStr">
        <is>
          <t>2022-03-01</t>
        </is>
      </c>
      <c r="B1820" s="6" t="n">
        <v>2.13</v>
      </c>
      <c r="C1820" s="8">
        <f>-PV(B1820/100,$B$3,B1819/100,1)</f>
        <v/>
      </c>
      <c r="D1820" s="8">
        <f>B1819/100/12+(C1820-1)</f>
        <v/>
      </c>
      <c r="E1820" s="8">
        <f>E1819*(1+D1820)</f>
        <v/>
      </c>
    </row>
    <row r="1821">
      <c r="A1821" s="8" t="inlineStr">
        <is>
          <t>2022-04-01</t>
        </is>
      </c>
      <c r="B1821" s="6" t="n">
        <v>2.75</v>
      </c>
      <c r="C1821" s="8">
        <f>-PV(B1821/100,$B$3,B1820/100,1)</f>
        <v/>
      </c>
      <c r="D1821" s="8">
        <f>B1820/100/12+(C1821-1)</f>
        <v/>
      </c>
      <c r="E1821" s="8">
        <f>E1820*(1+D1821)</f>
        <v/>
      </c>
    </row>
    <row r="1822">
      <c r="A1822" s="8" t="inlineStr">
        <is>
          <t>2022-05-01</t>
        </is>
      </c>
      <c r="B1822" s="6" t="n">
        <v>2.9</v>
      </c>
      <c r="C1822" s="8">
        <f>-PV(B1822/100,$B$3,B1821/100,1)</f>
        <v/>
      </c>
      <c r="D1822" s="8">
        <f>B1821/100/12+(C1822-1)</f>
        <v/>
      </c>
      <c r="E1822" s="8">
        <f>E1821*(1+D1822)</f>
        <v/>
      </c>
    </row>
    <row r="1823">
      <c r="A1823" s="8" t="inlineStr">
        <is>
          <t>2022-06-01</t>
        </is>
      </c>
      <c r="B1823" s="6" t="n">
        <v>3.14</v>
      </c>
      <c r="C1823" s="8">
        <f>-PV(B1823/100,$B$3,B1822/100,1)</f>
        <v/>
      </c>
      <c r="D1823" s="8">
        <f>B1822/100/12+(C1823-1)</f>
        <v/>
      </c>
      <c r="E1823" s="8">
        <f>E1822*(1+D1823)</f>
        <v/>
      </c>
    </row>
    <row r="1824">
      <c r="A1824" s="8" t="inlineStr">
        <is>
          <t>2022-07-01</t>
        </is>
      </c>
      <c r="B1824" s="6" t="n">
        <v>2.9</v>
      </c>
      <c r="C1824" s="8">
        <f>-PV(B1824/100,$B$3,B1823/100,1)</f>
        <v/>
      </c>
      <c r="D1824" s="8">
        <f>B1823/100/12+(C1824-1)</f>
        <v/>
      </c>
      <c r="E1824" s="8">
        <f>E1823*(1+D1824)</f>
        <v/>
      </c>
    </row>
    <row r="1825">
      <c r="A1825" s="8" t="inlineStr">
        <is>
          <t>2022-08-01</t>
        </is>
      </c>
      <c r="B1825" s="6" t="n">
        <v>2.9</v>
      </c>
      <c r="C1825" s="8">
        <f>-PV(B1825/100,$B$3,B1824/100,1)</f>
        <v/>
      </c>
      <c r="D1825" s="8">
        <f>B1824/100/12+(C1825-1)</f>
        <v/>
      </c>
      <c r="E1825" s="8">
        <f>E1824*(1+D1825)</f>
        <v/>
      </c>
    </row>
    <row r="1826">
      <c r="A1826" s="8" t="inlineStr">
        <is>
          <t>2022-09-01</t>
        </is>
      </c>
      <c r="B1826" s="6" t="n">
        <v>3.52</v>
      </c>
      <c r="C1826" s="8">
        <f>-PV(B1826/100,$B$3,B1825/100,1)</f>
        <v/>
      </c>
      <c r="D1826" s="8">
        <f>B1825/100/12+(C1826-1)</f>
        <v/>
      </c>
      <c r="E1826" s="8">
        <f>E1825*(1+D1826)</f>
        <v/>
      </c>
    </row>
    <row r="1827">
      <c r="A1827" s="8" t="inlineStr">
        <is>
          <t>2022-10-01</t>
        </is>
      </c>
      <c r="B1827" s="6" t="n">
        <v>3.98</v>
      </c>
      <c r="C1827" s="8">
        <f>-PV(B1827/100,$B$3,B1826/100,1)</f>
        <v/>
      </c>
      <c r="D1827" s="8">
        <f>B1826/100/12+(C1827-1)</f>
        <v/>
      </c>
      <c r="E1827" s="8">
        <f>E1826*(1+D1827)</f>
        <v/>
      </c>
    </row>
    <row r="1828">
      <c r="A1828" s="8" t="inlineStr">
        <is>
          <t>2022-11-01</t>
        </is>
      </c>
      <c r="B1828" s="6" t="n">
        <v>3.89</v>
      </c>
      <c r="C1828" s="8">
        <f>-PV(B1828/100,$B$3,B1827/100,1)</f>
        <v/>
      </c>
      <c r="D1828" s="8">
        <f>B1827/100/12+(C1828-1)</f>
        <v/>
      </c>
      <c r="E1828" s="8">
        <f>E1827*(1+D1828)</f>
        <v/>
      </c>
    </row>
    <row r="1829">
      <c r="A1829" s="8" t="inlineStr">
        <is>
          <t>2022-12-01</t>
        </is>
      </c>
      <c r="B1829" s="6" t="n">
        <v>3.62</v>
      </c>
      <c r="C1829" s="8">
        <f>-PV(B1829/100,$B$3,B1828/100,1)</f>
        <v/>
      </c>
      <c r="D1829" s="8">
        <f>B1828/100/12+(C1829-1)</f>
        <v/>
      </c>
      <c r="E1829" s="8">
        <f>E1828*(1+D1829)</f>
        <v/>
      </c>
    </row>
    <row r="1830">
      <c r="A1830" s="8" t="inlineStr">
        <is>
          <t>2023-01-01</t>
        </is>
      </c>
      <c r="B1830" s="6" t="n">
        <v>3.53</v>
      </c>
      <c r="C1830" s="8">
        <f>-PV(B1830/100,$B$3,B1829/100,1)</f>
        <v/>
      </c>
      <c r="D1830" s="8">
        <f>B1829/100/12+(C1830-1)</f>
        <v/>
      </c>
      <c r="E1830" s="8">
        <f>E1829*(1+D1830)</f>
        <v/>
      </c>
    </row>
    <row r="1831">
      <c r="A1831" s="8" t="inlineStr">
        <is>
          <t>2023-02-01</t>
        </is>
      </c>
      <c r="B1831" s="6" t="n">
        <v>3.75</v>
      </c>
      <c r="C1831" s="8">
        <f>-PV(B1831/100,$B$3,B1830/100,1)</f>
        <v/>
      </c>
      <c r="D1831" s="8">
        <f>B1830/100/12+(C1831-1)</f>
        <v/>
      </c>
      <c r="E1831" s="8">
        <f>E1830*(1+D1831)</f>
        <v/>
      </c>
    </row>
    <row r="1832">
      <c r="A1832" s="8" t="inlineStr">
        <is>
          <t>2023-03-01</t>
        </is>
      </c>
      <c r="B1832" s="6" t="n">
        <v>3.66</v>
      </c>
      <c r="C1832" s="8">
        <f>-PV(B1832/100,$B$3,B1831/100,1)</f>
        <v/>
      </c>
      <c r="D1832" s="8">
        <f>B1831/100/12+(C1832-1)</f>
        <v/>
      </c>
      <c r="E1832" s="8">
        <f>E1831*(1+D1832)</f>
        <v/>
      </c>
    </row>
    <row r="1833">
      <c r="A1833" s="8" t="inlineStr">
        <is>
          <t>2023-04-01</t>
        </is>
      </c>
      <c r="B1833" s="6" t="n">
        <v>3.46</v>
      </c>
      <c r="C1833" s="8">
        <f>-PV(B1833/100,$B$3,B1832/100,1)</f>
        <v/>
      </c>
      <c r="D1833" s="8">
        <f>B1832/100/12+(C1833-1)</f>
        <v/>
      </c>
      <c r="E1833" s="8">
        <f>E1832*(1+D1833)</f>
        <v/>
      </c>
    </row>
    <row r="1834">
      <c r="A1834" s="8" t="inlineStr">
        <is>
          <t>2023-05-01</t>
        </is>
      </c>
      <c r="B1834" s="6" t="n">
        <v>3.57</v>
      </c>
      <c r="C1834" s="8">
        <f>-PV(B1834/100,$B$3,B1833/100,1)</f>
        <v/>
      </c>
      <c r="D1834" s="8">
        <f>B1833/100/12+(C1834-1)</f>
        <v/>
      </c>
      <c r="E1834" s="8">
        <f>E1833*(1+D1834)</f>
        <v/>
      </c>
    </row>
    <row r="1835">
      <c r="A1835" s="8" t="inlineStr">
        <is>
          <t>2023-06-01</t>
        </is>
      </c>
      <c r="B1835" s="6" t="n">
        <v>3.75</v>
      </c>
      <c r="C1835" s="8">
        <f>-PV(B1835/100,$B$3,B1834/100,1)</f>
        <v/>
      </c>
      <c r="D1835" s="8">
        <f>B1834/100/12+(C1835-1)</f>
        <v/>
      </c>
      <c r="E1835" s="8">
        <f>E1834*(1+D1835)</f>
        <v/>
      </c>
    </row>
    <row r="1836">
      <c r="A1836" s="8" t="inlineStr">
        <is>
          <t>2023-07-01</t>
        </is>
      </c>
      <c r="B1836" s="6" t="n">
        <v>3.9</v>
      </c>
      <c r="C1836" s="8">
        <f>-PV(B1836/100,$B$3,B1835/100,1)</f>
        <v/>
      </c>
      <c r="D1836" s="8">
        <f>B1835/100/12+(C1836-1)</f>
        <v/>
      </c>
      <c r="E1836" s="8">
        <f>E1835*(1+D1836)</f>
        <v/>
      </c>
    </row>
    <row r="1837">
      <c r="A1837" s="8" t="inlineStr">
        <is>
          <t>2023-08-01</t>
        </is>
      </c>
      <c r="B1837" s="6" t="n">
        <v>4.17</v>
      </c>
      <c r="C1837" s="8">
        <f>-PV(B1837/100,$B$3,B1836/100,1)</f>
        <v/>
      </c>
      <c r="D1837" s="8">
        <f>B1836/100/12+(C1837-1)</f>
        <v/>
      </c>
      <c r="E1837" s="8">
        <f>E1836*(1+D1837)</f>
        <v/>
      </c>
    </row>
    <row r="1838">
      <c r="A1838" s="8" t="inlineStr">
        <is>
          <t>2023-09-01</t>
        </is>
      </c>
      <c r="B1838" s="6" t="n">
        <v>4.38</v>
      </c>
      <c r="C1838" s="8">
        <f>-PV(B1838/100,$B$3,B1837/100,1)</f>
        <v/>
      </c>
      <c r="D1838" s="8">
        <f>B1837/100/12+(C1838-1)</f>
        <v/>
      </c>
      <c r="E1838" s="8">
        <f>E1837*(1+D1838)</f>
        <v/>
      </c>
    </row>
    <row r="1839">
      <c r="A1839" s="8" t="inlineStr">
        <is>
          <t>2023-10-01</t>
        </is>
      </c>
      <c r="B1839" s="6" t="n">
        <v>4.8</v>
      </c>
      <c r="C1839" s="8">
        <f>-PV(B1839/100,$B$3,B1838/100,1)</f>
        <v/>
      </c>
      <c r="D1839" s="8">
        <f>B1838/100/12+(C1839-1)</f>
        <v/>
      </c>
      <c r="E1839" s="8">
        <f>E1838*(1+D1839)</f>
        <v/>
      </c>
    </row>
    <row r="1840">
      <c r="A1840" s="8" t="inlineStr">
        <is>
          <t>2023-11-01</t>
        </is>
      </c>
      <c r="B1840" s="6" t="n">
        <v>4.5</v>
      </c>
      <c r="C1840" s="8">
        <f>-PV(B1840/100,$B$3,B1839/100,1)</f>
        <v/>
      </c>
      <c r="D1840" s="8">
        <f>B1839/100/12+(C1840-1)</f>
        <v/>
      </c>
      <c r="E1840" s="8">
        <f>E1839*(1+D1840)</f>
        <v/>
      </c>
    </row>
    <row r="1841">
      <c r="A1841" s="8" t="inlineStr">
        <is>
          <t>2023-12-01</t>
        </is>
      </c>
      <c r="B1841" s="6" t="n">
        <v>4.02</v>
      </c>
      <c r="C1841" s="8">
        <f>-PV(B1841/100,$B$3,B1840/100,1)</f>
        <v/>
      </c>
      <c r="D1841" s="8">
        <f>B1840/100/12+(C1841-1)</f>
        <v/>
      </c>
      <c r="E1841" s="8">
        <f>E1840*(1+D1841)</f>
        <v/>
      </c>
    </row>
    <row r="1842">
      <c r="A1842" s="8" t="inlineStr">
        <is>
          <t>2024-01-01</t>
        </is>
      </c>
      <c r="B1842" s="6" t="n">
        <v>4.06</v>
      </c>
      <c r="C1842" s="8">
        <f>-PV(B1842/100,$B$3,B1841/100,1)</f>
        <v/>
      </c>
      <c r="D1842" s="8">
        <f>B1841/100/12+(C1842-1)</f>
        <v/>
      </c>
      <c r="E1842" s="8">
        <f>E1841*(1+D1842)</f>
        <v/>
      </c>
    </row>
    <row r="1843">
      <c r="A1843" s="8" t="inlineStr">
        <is>
          <t>2024-02-01</t>
        </is>
      </c>
      <c r="B1843" s="6" t="n">
        <v>4.21</v>
      </c>
      <c r="C1843" s="8">
        <f>-PV(B1843/100,$B$3,B1842/100,1)</f>
        <v/>
      </c>
      <c r="D1843" s="8">
        <f>B1842/100/12+(C1843-1)</f>
        <v/>
      </c>
      <c r="E1843" s="8">
        <f>E1842*(1+D1843)</f>
        <v/>
      </c>
    </row>
    <row r="1844">
      <c r="A1844" s="8" t="inlineStr">
        <is>
          <t>2024-03-01</t>
        </is>
      </c>
      <c r="B1844" s="6" t="n">
        <v>4.21</v>
      </c>
      <c r="C1844" s="8">
        <f>-PV(B1844/100,$B$3,B1843/100,1)</f>
        <v/>
      </c>
      <c r="D1844" s="8">
        <f>B1843/100/12+(C1844-1)</f>
        <v/>
      </c>
      <c r="E1844" s="8">
        <f>E1843*(1+D1844)</f>
        <v/>
      </c>
    </row>
    <row r="1845">
      <c r="A1845" s="8" t="inlineStr">
        <is>
          <t>2024-04-01</t>
        </is>
      </c>
      <c r="B1845" s="6" t="n">
        <v>4.54</v>
      </c>
      <c r="C1845" s="8">
        <f>-PV(B1845/100,$B$3,B1844/100,1)</f>
        <v/>
      </c>
      <c r="D1845" s="8">
        <f>B1844/100/12+(C1845-1)</f>
        <v/>
      </c>
      <c r="E1845" s="8">
        <f>E1844*(1+D1845)</f>
        <v/>
      </c>
    </row>
    <row r="1846">
      <c r="A1846" s="8" t="inlineStr">
        <is>
          <t>2024-05-01</t>
        </is>
      </c>
      <c r="B1846" s="6" t="n">
        <v>4.48</v>
      </c>
      <c r="C1846" s="8">
        <f>-PV(B1846/100,$B$3,B1845/100,1)</f>
        <v/>
      </c>
      <c r="D1846" s="8">
        <f>B1845/100/12+(C1846-1)</f>
        <v/>
      </c>
      <c r="E1846" s="8">
        <f>E1845*(1+D1846)</f>
        <v/>
      </c>
    </row>
    <row r="1847">
      <c r="A1847" s="8" t="inlineStr">
        <is>
          <t>2024-06-01</t>
        </is>
      </c>
      <c r="B1847" s="6" t="n">
        <v>4.31</v>
      </c>
      <c r="C1847" s="8">
        <f>-PV(B1847/100,$B$3,B1846/100,1)</f>
        <v/>
      </c>
      <c r="D1847" s="8">
        <f>B1846/100/12+(C1847-1)</f>
        <v/>
      </c>
      <c r="E1847" s="8">
        <f>E1846*(1+D1847)</f>
        <v/>
      </c>
    </row>
    <row r="1848">
      <c r="A1848" s="8" t="inlineStr">
        <is>
          <t>2024-07-01</t>
        </is>
      </c>
      <c r="B1848" s="6" t="n">
        <v>4.25</v>
      </c>
      <c r="C1848" s="8">
        <f>-PV(B1848/100,$B$3,B1847/100,1)</f>
        <v/>
      </c>
      <c r="D1848" s="8">
        <f>B1847/100/12+(C1848-1)</f>
        <v/>
      </c>
      <c r="E1848" s="8">
        <f>E1847*(1+D1848)</f>
        <v/>
      </c>
    </row>
    <row r="1849">
      <c r="A1849" s="8" t="inlineStr">
        <is>
          <t>2024-08-01</t>
        </is>
      </c>
      <c r="B1849" s="6" t="n">
        <v>3.87</v>
      </c>
      <c r="C1849" s="8">
        <f>-PV(B1849/100,$B$3,B1848/100,1)</f>
        <v/>
      </c>
      <c r="D1849" s="8">
        <f>B1848/100/12+(C1849-1)</f>
        <v/>
      </c>
      <c r="E1849" s="8">
        <f>E1848*(1+D1849)</f>
        <v/>
      </c>
    </row>
    <row r="1850">
      <c r="A1850" s="8" t="inlineStr">
        <is>
          <t>2024-09-01</t>
        </is>
      </c>
      <c r="B1850" s="6" t="n">
        <v>3.84</v>
      </c>
      <c r="C1850" s="8">
        <f>-PV(B1850/100,$B$3,B1849/100,1)</f>
        <v/>
      </c>
      <c r="D1850" s="8">
        <f>B1849/100/12+(C1850-1)</f>
        <v/>
      </c>
      <c r="E1850" s="8">
        <f>E1849*(1+D1850)</f>
        <v/>
      </c>
    </row>
    <row r="1851">
      <c r="A1851" s="8" t="inlineStr">
        <is>
          <t>2024-10-01</t>
        </is>
      </c>
      <c r="B1851" s="6" t="n">
        <v>4.1</v>
      </c>
      <c r="C1851" s="8">
        <f>-PV(B1851/100,$B$3,B1850/100,1)</f>
        <v/>
      </c>
      <c r="D1851" s="8">
        <f>B1850/100/12+(C1851-1)</f>
        <v/>
      </c>
      <c r="E1851" s="8">
        <f>E1850*(1+D1851)</f>
        <v/>
      </c>
    </row>
    <row r="1852">
      <c r="A1852" s="8" t="inlineStr">
        <is>
          <t>2024-11-01</t>
        </is>
      </c>
      <c r="B1852" s="6" t="n">
        <v>4.36</v>
      </c>
      <c r="C1852" s="8">
        <f>-PV(B1852/100,$B$3,B1851/100,1)</f>
        <v/>
      </c>
      <c r="D1852" s="8">
        <f>B1851/100/12+(C1852-1)</f>
        <v/>
      </c>
      <c r="E1852" s="8">
        <f>E1851*(1+D1852)</f>
        <v/>
      </c>
    </row>
    <row r="1853">
      <c r="A1853" s="8" t="inlineStr">
        <is>
          <t>2024-12-01</t>
        </is>
      </c>
      <c r="B1853" s="6" t="n">
        <v>4.39</v>
      </c>
      <c r="C1853" s="8">
        <f>-PV(B1853/100,$B$3,B1852/100,1)</f>
        <v/>
      </c>
      <c r="D1853" s="8">
        <f>B1852/100/12+(C1853-1)</f>
        <v/>
      </c>
      <c r="E1853" s="8">
        <f>E1852*(1+D1853)</f>
        <v/>
      </c>
    </row>
    <row r="1854">
      <c r="A1854" s="8" t="inlineStr">
        <is>
          <t>2025-01-01</t>
        </is>
      </c>
      <c r="B1854" s="6" t="n">
        <v>4.63</v>
      </c>
      <c r="C1854" s="8">
        <f>-PV(B1854/100,$B$3,B1853/100,1)</f>
        <v/>
      </c>
      <c r="D1854" s="8">
        <f>B1853/100/12+(C1854-1)</f>
        <v/>
      </c>
      <c r="E1854" s="8">
        <f>E1853*(1+D1854)</f>
        <v/>
      </c>
    </row>
    <row r="1855">
      <c r="A1855" s="8" t="inlineStr">
        <is>
          <t>2025-02-01</t>
        </is>
      </c>
      <c r="B1855" s="6" t="n">
        <v>4.45</v>
      </c>
      <c r="C1855" s="8">
        <f>-PV(B1855/100,$B$3,B1854/100,1)</f>
        <v/>
      </c>
      <c r="D1855" s="8">
        <f>B1854/100/12+(C1855-1)</f>
        <v/>
      </c>
      <c r="E1855" s="8">
        <f>E1854*(1+D1855)</f>
        <v/>
      </c>
    </row>
    <row r="1856">
      <c r="A1856" s="8" t="inlineStr">
        <is>
          <t>2025-03-01</t>
        </is>
      </c>
      <c r="B1856" s="6" t="n">
        <v>4.28</v>
      </c>
      <c r="C1856" s="8">
        <f>-PV(B1856/100,$B$3,B1855/100,1)</f>
        <v/>
      </c>
      <c r="D1856" s="8">
        <f>B1855/100/12+(C1856-1)</f>
        <v/>
      </c>
      <c r="E1856" s="8">
        <f>E1855*(1+D1856)</f>
        <v/>
      </c>
    </row>
    <row r="1857">
      <c r="A1857" s="8" t="inlineStr">
        <is>
          <t>2025-04-01</t>
        </is>
      </c>
      <c r="B1857" s="6" t="n">
        <v>4.28</v>
      </c>
      <c r="C1857" s="8">
        <f>-PV(B1857/100,$B$3,B1856/100,1)</f>
        <v/>
      </c>
      <c r="D1857" s="8">
        <f>B1856/100/12+(C1857-1)</f>
        <v/>
      </c>
      <c r="E1857" s="8">
        <f>E1856*(1+D1857)</f>
        <v/>
      </c>
    </row>
    <row r="1858">
      <c r="A1858" s="8" t="inlineStr">
        <is>
          <t>2025-05-01</t>
        </is>
      </c>
      <c r="B1858" s="6" t="n">
        <v>4.42</v>
      </c>
      <c r="C1858" s="8">
        <f>-PV(B1858/100,$B$3,B1857/100,1)</f>
        <v/>
      </c>
      <c r="D1858" s="8">
        <f>B1857/100/12+(C1858-1)</f>
        <v/>
      </c>
      <c r="E1858" s="8">
        <f>E1857*(1+D1858)</f>
        <v/>
      </c>
    </row>
    <row r="1859">
      <c r="A1859" s="8" t="inlineStr">
        <is>
          <t>2025-06-01</t>
        </is>
      </c>
      <c r="B1859" s="6" t="n">
        <v>4.38</v>
      </c>
      <c r="C1859" s="8">
        <f>-PV(B1859/100,$B$3,B1858/100,1)</f>
        <v/>
      </c>
      <c r="D1859" s="8">
        <f>B1858/100/12+(C1859-1)</f>
        <v/>
      </c>
      <c r="E1859" s="8">
        <f>E1858*(1+D1859)</f>
        <v/>
      </c>
    </row>
    <row r="1860">
      <c r="A1860" s="8" t="inlineStr">
        <is>
          <t>2025-07-01</t>
        </is>
      </c>
      <c r="B1860" s="6" t="n">
        <v>4.39</v>
      </c>
      <c r="C1860" s="8">
        <f>-PV(B1860/100,$B$3,B1859/100,1)</f>
        <v/>
      </c>
      <c r="D1860" s="8">
        <f>B1859/100/12+(C1860-1)</f>
        <v/>
      </c>
      <c r="E1860" s="8">
        <f>E1859*(1+D1860)</f>
        <v/>
      </c>
    </row>
    <row r="1861">
      <c r="A1861" s="8" t="inlineStr">
        <is>
          <t>2025-08-01</t>
        </is>
      </c>
      <c r="B1861" s="6" t="n">
        <v>4.26</v>
      </c>
      <c r="C1861" s="8">
        <f>-PV(B1861/100,$B$3,B1860/100,1)</f>
        <v/>
      </c>
      <c r="D1861" s="8">
        <f>B1860/100/12+(C1861-1)</f>
        <v/>
      </c>
      <c r="E1861" s="8">
        <f>E1860*(1+D1861)</f>
        <v/>
      </c>
    </row>
    <row r="1862">
      <c r="A1862" s="8" t="inlineStr">
        <is>
          <t>2025-09-01</t>
        </is>
      </c>
      <c r="B1862" s="6" t="n">
        <v>4.12</v>
      </c>
      <c r="C1862" s="8">
        <f>-PV(B1862/100,$B$3,B1861/100,1)</f>
        <v/>
      </c>
      <c r="D1862" s="8">
        <f>B1861/100/12+(C1862-1)</f>
        <v/>
      </c>
      <c r="E1862" s="8">
        <f>E1861*(1+D1862)</f>
        <v/>
      </c>
    </row>
    <row r="1863">
      <c r="A1863" s="8" t="inlineStr">
        <is>
          <t>2025-10-01</t>
        </is>
      </c>
      <c r="B1863" s="6" t="n">
        <v>4.06</v>
      </c>
      <c r="C1863" s="8">
        <f>-PV(B1863/100,$B$3,B1862/100,1)</f>
        <v/>
      </c>
      <c r="D1863" s="8">
        <f>B1862/100/12+(C1863-1)</f>
        <v/>
      </c>
      <c r="E1863" s="8">
        <f>E1862*(1+D1863)</f>
        <v/>
      </c>
    </row>
    <row r="1864">
      <c r="A1864" s="8" t="inlineStr">
        <is>
          <t>2025-11-01</t>
        </is>
      </c>
      <c r="B1864" s="6" t="n">
        <v>4.09</v>
      </c>
      <c r="C1864" s="8">
        <f>-PV(B1864/100,$B$3,B1863/100,1)</f>
        <v/>
      </c>
      <c r="D1864" s="8">
        <f>B1863/100/12+(C1864-1)</f>
        <v/>
      </c>
      <c r="E1864" s="8">
        <f>E1863*(1+D1864)</f>
        <v/>
      </c>
    </row>
    <row r="1865">
      <c r="A1865" s="8" t="inlineStr">
        <is>
          <t>2025-12-01</t>
        </is>
      </c>
      <c r="B1865" s="6" t="n">
        <v>4.14</v>
      </c>
      <c r="C1865" s="8">
        <f>-PV(B1865/100,$B$3,B1864/100,1)</f>
        <v/>
      </c>
      <c r="D1865" s="8">
        <f>B1864/100/12+(C1865-1)</f>
        <v/>
      </c>
      <c r="E1865" s="8">
        <f>E1864*(1+D1865)</f>
        <v/>
      </c>
    </row>
    <row r="1866">
      <c r="A1866" s="8" t="inlineStr">
        <is>
          <t>2026-01-01</t>
        </is>
      </c>
      <c r="B1866" s="6" t="n">
        <v>4.21</v>
      </c>
      <c r="C1866" s="8">
        <f>-PV(B1866/100,$B$3,B1865/100,1)</f>
        <v/>
      </c>
      <c r="D1866" s="8">
        <f>B1865/100/12+(C1866-1)</f>
        <v/>
      </c>
      <c r="E1866" s="8">
        <f>E1865*(1+D1866)</f>
        <v/>
      </c>
    </row>
    <row r="1867">
      <c r="A1867" s="8" t="inlineStr">
        <is>
          <t>2026-02-01</t>
        </is>
      </c>
      <c r="B1867" s="6" t="n">
        <v>4.13</v>
      </c>
      <c r="C1867" s="8">
        <f>-PV(B1867/100,$B$3,B1866/100,1)</f>
        <v/>
      </c>
      <c r="D1867" s="8">
        <f>B1866/100/12+(C1867-1)</f>
        <v/>
      </c>
      <c r="E1867" s="8">
        <f>E1866*(1+D1867)</f>
        <v/>
      </c>
    </row>
    <row r="1868">
      <c r="A1868" s="8" t="inlineStr">
        <is>
          <t>2026-03-01</t>
        </is>
      </c>
      <c r="B1868" s="6" t="n">
        <v>4.25</v>
      </c>
      <c r="C1868" s="8">
        <f>-PV(B1868/100,$B$3,B1867/100,1)</f>
        <v/>
      </c>
      <c r="D1868" s="8">
        <f>B1867/100/12+(C1868-1)</f>
        <v/>
      </c>
      <c r="E1868" s="8">
        <f>E1867*(1+D1868)</f>
        <v/>
      </c>
    </row>
    <row r="1869">
      <c r="A1869" s="8" t="inlineStr">
        <is>
          <t>2026-04-01</t>
        </is>
      </c>
      <c r="B1869" s="6" t="n">
        <v>4.32</v>
      </c>
      <c r="C1869" s="8">
        <f>-PV(B1869/100,$B$3,B1868/100,1)</f>
        <v/>
      </c>
      <c r="D1869" s="8">
        <f>B1868/100/12+(C1869-1)</f>
        <v/>
      </c>
      <c r="E1869" s="8">
        <f>E1868*(1+D1869)</f>
        <v/>
      </c>
    </row>
    <row r="1870">
      <c r="A1870" s="8" t="inlineStr">
        <is>
          <t>2026-05-01</t>
        </is>
      </c>
      <c r="B1870" s="6" t="n">
        <v>4.48</v>
      </c>
      <c r="C1870" s="8">
        <f>-PV(B1870/100,$B$3,B1869/100,1)</f>
        <v/>
      </c>
      <c r="D1870" s="8">
        <f>B1869/100/12+(C1870-1)</f>
        <v/>
      </c>
      <c r="E1870" s="8">
        <f>E1869*(1+D1870)</f>
        <v/>
      </c>
    </row>
  </sheetData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9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US IG corporate — total-return index, compounded monthly from the rate leg</t>
        </is>
      </c>
    </row>
    <row r="2">
      <c r="A2" s="2" t="inlineStr">
        <is>
          <t>Constant-maturity ~20y par-bond total return from Moody's Baa corporate yield (FRED BAA, 1919+).</t>
        </is>
      </c>
    </row>
    <row r="3">
      <c r="A3" t="inlineStr">
        <is>
          <t>maturity (yrs) =</t>
        </is>
      </c>
      <c r="B3" s="6" t="n">
        <v>20</v>
      </c>
      <c r="D3" s="5" t="inlineStr">
        <is>
          <t>FRED Moody's Baa corporate yield (BAA)</t>
        </is>
      </c>
    </row>
    <row r="5">
      <c r="A5" s="7" t="inlineStr">
        <is>
          <t>Date</t>
        </is>
      </c>
      <c r="B5" s="7" t="inlineStr">
        <is>
          <t>20y yield % (raw)</t>
        </is>
      </c>
      <c r="C5" s="7" t="inlineStr">
        <is>
          <t>Par price (PV formula)</t>
        </is>
      </c>
      <c r="D5" s="7" t="inlineStr">
        <is>
          <t>Monthly TR (formula)</t>
        </is>
      </c>
      <c r="E5" s="7" t="inlineStr">
        <is>
          <t>TR index (formula)</t>
        </is>
      </c>
    </row>
    <row r="6">
      <c r="A6" s="8" t="inlineStr">
        <is>
          <t>1919-01-01</t>
        </is>
      </c>
      <c r="B6" s="6" t="n">
        <v>7.12</v>
      </c>
      <c r="C6" s="8" t="n">
        <v>1</v>
      </c>
      <c r="D6" s="8" t="n">
        <v>0</v>
      </c>
      <c r="E6" s="8" t="n">
        <v>1</v>
      </c>
    </row>
    <row r="7">
      <c r="A7" s="8" t="inlineStr">
        <is>
          <t>1919-02-01</t>
        </is>
      </c>
      <c r="B7" s="6" t="n">
        <v>7.2</v>
      </c>
      <c r="C7" s="8">
        <f>-PV(B7/100,$B$3,B6/100,1)</f>
        <v/>
      </c>
      <c r="D7" s="8">
        <f>B6/100/12+(C7-1)</f>
        <v/>
      </c>
      <c r="E7" s="8">
        <f>E6*(1+D7)</f>
        <v/>
      </c>
    </row>
    <row r="8">
      <c r="A8" s="8" t="inlineStr">
        <is>
          <t>1919-03-01</t>
        </is>
      </c>
      <c r="B8" s="6" t="n">
        <v>7.15</v>
      </c>
      <c r="C8" s="8">
        <f>-PV(B8/100,$B$3,B7/100,1)</f>
        <v/>
      </c>
      <c r="D8" s="8">
        <f>B7/100/12+(C8-1)</f>
        <v/>
      </c>
      <c r="E8" s="8">
        <f>E7*(1+D8)</f>
        <v/>
      </c>
    </row>
    <row r="9">
      <c r="A9" s="8" t="inlineStr">
        <is>
          <t>1919-04-01</t>
        </is>
      </c>
      <c r="B9" s="6" t="n">
        <v>7.23</v>
      </c>
      <c r="C9" s="8">
        <f>-PV(B9/100,$B$3,B8/100,1)</f>
        <v/>
      </c>
      <c r="D9" s="8">
        <f>B8/100/12+(C9-1)</f>
        <v/>
      </c>
      <c r="E9" s="8">
        <f>E8*(1+D9)</f>
        <v/>
      </c>
    </row>
    <row r="10">
      <c r="A10" s="8" t="inlineStr">
        <is>
          <t>1919-05-01</t>
        </is>
      </c>
      <c r="B10" s="6" t="n">
        <v>7.09</v>
      </c>
      <c r="C10" s="8">
        <f>-PV(B10/100,$B$3,B9/100,1)</f>
        <v/>
      </c>
      <c r="D10" s="8">
        <f>B9/100/12+(C10-1)</f>
        <v/>
      </c>
      <c r="E10" s="8">
        <f>E9*(1+D10)</f>
        <v/>
      </c>
    </row>
    <row r="11">
      <c r="A11" s="8" t="inlineStr">
        <is>
          <t>1919-06-01</t>
        </is>
      </c>
      <c r="B11" s="6" t="n">
        <v>7.04</v>
      </c>
      <c r="C11" s="8">
        <f>-PV(B11/100,$B$3,B10/100,1)</f>
        <v/>
      </c>
      <c r="D11" s="8">
        <f>B10/100/12+(C11-1)</f>
        <v/>
      </c>
      <c r="E11" s="8">
        <f>E10*(1+D11)</f>
        <v/>
      </c>
    </row>
    <row r="12">
      <c r="A12" s="8" t="inlineStr">
        <is>
          <t>1919-07-01</t>
        </is>
      </c>
      <c r="B12" s="6" t="n">
        <v>7.06</v>
      </c>
      <c r="C12" s="8">
        <f>-PV(B12/100,$B$3,B11/100,1)</f>
        <v/>
      </c>
      <c r="D12" s="8">
        <f>B11/100/12+(C12-1)</f>
        <v/>
      </c>
      <c r="E12" s="8">
        <f>E11*(1+D12)</f>
        <v/>
      </c>
    </row>
    <row r="13">
      <c r="A13" s="8" t="inlineStr">
        <is>
          <t>1919-08-01</t>
        </is>
      </c>
      <c r="B13" s="6" t="n">
        <v>7.13</v>
      </c>
      <c r="C13" s="8">
        <f>-PV(B13/100,$B$3,B12/100,1)</f>
        <v/>
      </c>
      <c r="D13" s="8">
        <f>B12/100/12+(C13-1)</f>
        <v/>
      </c>
      <c r="E13" s="8">
        <f>E12*(1+D13)</f>
        <v/>
      </c>
    </row>
    <row r="14">
      <c r="A14" s="8" t="inlineStr">
        <is>
          <t>1919-09-01</t>
        </is>
      </c>
      <c r="B14" s="6" t="n">
        <v>7.27</v>
      </c>
      <c r="C14" s="8">
        <f>-PV(B14/100,$B$3,B13/100,1)</f>
        <v/>
      </c>
      <c r="D14" s="8">
        <f>B13/100/12+(C14-1)</f>
        <v/>
      </c>
      <c r="E14" s="8">
        <f>E13*(1+D14)</f>
        <v/>
      </c>
    </row>
    <row r="15">
      <c r="A15" s="8" t="inlineStr">
        <is>
          <t>1919-10-01</t>
        </is>
      </c>
      <c r="B15" s="6" t="n">
        <v>7.34</v>
      </c>
      <c r="C15" s="8">
        <f>-PV(B15/100,$B$3,B14/100,1)</f>
        <v/>
      </c>
      <c r="D15" s="8">
        <f>B14/100/12+(C15-1)</f>
        <v/>
      </c>
      <c r="E15" s="8">
        <f>E14*(1+D15)</f>
        <v/>
      </c>
    </row>
    <row r="16">
      <c r="A16" s="8" t="inlineStr">
        <is>
          <t>1919-11-01</t>
        </is>
      </c>
      <c r="B16" s="6" t="n">
        <v>7.54</v>
      </c>
      <c r="C16" s="8">
        <f>-PV(B16/100,$B$3,B15/100,1)</f>
        <v/>
      </c>
      <c r="D16" s="8">
        <f>B15/100/12+(C16-1)</f>
        <v/>
      </c>
      <c r="E16" s="8">
        <f>E15*(1+D16)</f>
        <v/>
      </c>
    </row>
    <row r="17">
      <c r="A17" s="8" t="inlineStr">
        <is>
          <t>1919-12-01</t>
        </is>
      </c>
      <c r="B17" s="6" t="n">
        <v>7.77</v>
      </c>
      <c r="C17" s="8">
        <f>-PV(B17/100,$B$3,B16/100,1)</f>
        <v/>
      </c>
      <c r="D17" s="8">
        <f>B16/100/12+(C17-1)</f>
        <v/>
      </c>
      <c r="E17" s="8">
        <f>E16*(1+D17)</f>
        <v/>
      </c>
    </row>
    <row r="18">
      <c r="A18" s="8" t="inlineStr">
        <is>
          <t>1920-01-01</t>
        </is>
      </c>
      <c r="B18" s="6" t="n">
        <v>7.78</v>
      </c>
      <c r="C18" s="8">
        <f>-PV(B18/100,$B$3,B17/100,1)</f>
        <v/>
      </c>
      <c r="D18" s="8">
        <f>B17/100/12+(C18-1)</f>
        <v/>
      </c>
      <c r="E18" s="8">
        <f>E17*(1+D18)</f>
        <v/>
      </c>
    </row>
    <row r="19">
      <c r="A19" s="8" t="inlineStr">
        <is>
          <t>1920-02-01</t>
        </is>
      </c>
      <c r="B19" s="6" t="n">
        <v>7.94</v>
      </c>
      <c r="C19" s="8">
        <f>-PV(B19/100,$B$3,B18/100,1)</f>
        <v/>
      </c>
      <c r="D19" s="8">
        <f>B18/100/12+(C19-1)</f>
        <v/>
      </c>
      <c r="E19" s="8">
        <f>E18*(1+D19)</f>
        <v/>
      </c>
    </row>
    <row r="20">
      <c r="A20" s="8" t="inlineStr">
        <is>
          <t>1920-03-01</t>
        </is>
      </c>
      <c r="B20" s="6" t="n">
        <v>7.97</v>
      </c>
      <c r="C20" s="8">
        <f>-PV(B20/100,$B$3,B19/100,1)</f>
        <v/>
      </c>
      <c r="D20" s="8">
        <f>B19/100/12+(C20-1)</f>
        <v/>
      </c>
      <c r="E20" s="8">
        <f>E19*(1+D20)</f>
        <v/>
      </c>
    </row>
    <row r="21">
      <c r="A21" s="8" t="inlineStr">
        <is>
          <t>1920-04-01</t>
        </is>
      </c>
      <c r="B21" s="6" t="n">
        <v>8.17</v>
      </c>
      <c r="C21" s="8">
        <f>-PV(B21/100,$B$3,B20/100,1)</f>
        <v/>
      </c>
      <c r="D21" s="8">
        <f>B20/100/12+(C21-1)</f>
        <v/>
      </c>
      <c r="E21" s="8">
        <f>E20*(1+D21)</f>
        <v/>
      </c>
    </row>
    <row r="22">
      <c r="A22" s="8" t="inlineStr">
        <is>
          <t>1920-05-01</t>
        </is>
      </c>
      <c r="B22" s="6" t="n">
        <v>8.390000000000001</v>
      </c>
      <c r="C22" s="8">
        <f>-PV(B22/100,$B$3,B21/100,1)</f>
        <v/>
      </c>
      <c r="D22" s="8">
        <f>B21/100/12+(C22-1)</f>
        <v/>
      </c>
      <c r="E22" s="8">
        <f>E21*(1+D22)</f>
        <v/>
      </c>
    </row>
    <row r="23">
      <c r="A23" s="8" t="inlineStr">
        <is>
          <t>1920-06-01</t>
        </is>
      </c>
      <c r="B23" s="6" t="n">
        <v>8.390000000000001</v>
      </c>
      <c r="C23" s="8">
        <f>-PV(B23/100,$B$3,B22/100,1)</f>
        <v/>
      </c>
      <c r="D23" s="8">
        <f>B22/100/12+(C23-1)</f>
        <v/>
      </c>
      <c r="E23" s="8">
        <f>E22*(1+D23)</f>
        <v/>
      </c>
    </row>
    <row r="24">
      <c r="A24" s="8" t="inlineStr">
        <is>
          <t>1920-07-01</t>
        </is>
      </c>
      <c r="B24" s="6" t="n">
        <v>8.52</v>
      </c>
      <c r="C24" s="8">
        <f>-PV(B24/100,$B$3,B23/100,1)</f>
        <v/>
      </c>
      <c r="D24" s="8">
        <f>B23/100/12+(C24-1)</f>
        <v/>
      </c>
      <c r="E24" s="8">
        <f>E23*(1+D24)</f>
        <v/>
      </c>
    </row>
    <row r="25">
      <c r="A25" s="8" t="inlineStr">
        <is>
          <t>1920-08-01</t>
        </is>
      </c>
      <c r="B25" s="6" t="n">
        <v>8.390000000000001</v>
      </c>
      <c r="C25" s="8">
        <f>-PV(B25/100,$B$3,B24/100,1)</f>
        <v/>
      </c>
      <c r="D25" s="8">
        <f>B24/100/12+(C25-1)</f>
        <v/>
      </c>
      <c r="E25" s="8">
        <f>E24*(1+D25)</f>
        <v/>
      </c>
    </row>
    <row r="26">
      <c r="A26" s="8" t="inlineStr">
        <is>
          <t>1920-09-01</t>
        </is>
      </c>
      <c r="B26" s="6" t="n">
        <v>8.140000000000001</v>
      </c>
      <c r="C26" s="8">
        <f>-PV(B26/100,$B$3,B25/100,1)</f>
        <v/>
      </c>
      <c r="D26" s="8">
        <f>B25/100/12+(C26-1)</f>
        <v/>
      </c>
      <c r="E26" s="8">
        <f>E25*(1+D26)</f>
        <v/>
      </c>
    </row>
    <row r="27">
      <c r="A27" s="8" t="inlineStr">
        <is>
          <t>1920-10-01</t>
        </is>
      </c>
      <c r="B27" s="6" t="n">
        <v>7.99</v>
      </c>
      <c r="C27" s="8">
        <f>-PV(B27/100,$B$3,B26/100,1)</f>
        <v/>
      </c>
      <c r="D27" s="8">
        <f>B26/100/12+(C27-1)</f>
        <v/>
      </c>
      <c r="E27" s="8">
        <f>E26*(1+D27)</f>
        <v/>
      </c>
    </row>
    <row r="28">
      <c r="A28" s="8" t="inlineStr">
        <is>
          <t>1920-11-01</t>
        </is>
      </c>
      <c r="B28" s="6" t="n">
        <v>8.210000000000001</v>
      </c>
      <c r="C28" s="8">
        <f>-PV(B28/100,$B$3,B27/100,1)</f>
        <v/>
      </c>
      <c r="D28" s="8">
        <f>B27/100/12+(C28-1)</f>
        <v/>
      </c>
      <c r="E28" s="8">
        <f>E27*(1+D28)</f>
        <v/>
      </c>
    </row>
    <row r="29">
      <c r="A29" s="8" t="inlineStr">
        <is>
          <t>1920-12-01</t>
        </is>
      </c>
      <c r="B29" s="6" t="n">
        <v>8.56</v>
      </c>
      <c r="C29" s="8">
        <f>-PV(B29/100,$B$3,B28/100,1)</f>
        <v/>
      </c>
      <c r="D29" s="8">
        <f>B28/100/12+(C29-1)</f>
        <v/>
      </c>
      <c r="E29" s="8">
        <f>E28*(1+D29)</f>
        <v/>
      </c>
    </row>
    <row r="30">
      <c r="A30" s="8" t="inlineStr">
        <is>
          <t>1921-01-01</t>
        </is>
      </c>
      <c r="B30" s="6" t="n">
        <v>8.5</v>
      </c>
      <c r="C30" s="8">
        <f>-PV(B30/100,$B$3,B29/100,1)</f>
        <v/>
      </c>
      <c r="D30" s="8">
        <f>B29/100/12+(C30-1)</f>
        <v/>
      </c>
      <c r="E30" s="8">
        <f>E29*(1+D30)</f>
        <v/>
      </c>
    </row>
    <row r="31">
      <c r="A31" s="8" t="inlineStr">
        <is>
          <t>1921-02-01</t>
        </is>
      </c>
      <c r="B31" s="6" t="n">
        <v>8.42</v>
      </c>
      <c r="C31" s="8">
        <f>-PV(B31/100,$B$3,B30/100,1)</f>
        <v/>
      </c>
      <c r="D31" s="8">
        <f>B30/100/12+(C31-1)</f>
        <v/>
      </c>
      <c r="E31" s="8">
        <f>E30*(1+D31)</f>
        <v/>
      </c>
    </row>
    <row r="32">
      <c r="A32" s="8" t="inlineStr">
        <is>
          <t>1921-03-01</t>
        </is>
      </c>
      <c r="B32" s="6" t="n">
        <v>8.550000000000001</v>
      </c>
      <c r="C32" s="8">
        <f>-PV(B32/100,$B$3,B31/100,1)</f>
        <v/>
      </c>
      <c r="D32" s="8">
        <f>B31/100/12+(C32-1)</f>
        <v/>
      </c>
      <c r="E32" s="8">
        <f>E31*(1+D32)</f>
        <v/>
      </c>
    </row>
    <row r="33">
      <c r="A33" s="8" t="inlineStr">
        <is>
          <t>1921-04-01</t>
        </is>
      </c>
      <c r="B33" s="6" t="n">
        <v>8.529999999999999</v>
      </c>
      <c r="C33" s="8">
        <f>-PV(B33/100,$B$3,B32/100,1)</f>
        <v/>
      </c>
      <c r="D33" s="8">
        <f>B32/100/12+(C33-1)</f>
        <v/>
      </c>
      <c r="E33" s="8">
        <f>E32*(1+D33)</f>
        <v/>
      </c>
    </row>
    <row r="34">
      <c r="A34" s="8" t="inlineStr">
        <is>
          <t>1921-05-01</t>
        </is>
      </c>
      <c r="B34" s="6" t="n">
        <v>8.52</v>
      </c>
      <c r="C34" s="8">
        <f>-PV(B34/100,$B$3,B33/100,1)</f>
        <v/>
      </c>
      <c r="D34" s="8">
        <f>B33/100/12+(C34-1)</f>
        <v/>
      </c>
      <c r="E34" s="8">
        <f>E33*(1+D34)</f>
        <v/>
      </c>
    </row>
    <row r="35">
      <c r="A35" s="8" t="inlineStr">
        <is>
          <t>1921-06-01</t>
        </is>
      </c>
      <c r="B35" s="6" t="n">
        <v>8.56</v>
      </c>
      <c r="C35" s="8">
        <f>-PV(B35/100,$B$3,B34/100,1)</f>
        <v/>
      </c>
      <c r="D35" s="8">
        <f>B34/100/12+(C35-1)</f>
        <v/>
      </c>
      <c r="E35" s="8">
        <f>E34*(1+D35)</f>
        <v/>
      </c>
    </row>
    <row r="36">
      <c r="A36" s="8" t="inlineStr">
        <is>
          <t>1921-07-01</t>
        </is>
      </c>
      <c r="B36" s="6" t="n">
        <v>8.48</v>
      </c>
      <c r="C36" s="8">
        <f>-PV(B36/100,$B$3,B35/100,1)</f>
        <v/>
      </c>
      <c r="D36" s="8">
        <f>B35/100/12+(C36-1)</f>
        <v/>
      </c>
      <c r="E36" s="8">
        <f>E35*(1+D36)</f>
        <v/>
      </c>
    </row>
    <row r="37">
      <c r="A37" s="8" t="inlineStr">
        <is>
          <t>1921-08-01</t>
        </is>
      </c>
      <c r="B37" s="6" t="n">
        <v>8.51</v>
      </c>
      <c r="C37" s="8">
        <f>-PV(B37/100,$B$3,B36/100,1)</f>
        <v/>
      </c>
      <c r="D37" s="8">
        <f>B36/100/12+(C37-1)</f>
        <v/>
      </c>
      <c r="E37" s="8">
        <f>E36*(1+D37)</f>
        <v/>
      </c>
    </row>
    <row r="38">
      <c r="A38" s="8" t="inlineStr">
        <is>
          <t>1921-09-01</t>
        </is>
      </c>
      <c r="B38" s="6" t="n">
        <v>8.34</v>
      </c>
      <c r="C38" s="8">
        <f>-PV(B38/100,$B$3,B37/100,1)</f>
        <v/>
      </c>
      <c r="D38" s="8">
        <f>B37/100/12+(C38-1)</f>
        <v/>
      </c>
      <c r="E38" s="8">
        <f>E37*(1+D38)</f>
        <v/>
      </c>
    </row>
    <row r="39">
      <c r="A39" s="8" t="inlineStr">
        <is>
          <t>1921-10-01</t>
        </is>
      </c>
      <c r="B39" s="6" t="n">
        <v>8.34</v>
      </c>
      <c r="C39" s="8">
        <f>-PV(B39/100,$B$3,B38/100,1)</f>
        <v/>
      </c>
      <c r="D39" s="8">
        <f>B38/100/12+(C39-1)</f>
        <v/>
      </c>
      <c r="E39" s="8">
        <f>E38*(1+D39)</f>
        <v/>
      </c>
    </row>
    <row r="40">
      <c r="A40" s="8" t="inlineStr">
        <is>
          <t>1921-11-01</t>
        </is>
      </c>
      <c r="B40" s="6" t="n">
        <v>7.88</v>
      </c>
      <c r="C40" s="8">
        <f>-PV(B40/100,$B$3,B39/100,1)</f>
        <v/>
      </c>
      <c r="D40" s="8">
        <f>B39/100/12+(C40-1)</f>
        <v/>
      </c>
      <c r="E40" s="8">
        <f>E39*(1+D40)</f>
        <v/>
      </c>
    </row>
    <row r="41">
      <c r="A41" s="8" t="inlineStr">
        <is>
          <t>1921-12-01</t>
        </is>
      </c>
      <c r="B41" s="6" t="n">
        <v>7.61</v>
      </c>
      <c r="C41" s="8">
        <f>-PV(B41/100,$B$3,B40/100,1)</f>
        <v/>
      </c>
      <c r="D41" s="8">
        <f>B40/100/12+(C41-1)</f>
        <v/>
      </c>
      <c r="E41" s="8">
        <f>E40*(1+D41)</f>
        <v/>
      </c>
    </row>
    <row r="42">
      <c r="A42" s="8" t="inlineStr">
        <is>
          <t>1922-01-01</t>
        </is>
      </c>
      <c r="B42" s="6" t="n">
        <v>7.7</v>
      </c>
      <c r="C42" s="8">
        <f>-PV(B42/100,$B$3,B41/100,1)</f>
        <v/>
      </c>
      <c r="D42" s="8">
        <f>B41/100/12+(C42-1)</f>
        <v/>
      </c>
      <c r="E42" s="8">
        <f>E41*(1+D42)</f>
        <v/>
      </c>
    </row>
    <row r="43">
      <c r="A43" s="8" t="inlineStr">
        <is>
          <t>1922-02-01</t>
        </is>
      </c>
      <c r="B43" s="6" t="n">
        <v>7.55</v>
      </c>
      <c r="C43" s="8">
        <f>-PV(B43/100,$B$3,B42/100,1)</f>
        <v/>
      </c>
      <c r="D43" s="8">
        <f>B42/100/12+(C43-1)</f>
        <v/>
      </c>
      <c r="E43" s="8">
        <f>E42*(1+D43)</f>
        <v/>
      </c>
    </row>
    <row r="44">
      <c r="A44" s="8" t="inlineStr">
        <is>
          <t>1922-03-01</t>
        </is>
      </c>
      <c r="B44" s="6" t="n">
        <v>7.45</v>
      </c>
      <c r="C44" s="8">
        <f>-PV(B44/100,$B$3,B43/100,1)</f>
        <v/>
      </c>
      <c r="D44" s="8">
        <f>B43/100/12+(C44-1)</f>
        <v/>
      </c>
      <c r="E44" s="8">
        <f>E43*(1+D44)</f>
        <v/>
      </c>
    </row>
    <row r="45">
      <c r="A45" s="8" t="inlineStr">
        <is>
          <t>1922-04-01</t>
        </is>
      </c>
      <c r="B45" s="6" t="n">
        <v>7.14</v>
      </c>
      <c r="C45" s="8">
        <f>-PV(B45/100,$B$3,B44/100,1)</f>
        <v/>
      </c>
      <c r="D45" s="8">
        <f>B44/100/12+(C45-1)</f>
        <v/>
      </c>
      <c r="E45" s="8">
        <f>E44*(1+D45)</f>
        <v/>
      </c>
    </row>
    <row r="46">
      <c r="A46" s="8" t="inlineStr">
        <is>
          <t>1922-05-01</t>
        </is>
      </c>
      <c r="B46" s="6" t="n">
        <v>6.89</v>
      </c>
      <c r="C46" s="8">
        <f>-PV(B46/100,$B$3,B45/100,1)</f>
        <v/>
      </c>
      <c r="D46" s="8">
        <f>B45/100/12+(C46-1)</f>
        <v/>
      </c>
      <c r="E46" s="8">
        <f>E45*(1+D46)</f>
        <v/>
      </c>
    </row>
    <row r="47">
      <c r="A47" s="8" t="inlineStr">
        <is>
          <t>1922-06-01</t>
        </is>
      </c>
      <c r="B47" s="6" t="n">
        <v>6.97</v>
      </c>
      <c r="C47" s="8">
        <f>-PV(B47/100,$B$3,B46/100,1)</f>
        <v/>
      </c>
      <c r="D47" s="8">
        <f>B46/100/12+(C47-1)</f>
        <v/>
      </c>
      <c r="E47" s="8">
        <f>E46*(1+D47)</f>
        <v/>
      </c>
    </row>
    <row r="48">
      <c r="A48" s="8" t="inlineStr">
        <is>
          <t>1922-07-01</t>
        </is>
      </c>
      <c r="B48" s="6" t="n">
        <v>6.89</v>
      </c>
      <c r="C48" s="8">
        <f>-PV(B48/100,$B$3,B47/100,1)</f>
        <v/>
      </c>
      <c r="D48" s="8">
        <f>B47/100/12+(C48-1)</f>
        <v/>
      </c>
      <c r="E48" s="8">
        <f>E47*(1+D48)</f>
        <v/>
      </c>
    </row>
    <row r="49">
      <c r="A49" s="8" t="inlineStr">
        <is>
          <t>1922-08-01</t>
        </is>
      </c>
      <c r="B49" s="6" t="n">
        <v>6.85</v>
      </c>
      <c r="C49" s="8">
        <f>-PV(B49/100,$B$3,B48/100,1)</f>
        <v/>
      </c>
      <c r="D49" s="8">
        <f>B48/100/12+(C49-1)</f>
        <v/>
      </c>
      <c r="E49" s="8">
        <f>E48*(1+D49)</f>
        <v/>
      </c>
    </row>
    <row r="50">
      <c r="A50" s="8" t="inlineStr">
        <is>
          <t>1922-09-01</t>
        </is>
      </c>
      <c r="B50" s="6" t="n">
        <v>6.75</v>
      </c>
      <c r="C50" s="8">
        <f>-PV(B50/100,$B$3,B49/100,1)</f>
        <v/>
      </c>
      <c r="D50" s="8">
        <f>B49/100/12+(C50-1)</f>
        <v/>
      </c>
      <c r="E50" s="8">
        <f>E49*(1+D50)</f>
        <v/>
      </c>
    </row>
    <row r="51">
      <c r="A51" s="8" t="inlineStr">
        <is>
          <t>1922-10-01</t>
        </is>
      </c>
      <c r="B51" s="6" t="n">
        <v>6.78</v>
      </c>
      <c r="C51" s="8">
        <f>-PV(B51/100,$B$3,B50/100,1)</f>
        <v/>
      </c>
      <c r="D51" s="8">
        <f>B50/100/12+(C51-1)</f>
        <v/>
      </c>
      <c r="E51" s="8">
        <f>E50*(1+D51)</f>
        <v/>
      </c>
    </row>
    <row r="52">
      <c r="A52" s="8" t="inlineStr">
        <is>
          <t>1922-11-01</t>
        </is>
      </c>
      <c r="B52" s="6" t="n">
        <v>6.98</v>
      </c>
      <c r="C52" s="8">
        <f>-PV(B52/100,$B$3,B51/100,1)</f>
        <v/>
      </c>
      <c r="D52" s="8">
        <f>B51/100/12+(C52-1)</f>
        <v/>
      </c>
      <c r="E52" s="8">
        <f>E51*(1+D52)</f>
        <v/>
      </c>
    </row>
    <row r="53">
      <c r="A53" s="8" t="inlineStr">
        <is>
          <t>1922-12-01</t>
        </is>
      </c>
      <c r="B53" s="6" t="n">
        <v>7.02</v>
      </c>
      <c r="C53" s="8">
        <f>-PV(B53/100,$B$3,B52/100,1)</f>
        <v/>
      </c>
      <c r="D53" s="8">
        <f>B52/100/12+(C53-1)</f>
        <v/>
      </c>
      <c r="E53" s="8">
        <f>E52*(1+D53)</f>
        <v/>
      </c>
    </row>
    <row r="54">
      <c r="A54" s="8" t="inlineStr">
        <is>
          <t>1923-01-01</t>
        </is>
      </c>
      <c r="B54" s="6" t="n">
        <v>6.98</v>
      </c>
      <c r="C54" s="8">
        <f>-PV(B54/100,$B$3,B53/100,1)</f>
        <v/>
      </c>
      <c r="D54" s="8">
        <f>B53/100/12+(C54-1)</f>
        <v/>
      </c>
      <c r="E54" s="8">
        <f>E53*(1+D54)</f>
        <v/>
      </c>
    </row>
    <row r="55">
      <c r="A55" s="8" t="inlineStr">
        <is>
          <t>1923-02-01</t>
        </is>
      </c>
      <c r="B55" s="6" t="n">
        <v>6.97</v>
      </c>
      <c r="C55" s="8">
        <f>-PV(B55/100,$B$3,B54/100,1)</f>
        <v/>
      </c>
      <c r="D55" s="8">
        <f>B54/100/12+(C55-1)</f>
        <v/>
      </c>
      <c r="E55" s="8">
        <f>E54*(1+D55)</f>
        <v/>
      </c>
    </row>
    <row r="56">
      <c r="A56" s="8" t="inlineStr">
        <is>
          <t>1923-03-01</t>
        </is>
      </c>
      <c r="B56" s="6" t="n">
        <v>7.09</v>
      </c>
      <c r="C56" s="8">
        <f>-PV(B56/100,$B$3,B55/100,1)</f>
        <v/>
      </c>
      <c r="D56" s="8">
        <f>B55/100/12+(C56-1)</f>
        <v/>
      </c>
      <c r="E56" s="8">
        <f>E55*(1+D56)</f>
        <v/>
      </c>
    </row>
    <row r="57">
      <c r="A57" s="8" t="inlineStr">
        <is>
          <t>1923-04-01</t>
        </is>
      </c>
      <c r="B57" s="6" t="n">
        <v>7.17</v>
      </c>
      <c r="C57" s="8">
        <f>-PV(B57/100,$B$3,B56/100,1)</f>
        <v/>
      </c>
      <c r="D57" s="8">
        <f>B56/100/12+(C57-1)</f>
        <v/>
      </c>
      <c r="E57" s="8">
        <f>E56*(1+D57)</f>
        <v/>
      </c>
    </row>
    <row r="58">
      <c r="A58" s="8" t="inlineStr">
        <is>
          <t>1923-05-01</t>
        </is>
      </c>
      <c r="B58" s="6" t="n">
        <v>7.17</v>
      </c>
      <c r="C58" s="8">
        <f>-PV(B58/100,$B$3,B57/100,1)</f>
        <v/>
      </c>
      <c r="D58" s="8">
        <f>B57/100/12+(C58-1)</f>
        <v/>
      </c>
      <c r="E58" s="8">
        <f>E57*(1+D58)</f>
        <v/>
      </c>
    </row>
    <row r="59">
      <c r="A59" s="8" t="inlineStr">
        <is>
          <t>1923-06-01</t>
        </is>
      </c>
      <c r="B59" s="6" t="n">
        <v>7.21</v>
      </c>
      <c r="C59" s="8">
        <f>-PV(B59/100,$B$3,B58/100,1)</f>
        <v/>
      </c>
      <c r="D59" s="8">
        <f>B58/100/12+(C59-1)</f>
        <v/>
      </c>
      <c r="E59" s="8">
        <f>E58*(1+D59)</f>
        <v/>
      </c>
    </row>
    <row r="60">
      <c r="A60" s="8" t="inlineStr">
        <is>
          <t>1923-07-01</t>
        </is>
      </c>
      <c r="B60" s="6" t="n">
        <v>7.34</v>
      </c>
      <c r="C60" s="8">
        <f>-PV(B60/100,$B$3,B59/100,1)</f>
        <v/>
      </c>
      <c r="D60" s="8">
        <f>B59/100/12+(C60-1)</f>
        <v/>
      </c>
      <c r="E60" s="8">
        <f>E59*(1+D60)</f>
        <v/>
      </c>
    </row>
    <row r="61">
      <c r="A61" s="8" t="inlineStr">
        <is>
          <t>1923-08-01</t>
        </is>
      </c>
      <c r="B61" s="6" t="n">
        <v>7.38</v>
      </c>
      <c r="C61" s="8">
        <f>-PV(B61/100,$B$3,B60/100,1)</f>
        <v/>
      </c>
      <c r="D61" s="8">
        <f>B60/100/12+(C61-1)</f>
        <v/>
      </c>
      <c r="E61" s="8">
        <f>E60*(1+D61)</f>
        <v/>
      </c>
    </row>
    <row r="62">
      <c r="A62" s="8" t="inlineStr">
        <is>
          <t>1923-09-01</t>
        </is>
      </c>
      <c r="B62" s="6" t="n">
        <v>7.38</v>
      </c>
      <c r="C62" s="8">
        <f>-PV(B62/100,$B$3,B61/100,1)</f>
        <v/>
      </c>
      <c r="D62" s="8">
        <f>B61/100/12+(C62-1)</f>
        <v/>
      </c>
      <c r="E62" s="8">
        <f>E61*(1+D62)</f>
        <v/>
      </c>
    </row>
    <row r="63">
      <c r="A63" s="8" t="inlineStr">
        <is>
          <t>1923-10-01</t>
        </is>
      </c>
      <c r="B63" s="6" t="n">
        <v>7.46</v>
      </c>
      <c r="C63" s="8">
        <f>-PV(B63/100,$B$3,B62/100,1)</f>
        <v/>
      </c>
      <c r="D63" s="8">
        <f>B62/100/12+(C63-1)</f>
        <v/>
      </c>
      <c r="E63" s="8">
        <f>E62*(1+D63)</f>
        <v/>
      </c>
    </row>
    <row r="64">
      <c r="A64" s="8" t="inlineStr">
        <is>
          <t>1923-11-01</t>
        </is>
      </c>
      <c r="B64" s="6" t="n">
        <v>7.4</v>
      </c>
      <c r="C64" s="8">
        <f>-PV(B64/100,$B$3,B63/100,1)</f>
        <v/>
      </c>
      <c r="D64" s="8">
        <f>B63/100/12+(C64-1)</f>
        <v/>
      </c>
      <c r="E64" s="8">
        <f>E63*(1+D64)</f>
        <v/>
      </c>
    </row>
    <row r="65">
      <c r="A65" s="8" t="inlineStr">
        <is>
          <t>1923-12-01</t>
        </is>
      </c>
      <c r="B65" s="6" t="n">
        <v>7.38</v>
      </c>
      <c r="C65" s="8">
        <f>-PV(B65/100,$B$3,B64/100,1)</f>
        <v/>
      </c>
      <c r="D65" s="8">
        <f>B64/100/12+(C65-1)</f>
        <v/>
      </c>
      <c r="E65" s="8">
        <f>E64*(1+D65)</f>
        <v/>
      </c>
    </row>
    <row r="66">
      <c r="A66" s="8" t="inlineStr">
        <is>
          <t>1924-01-01</t>
        </is>
      </c>
      <c r="B66" s="6" t="n">
        <v>7.24</v>
      </c>
      <c r="C66" s="8">
        <f>-PV(B66/100,$B$3,B65/100,1)</f>
        <v/>
      </c>
      <c r="D66" s="8">
        <f>B65/100/12+(C66-1)</f>
        <v/>
      </c>
      <c r="E66" s="8">
        <f>E65*(1+D66)</f>
        <v/>
      </c>
    </row>
    <row r="67">
      <c r="A67" s="8" t="inlineStr">
        <is>
          <t>1924-02-01</t>
        </is>
      </c>
      <c r="B67" s="6" t="n">
        <v>7.14</v>
      </c>
      <c r="C67" s="8">
        <f>-PV(B67/100,$B$3,B66/100,1)</f>
        <v/>
      </c>
      <c r="D67" s="8">
        <f>B66/100/12+(C67-1)</f>
        <v/>
      </c>
      <c r="E67" s="8">
        <f>E66*(1+D67)</f>
        <v/>
      </c>
    </row>
    <row r="68">
      <c r="A68" s="8" t="inlineStr">
        <is>
          <t>1924-03-01</t>
        </is>
      </c>
      <c r="B68" s="6" t="n">
        <v>7.08</v>
      </c>
      <c r="C68" s="8">
        <f>-PV(B68/100,$B$3,B67/100,1)</f>
        <v/>
      </c>
      <c r="D68" s="8">
        <f>B67/100/12+(C68-1)</f>
        <v/>
      </c>
      <c r="E68" s="8">
        <f>E67*(1+D68)</f>
        <v/>
      </c>
    </row>
    <row r="69">
      <c r="A69" s="8" t="inlineStr">
        <is>
          <t>1924-04-01</t>
        </is>
      </c>
      <c r="B69" s="6" t="n">
        <v>7.03</v>
      </c>
      <c r="C69" s="8">
        <f>-PV(B69/100,$B$3,B68/100,1)</f>
        <v/>
      </c>
      <c r="D69" s="8">
        <f>B68/100/12+(C69-1)</f>
        <v/>
      </c>
      <c r="E69" s="8">
        <f>E68*(1+D69)</f>
        <v/>
      </c>
    </row>
    <row r="70">
      <c r="A70" s="8" t="inlineStr">
        <is>
          <t>1924-05-01</t>
        </is>
      </c>
      <c r="B70" s="6" t="n">
        <v>6.97</v>
      </c>
      <c r="C70" s="8">
        <f>-PV(B70/100,$B$3,B69/100,1)</f>
        <v/>
      </c>
      <c r="D70" s="8">
        <f>B69/100/12+(C70-1)</f>
        <v/>
      </c>
      <c r="E70" s="8">
        <f>E69*(1+D70)</f>
        <v/>
      </c>
    </row>
    <row r="71">
      <c r="A71" s="8" t="inlineStr">
        <is>
          <t>1924-06-01</t>
        </is>
      </c>
      <c r="B71" s="6" t="n">
        <v>6.82</v>
      </c>
      <c r="C71" s="8">
        <f>-PV(B71/100,$B$3,B70/100,1)</f>
        <v/>
      </c>
      <c r="D71" s="8">
        <f>B70/100/12+(C71-1)</f>
        <v/>
      </c>
      <c r="E71" s="8">
        <f>E70*(1+D71)</f>
        <v/>
      </c>
    </row>
    <row r="72">
      <c r="A72" s="8" t="inlineStr">
        <is>
          <t>1924-07-01</t>
        </is>
      </c>
      <c r="B72" s="6" t="n">
        <v>6.67</v>
      </c>
      <c r="C72" s="8">
        <f>-PV(B72/100,$B$3,B71/100,1)</f>
        <v/>
      </c>
      <c r="D72" s="8">
        <f>B71/100/12+(C72-1)</f>
        <v/>
      </c>
      <c r="E72" s="8">
        <f>E71*(1+D72)</f>
        <v/>
      </c>
    </row>
    <row r="73">
      <c r="A73" s="8" t="inlineStr">
        <is>
          <t>1924-08-01</t>
        </is>
      </c>
      <c r="B73" s="6" t="n">
        <v>6.69</v>
      </c>
      <c r="C73" s="8">
        <f>-PV(B73/100,$B$3,B72/100,1)</f>
        <v/>
      </c>
      <c r="D73" s="8">
        <f>B72/100/12+(C73-1)</f>
        <v/>
      </c>
      <c r="E73" s="8">
        <f>E72*(1+D73)</f>
        <v/>
      </c>
    </row>
    <row r="74">
      <c r="A74" s="8" t="inlineStr">
        <is>
          <t>1924-09-01</t>
        </is>
      </c>
      <c r="B74" s="6" t="n">
        <v>6.73</v>
      </c>
      <c r="C74" s="8">
        <f>-PV(B74/100,$B$3,B73/100,1)</f>
        <v/>
      </c>
      <c r="D74" s="8">
        <f>B73/100/12+(C74-1)</f>
        <v/>
      </c>
      <c r="E74" s="8">
        <f>E73*(1+D74)</f>
        <v/>
      </c>
    </row>
    <row r="75">
      <c r="A75" s="8" t="inlineStr">
        <is>
          <t>1924-10-01</t>
        </is>
      </c>
      <c r="B75" s="6" t="n">
        <v>6.62</v>
      </c>
      <c r="C75" s="8">
        <f>-PV(B75/100,$B$3,B74/100,1)</f>
        <v/>
      </c>
      <c r="D75" s="8">
        <f>B74/100/12+(C75-1)</f>
        <v/>
      </c>
      <c r="E75" s="8">
        <f>E74*(1+D75)</f>
        <v/>
      </c>
    </row>
    <row r="76">
      <c r="A76" s="8" t="inlineStr">
        <is>
          <t>1924-11-01</t>
        </is>
      </c>
      <c r="B76" s="6" t="n">
        <v>6.54</v>
      </c>
      <c r="C76" s="8">
        <f>-PV(B76/100,$B$3,B75/100,1)</f>
        <v/>
      </c>
      <c r="D76" s="8">
        <f>B75/100/12+(C76-1)</f>
        <v/>
      </c>
      <c r="E76" s="8">
        <f>E75*(1+D76)</f>
        <v/>
      </c>
    </row>
    <row r="77">
      <c r="A77" s="8" t="inlineStr">
        <is>
          <t>1924-12-01</t>
        </is>
      </c>
      <c r="B77" s="6" t="n">
        <v>6.46</v>
      </c>
      <c r="C77" s="8">
        <f>-PV(B77/100,$B$3,B76/100,1)</f>
        <v/>
      </c>
      <c r="D77" s="8">
        <f>B76/100/12+(C77-1)</f>
        <v/>
      </c>
      <c r="E77" s="8">
        <f>E76*(1+D77)</f>
        <v/>
      </c>
    </row>
    <row r="78">
      <c r="A78" s="8" t="inlineStr">
        <is>
          <t>1925-01-01</t>
        </is>
      </c>
      <c r="B78" s="6" t="n">
        <v>6.44</v>
      </c>
      <c r="C78" s="8">
        <f>-PV(B78/100,$B$3,B77/100,1)</f>
        <v/>
      </c>
      <c r="D78" s="8">
        <f>B77/100/12+(C78-1)</f>
        <v/>
      </c>
      <c r="E78" s="8">
        <f>E77*(1+D78)</f>
        <v/>
      </c>
    </row>
    <row r="79">
      <c r="A79" s="8" t="inlineStr">
        <is>
          <t>1925-02-01</t>
        </is>
      </c>
      <c r="B79" s="6" t="n">
        <v>6.36</v>
      </c>
      <c r="C79" s="8">
        <f>-PV(B79/100,$B$3,B78/100,1)</f>
        <v/>
      </c>
      <c r="D79" s="8">
        <f>B78/100/12+(C79-1)</f>
        <v/>
      </c>
      <c r="E79" s="8">
        <f>E78*(1+D79)</f>
        <v/>
      </c>
    </row>
    <row r="80">
      <c r="A80" s="8" t="inlineStr">
        <is>
          <t>1925-03-01</t>
        </is>
      </c>
      <c r="B80" s="6" t="n">
        <v>6.36</v>
      </c>
      <c r="C80" s="8">
        <f>-PV(B80/100,$B$3,B79/100,1)</f>
        <v/>
      </c>
      <c r="D80" s="8">
        <f>B79/100/12+(C80-1)</f>
        <v/>
      </c>
      <c r="E80" s="8">
        <f>E79*(1+D80)</f>
        <v/>
      </c>
    </row>
    <row r="81">
      <c r="A81" s="8" t="inlineStr">
        <is>
          <t>1925-04-01</t>
        </is>
      </c>
      <c r="B81" s="6" t="n">
        <v>6.41</v>
      </c>
      <c r="C81" s="8">
        <f>-PV(B81/100,$B$3,B80/100,1)</f>
        <v/>
      </c>
      <c r="D81" s="8">
        <f>B80/100/12+(C81-1)</f>
        <v/>
      </c>
      <c r="E81" s="8">
        <f>E80*(1+D81)</f>
        <v/>
      </c>
    </row>
    <row r="82">
      <c r="A82" s="8" t="inlineStr">
        <is>
          <t>1925-05-01</t>
        </is>
      </c>
      <c r="B82" s="6" t="n">
        <v>6.3</v>
      </c>
      <c r="C82" s="8">
        <f>-PV(B82/100,$B$3,B81/100,1)</f>
        <v/>
      </c>
      <c r="D82" s="8">
        <f>B81/100/12+(C82-1)</f>
        <v/>
      </c>
      <c r="E82" s="8">
        <f>E81*(1+D82)</f>
        <v/>
      </c>
    </row>
    <row r="83">
      <c r="A83" s="8" t="inlineStr">
        <is>
          <t>1925-06-01</t>
        </is>
      </c>
      <c r="B83" s="6" t="n">
        <v>6.18</v>
      </c>
      <c r="C83" s="8">
        <f>-PV(B83/100,$B$3,B82/100,1)</f>
        <v/>
      </c>
      <c r="D83" s="8">
        <f>B82/100/12+(C83-1)</f>
        <v/>
      </c>
      <c r="E83" s="8">
        <f>E82*(1+D83)</f>
        <v/>
      </c>
    </row>
    <row r="84">
      <c r="A84" s="8" t="inlineStr">
        <is>
          <t>1925-07-01</t>
        </is>
      </c>
      <c r="B84" s="6" t="n">
        <v>6.2</v>
      </c>
      <c r="C84" s="8">
        <f>-PV(B84/100,$B$3,B83/100,1)</f>
        <v/>
      </c>
      <c r="D84" s="8">
        <f>B83/100/12+(C84-1)</f>
        <v/>
      </c>
      <c r="E84" s="8">
        <f>E83*(1+D84)</f>
        <v/>
      </c>
    </row>
    <row r="85">
      <c r="A85" s="8" t="inlineStr">
        <is>
          <t>1925-08-01</t>
        </is>
      </c>
      <c r="B85" s="6" t="n">
        <v>6.24</v>
      </c>
      <c r="C85" s="8">
        <f>-PV(B85/100,$B$3,B84/100,1)</f>
        <v/>
      </c>
      <c r="D85" s="8">
        <f>B84/100/12+(C85-1)</f>
        <v/>
      </c>
      <c r="E85" s="8">
        <f>E84*(1+D85)</f>
        <v/>
      </c>
    </row>
    <row r="86">
      <c r="A86" s="8" t="inlineStr">
        <is>
          <t>1925-09-01</t>
        </is>
      </c>
      <c r="B86" s="6" t="n">
        <v>6.2</v>
      </c>
      <c r="C86" s="8">
        <f>-PV(B86/100,$B$3,B85/100,1)</f>
        <v/>
      </c>
      <c r="D86" s="8">
        <f>B85/100/12+(C86-1)</f>
        <v/>
      </c>
      <c r="E86" s="8">
        <f>E85*(1+D86)</f>
        <v/>
      </c>
    </row>
    <row r="87">
      <c r="A87" s="8" t="inlineStr">
        <is>
          <t>1925-10-01</t>
        </is>
      </c>
      <c r="B87" s="6" t="n">
        <v>6.17</v>
      </c>
      <c r="C87" s="8">
        <f>-PV(B87/100,$B$3,B86/100,1)</f>
        <v/>
      </c>
      <c r="D87" s="8">
        <f>B86/100/12+(C87-1)</f>
        <v/>
      </c>
      <c r="E87" s="8">
        <f>E86*(1+D87)</f>
        <v/>
      </c>
    </row>
    <row r="88">
      <c r="A88" s="8" t="inlineStr">
        <is>
          <t>1925-11-01</t>
        </is>
      </c>
      <c r="B88" s="6" t="n">
        <v>6.17</v>
      </c>
      <c r="C88" s="8">
        <f>-PV(B88/100,$B$3,B87/100,1)</f>
        <v/>
      </c>
      <c r="D88" s="8">
        <f>B87/100/12+(C88-1)</f>
        <v/>
      </c>
      <c r="E88" s="8">
        <f>E87*(1+D88)</f>
        <v/>
      </c>
    </row>
    <row r="89">
      <c r="A89" s="8" t="inlineStr">
        <is>
          <t>1925-12-01</t>
        </is>
      </c>
      <c r="B89" s="6" t="n">
        <v>6.15</v>
      </c>
      <c r="C89" s="8">
        <f>-PV(B89/100,$B$3,B88/100,1)</f>
        <v/>
      </c>
      <c r="D89" s="8">
        <f>B88/100/12+(C89-1)</f>
        <v/>
      </c>
      <c r="E89" s="8">
        <f>E88*(1+D89)</f>
        <v/>
      </c>
    </row>
    <row r="90">
      <c r="A90" s="8" t="inlineStr">
        <is>
          <t>1926-01-01</t>
        </is>
      </c>
      <c r="B90" s="6" t="n">
        <v>6.09</v>
      </c>
      <c r="C90" s="8">
        <f>-PV(B90/100,$B$3,B89/100,1)</f>
        <v/>
      </c>
      <c r="D90" s="8">
        <f>B89/100/12+(C90-1)</f>
        <v/>
      </c>
      <c r="E90" s="8">
        <f>E89*(1+D90)</f>
        <v/>
      </c>
    </row>
    <row r="91">
      <c r="A91" s="8" t="inlineStr">
        <is>
          <t>1926-02-01</t>
        </is>
      </c>
      <c r="B91" s="6" t="n">
        <v>6.02</v>
      </c>
      <c r="C91" s="8">
        <f>-PV(B91/100,$B$3,B90/100,1)</f>
        <v/>
      </c>
      <c r="D91" s="8">
        <f>B90/100/12+(C91-1)</f>
        <v/>
      </c>
      <c r="E91" s="8">
        <f>E90*(1+D91)</f>
        <v/>
      </c>
    </row>
    <row r="92">
      <c r="A92" s="8" t="inlineStr">
        <is>
          <t>1926-03-01</t>
        </is>
      </c>
      <c r="B92" s="6" t="n">
        <v>6.05</v>
      </c>
      <c r="C92" s="8">
        <f>-PV(B92/100,$B$3,B91/100,1)</f>
        <v/>
      </c>
      <c r="D92" s="8">
        <f>B91/100/12+(C92-1)</f>
        <v/>
      </c>
      <c r="E92" s="8">
        <f>E91*(1+D92)</f>
        <v/>
      </c>
    </row>
    <row r="93">
      <c r="A93" s="8" t="inlineStr">
        <is>
          <t>1926-04-01</t>
        </is>
      </c>
      <c r="B93" s="6" t="n">
        <v>5.98</v>
      </c>
      <c r="C93" s="8">
        <f>-PV(B93/100,$B$3,B92/100,1)</f>
        <v/>
      </c>
      <c r="D93" s="8">
        <f>B92/100/12+(C93-1)</f>
        <v/>
      </c>
      <c r="E93" s="8">
        <f>E92*(1+D93)</f>
        <v/>
      </c>
    </row>
    <row r="94">
      <c r="A94" s="8" t="inlineStr">
        <is>
          <t>1926-05-01</t>
        </is>
      </c>
      <c r="B94" s="6" t="n">
        <v>5.86</v>
      </c>
      <c r="C94" s="8">
        <f>-PV(B94/100,$B$3,B93/100,1)</f>
        <v/>
      </c>
      <c r="D94" s="8">
        <f>B93/100/12+(C94-1)</f>
        <v/>
      </c>
      <c r="E94" s="8">
        <f>E93*(1+D94)</f>
        <v/>
      </c>
    </row>
    <row r="95">
      <c r="A95" s="8" t="inlineStr">
        <is>
          <t>1926-06-01</t>
        </is>
      </c>
      <c r="B95" s="6" t="n">
        <v>5.8</v>
      </c>
      <c r="C95" s="8">
        <f>-PV(B95/100,$B$3,B94/100,1)</f>
        <v/>
      </c>
      <c r="D95" s="8">
        <f>B94/100/12+(C95-1)</f>
        <v/>
      </c>
      <c r="E95" s="8">
        <f>E94*(1+D95)</f>
        <v/>
      </c>
    </row>
    <row r="96">
      <c r="A96" s="8" t="inlineStr">
        <is>
          <t>1926-07-01</t>
        </is>
      </c>
      <c r="B96" s="6" t="n">
        <v>5.79</v>
      </c>
      <c r="C96" s="8">
        <f>-PV(B96/100,$B$3,B95/100,1)</f>
        <v/>
      </c>
      <c r="D96" s="8">
        <f>B95/100/12+(C96-1)</f>
        <v/>
      </c>
      <c r="E96" s="8">
        <f>E95*(1+D96)</f>
        <v/>
      </c>
    </row>
    <row r="97">
      <c r="A97" s="8" t="inlineStr">
        <is>
          <t>1926-08-01</t>
        </is>
      </c>
      <c r="B97" s="6" t="n">
        <v>5.81</v>
      </c>
      <c r="C97" s="8">
        <f>-PV(B97/100,$B$3,B96/100,1)</f>
        <v/>
      </c>
      <c r="D97" s="8">
        <f>B96/100/12+(C97-1)</f>
        <v/>
      </c>
      <c r="E97" s="8">
        <f>E96*(1+D97)</f>
        <v/>
      </c>
    </row>
    <row r="98">
      <c r="A98" s="8" t="inlineStr">
        <is>
          <t>1926-09-01</t>
        </is>
      </c>
      <c r="B98" s="6" t="n">
        <v>5.79</v>
      </c>
      <c r="C98" s="8">
        <f>-PV(B98/100,$B$3,B97/100,1)</f>
        <v/>
      </c>
      <c r="D98" s="8">
        <f>B97/100/12+(C98-1)</f>
        <v/>
      </c>
      <c r="E98" s="8">
        <f>E97*(1+D98)</f>
        <v/>
      </c>
    </row>
    <row r="99">
      <c r="A99" s="8" t="inlineStr">
        <is>
          <t>1926-10-01</t>
        </is>
      </c>
      <c r="B99" s="6" t="n">
        <v>5.81</v>
      </c>
      <c r="C99" s="8">
        <f>-PV(B99/100,$B$3,B98/100,1)</f>
        <v/>
      </c>
      <c r="D99" s="8">
        <f>B98/100/12+(C99-1)</f>
        <v/>
      </c>
      <c r="E99" s="8">
        <f>E98*(1+D99)</f>
        <v/>
      </c>
    </row>
    <row r="100">
      <c r="A100" s="8" t="inlineStr">
        <is>
          <t>1926-11-01</t>
        </is>
      </c>
      <c r="B100" s="6" t="n">
        <v>5.77</v>
      </c>
      <c r="C100" s="8">
        <f>-PV(B100/100,$B$3,B99/100,1)</f>
        <v/>
      </c>
      <c r="D100" s="8">
        <f>B99/100/12+(C100-1)</f>
        <v/>
      </c>
      <c r="E100" s="8">
        <f>E99*(1+D100)</f>
        <v/>
      </c>
    </row>
    <row r="101">
      <c r="A101" s="8" t="inlineStr">
        <is>
          <t>1926-12-01</t>
        </is>
      </c>
      <c r="B101" s="6" t="n">
        <v>5.68</v>
      </c>
      <c r="C101" s="8">
        <f>-PV(B101/100,$B$3,B100/100,1)</f>
        <v/>
      </c>
      <c r="D101" s="8">
        <f>B100/100/12+(C101-1)</f>
        <v/>
      </c>
      <c r="E101" s="8">
        <f>E100*(1+D101)</f>
        <v/>
      </c>
    </row>
    <row r="102">
      <c r="A102" s="8" t="inlineStr">
        <is>
          <t>1927-01-01</t>
        </is>
      </c>
      <c r="B102" s="6" t="n">
        <v>5.61</v>
      </c>
      <c r="C102" s="8">
        <f>-PV(B102/100,$B$3,B101/100,1)</f>
        <v/>
      </c>
      <c r="D102" s="8">
        <f>B101/100/12+(C102-1)</f>
        <v/>
      </c>
      <c r="E102" s="8">
        <f>E101*(1+D102)</f>
        <v/>
      </c>
    </row>
    <row r="103">
      <c r="A103" s="8" t="inlineStr">
        <is>
          <t>1927-02-01</t>
        </is>
      </c>
      <c r="B103" s="6" t="n">
        <v>5.59</v>
      </c>
      <c r="C103" s="8">
        <f>-PV(B103/100,$B$3,B102/100,1)</f>
        <v/>
      </c>
      <c r="D103" s="8">
        <f>B102/100/12+(C103-1)</f>
        <v/>
      </c>
      <c r="E103" s="8">
        <f>E102*(1+D103)</f>
        <v/>
      </c>
    </row>
    <row r="104">
      <c r="A104" s="8" t="inlineStr">
        <is>
          <t>1927-03-01</t>
        </is>
      </c>
      <c r="B104" s="6" t="n">
        <v>5.54</v>
      </c>
      <c r="C104" s="8">
        <f>-PV(B104/100,$B$3,B103/100,1)</f>
        <v/>
      </c>
      <c r="D104" s="8">
        <f>B103/100/12+(C104-1)</f>
        <v/>
      </c>
      <c r="E104" s="8">
        <f>E103*(1+D104)</f>
        <v/>
      </c>
    </row>
    <row r="105">
      <c r="A105" s="8" t="inlineStr">
        <is>
          <t>1927-04-01</t>
        </is>
      </c>
      <c r="B105" s="6" t="n">
        <v>5.48</v>
      </c>
      <c r="C105" s="8">
        <f>-PV(B105/100,$B$3,B104/100,1)</f>
        <v/>
      </c>
      <c r="D105" s="8">
        <f>B104/100/12+(C105-1)</f>
        <v/>
      </c>
      <c r="E105" s="8">
        <f>E104*(1+D105)</f>
        <v/>
      </c>
    </row>
    <row r="106">
      <c r="A106" s="8" t="inlineStr">
        <is>
          <t>1927-05-01</t>
        </is>
      </c>
      <c r="B106" s="6" t="n">
        <v>5.5</v>
      </c>
      <c r="C106" s="8">
        <f>-PV(B106/100,$B$3,B105/100,1)</f>
        <v/>
      </c>
      <c r="D106" s="8">
        <f>B105/100/12+(C106-1)</f>
        <v/>
      </c>
      <c r="E106" s="8">
        <f>E105*(1+D106)</f>
        <v/>
      </c>
    </row>
    <row r="107">
      <c r="A107" s="8" t="inlineStr">
        <is>
          <t>1927-06-01</t>
        </is>
      </c>
      <c r="B107" s="6" t="n">
        <v>5.55</v>
      </c>
      <c r="C107" s="8">
        <f>-PV(B107/100,$B$3,B106/100,1)</f>
        <v/>
      </c>
      <c r="D107" s="8">
        <f>B106/100/12+(C107-1)</f>
        <v/>
      </c>
      <c r="E107" s="8">
        <f>E106*(1+D107)</f>
        <v/>
      </c>
    </row>
    <row r="108">
      <c r="A108" s="8" t="inlineStr">
        <is>
          <t>1927-07-01</t>
        </is>
      </c>
      <c r="B108" s="6" t="n">
        <v>5.55</v>
      </c>
      <c r="C108" s="8">
        <f>-PV(B108/100,$B$3,B107/100,1)</f>
        <v/>
      </c>
      <c r="D108" s="8">
        <f>B107/100/12+(C108-1)</f>
        <v/>
      </c>
      <c r="E108" s="8">
        <f>E107*(1+D108)</f>
        <v/>
      </c>
    </row>
    <row r="109">
      <c r="A109" s="8" t="inlineStr">
        <is>
          <t>1927-08-01</t>
        </is>
      </c>
      <c r="B109" s="6" t="n">
        <v>5.48</v>
      </c>
      <c r="C109" s="8">
        <f>-PV(B109/100,$B$3,B108/100,1)</f>
        <v/>
      </c>
      <c r="D109" s="8">
        <f>B108/100/12+(C109-1)</f>
        <v/>
      </c>
      <c r="E109" s="8">
        <f>E108*(1+D109)</f>
        <v/>
      </c>
    </row>
    <row r="110">
      <c r="A110" s="8" t="inlineStr">
        <is>
          <t>1927-09-01</t>
        </is>
      </c>
      <c r="B110" s="6" t="n">
        <v>5.42</v>
      </c>
      <c r="C110" s="8">
        <f>-PV(B110/100,$B$3,B109/100,1)</f>
        <v/>
      </c>
      <c r="D110" s="8">
        <f>B109/100/12+(C110-1)</f>
        <v/>
      </c>
      <c r="E110" s="8">
        <f>E109*(1+D110)</f>
        <v/>
      </c>
    </row>
    <row r="111">
      <c r="A111" s="8" t="inlineStr">
        <is>
          <t>1927-10-01</t>
        </is>
      </c>
      <c r="B111" s="6" t="n">
        <v>5.38</v>
      </c>
      <c r="C111" s="8">
        <f>-PV(B111/100,$B$3,B110/100,1)</f>
        <v/>
      </c>
      <c r="D111" s="8">
        <f>B110/100/12+(C111-1)</f>
        <v/>
      </c>
      <c r="E111" s="8">
        <f>E110*(1+D111)</f>
        <v/>
      </c>
    </row>
    <row r="112">
      <c r="A112" s="8" t="inlineStr">
        <is>
          <t>1927-11-01</t>
        </is>
      </c>
      <c r="B112" s="6" t="n">
        <v>5.35</v>
      </c>
      <c r="C112" s="8">
        <f>-PV(B112/100,$B$3,B111/100,1)</f>
        <v/>
      </c>
      <c r="D112" s="8">
        <f>B111/100/12+(C112-1)</f>
        <v/>
      </c>
      <c r="E112" s="8">
        <f>E111*(1+D112)</f>
        <v/>
      </c>
    </row>
    <row r="113">
      <c r="A113" s="8" t="inlineStr">
        <is>
          <t>1927-12-01</t>
        </is>
      </c>
      <c r="B113" s="6" t="n">
        <v>5.32</v>
      </c>
      <c r="C113" s="8">
        <f>-PV(B113/100,$B$3,B112/100,1)</f>
        <v/>
      </c>
      <c r="D113" s="8">
        <f>B112/100/12+(C113-1)</f>
        <v/>
      </c>
      <c r="E113" s="8">
        <f>E112*(1+D113)</f>
        <v/>
      </c>
    </row>
    <row r="114">
      <c r="A114" s="8" t="inlineStr">
        <is>
          <t>1928-01-01</t>
        </is>
      </c>
      <c r="B114" s="6" t="n">
        <v>5.35</v>
      </c>
      <c r="C114" s="8">
        <f>-PV(B114/100,$B$3,B113/100,1)</f>
        <v/>
      </c>
      <c r="D114" s="8">
        <f>B113/100/12+(C114-1)</f>
        <v/>
      </c>
      <c r="E114" s="8">
        <f>E113*(1+D114)</f>
        <v/>
      </c>
    </row>
    <row r="115">
      <c r="A115" s="8" t="inlineStr">
        <is>
          <t>1928-02-01</t>
        </is>
      </c>
      <c r="B115" s="6" t="n">
        <v>5.33</v>
      </c>
      <c r="C115" s="8">
        <f>-PV(B115/100,$B$3,B114/100,1)</f>
        <v/>
      </c>
      <c r="D115" s="8">
        <f>B114/100/12+(C115-1)</f>
        <v/>
      </c>
      <c r="E115" s="8">
        <f>E114*(1+D115)</f>
        <v/>
      </c>
    </row>
    <row r="116">
      <c r="A116" s="8" t="inlineStr">
        <is>
          <t>1928-03-01</t>
        </is>
      </c>
      <c r="B116" s="6" t="n">
        <v>5.32</v>
      </c>
      <c r="C116" s="8">
        <f>-PV(B116/100,$B$3,B115/100,1)</f>
        <v/>
      </c>
      <c r="D116" s="8">
        <f>B115/100/12+(C116-1)</f>
        <v/>
      </c>
      <c r="E116" s="8">
        <f>E115*(1+D116)</f>
        <v/>
      </c>
    </row>
    <row r="117">
      <c r="A117" s="8" t="inlineStr">
        <is>
          <t>1928-04-01</t>
        </is>
      </c>
      <c r="B117" s="6" t="n">
        <v>5.33</v>
      </c>
      <c r="C117" s="8">
        <f>-PV(B117/100,$B$3,B116/100,1)</f>
        <v/>
      </c>
      <c r="D117" s="8">
        <f>B116/100/12+(C117-1)</f>
        <v/>
      </c>
      <c r="E117" s="8">
        <f>E116*(1+D117)</f>
        <v/>
      </c>
    </row>
    <row r="118">
      <c r="A118" s="8" t="inlineStr">
        <is>
          <t>1928-05-01</t>
        </is>
      </c>
      <c r="B118" s="6" t="n">
        <v>5.42</v>
      </c>
      <c r="C118" s="8">
        <f>-PV(B118/100,$B$3,B117/100,1)</f>
        <v/>
      </c>
      <c r="D118" s="8">
        <f>B117/100/12+(C118-1)</f>
        <v/>
      </c>
      <c r="E118" s="8">
        <f>E117*(1+D118)</f>
        <v/>
      </c>
    </row>
    <row r="119">
      <c r="A119" s="8" t="inlineStr">
        <is>
          <t>1928-06-01</t>
        </is>
      </c>
      <c r="B119" s="6" t="n">
        <v>5.55</v>
      </c>
      <c r="C119" s="8">
        <f>-PV(B119/100,$B$3,B118/100,1)</f>
        <v/>
      </c>
      <c r="D119" s="8">
        <f>B118/100/12+(C119-1)</f>
        <v/>
      </c>
      <c r="E119" s="8">
        <f>E118*(1+D119)</f>
        <v/>
      </c>
    </row>
    <row r="120">
      <c r="A120" s="8" t="inlineStr">
        <is>
          <t>1928-07-01</t>
        </is>
      </c>
      <c r="B120" s="6" t="n">
        <v>5.58</v>
      </c>
      <c r="C120" s="8">
        <f>-PV(B120/100,$B$3,B119/100,1)</f>
        <v/>
      </c>
      <c r="D120" s="8">
        <f>B119/100/12+(C120-1)</f>
        <v/>
      </c>
      <c r="E120" s="8">
        <f>E119*(1+D120)</f>
        <v/>
      </c>
    </row>
    <row r="121">
      <c r="A121" s="8" t="inlineStr">
        <is>
          <t>1928-08-01</t>
        </is>
      </c>
      <c r="B121" s="6" t="n">
        <v>5.61</v>
      </c>
      <c r="C121" s="8">
        <f>-PV(B121/100,$B$3,B120/100,1)</f>
        <v/>
      </c>
      <c r="D121" s="8">
        <f>B120/100/12+(C121-1)</f>
        <v/>
      </c>
      <c r="E121" s="8">
        <f>E120*(1+D121)</f>
        <v/>
      </c>
    </row>
    <row r="122">
      <c r="A122" s="8" t="inlineStr">
        <is>
          <t>1928-09-01</t>
        </is>
      </c>
      <c r="B122" s="6" t="n">
        <v>5.59</v>
      </c>
      <c r="C122" s="8">
        <f>-PV(B122/100,$B$3,B121/100,1)</f>
        <v/>
      </c>
      <c r="D122" s="8">
        <f>B121/100/12+(C122-1)</f>
        <v/>
      </c>
      <c r="E122" s="8">
        <f>E121*(1+D122)</f>
        <v/>
      </c>
    </row>
    <row r="123">
      <c r="A123" s="8" t="inlineStr">
        <is>
          <t>1928-10-01</t>
        </is>
      </c>
      <c r="B123" s="6" t="n">
        <v>5.58</v>
      </c>
      <c r="C123" s="8">
        <f>-PV(B123/100,$B$3,B122/100,1)</f>
        <v/>
      </c>
      <c r="D123" s="8">
        <f>B122/100/12+(C123-1)</f>
        <v/>
      </c>
      <c r="E123" s="8">
        <f>E122*(1+D123)</f>
        <v/>
      </c>
    </row>
    <row r="124">
      <c r="A124" s="8" t="inlineStr">
        <is>
          <t>1928-11-01</t>
        </is>
      </c>
      <c r="B124" s="6" t="n">
        <v>5.55</v>
      </c>
      <c r="C124" s="8">
        <f>-PV(B124/100,$B$3,B123/100,1)</f>
        <v/>
      </c>
      <c r="D124" s="8">
        <f>B123/100/12+(C124-1)</f>
        <v/>
      </c>
      <c r="E124" s="8">
        <f>E123*(1+D124)</f>
        <v/>
      </c>
    </row>
    <row r="125">
      <c r="A125" s="8" t="inlineStr">
        <is>
          <t>1928-12-01</t>
        </is>
      </c>
      <c r="B125" s="6" t="n">
        <v>5.6</v>
      </c>
      <c r="C125" s="8">
        <f>-PV(B125/100,$B$3,B124/100,1)</f>
        <v/>
      </c>
      <c r="D125" s="8">
        <f>B124/100/12+(C125-1)</f>
        <v/>
      </c>
      <c r="E125" s="8">
        <f>E124*(1+D125)</f>
        <v/>
      </c>
    </row>
    <row r="126">
      <c r="A126" s="8" t="inlineStr">
        <is>
          <t>1929-01-01</t>
        </is>
      </c>
      <c r="B126" s="6" t="n">
        <v>5.63</v>
      </c>
      <c r="C126" s="8">
        <f>-PV(B126/100,$B$3,B125/100,1)</f>
        <v/>
      </c>
      <c r="D126" s="8">
        <f>B125/100/12+(C126-1)</f>
        <v/>
      </c>
      <c r="E126" s="8">
        <f>E125*(1+D126)</f>
        <v/>
      </c>
    </row>
    <row r="127">
      <c r="A127" s="8" t="inlineStr">
        <is>
          <t>1929-02-01</t>
        </is>
      </c>
      <c r="B127" s="6" t="n">
        <v>5.66</v>
      </c>
      <c r="C127" s="8">
        <f>-PV(B127/100,$B$3,B126/100,1)</f>
        <v/>
      </c>
      <c r="D127" s="8">
        <f>B126/100/12+(C127-1)</f>
        <v/>
      </c>
      <c r="E127" s="8">
        <f>E126*(1+D127)</f>
        <v/>
      </c>
    </row>
    <row r="128">
      <c r="A128" s="8" t="inlineStr">
        <is>
          <t>1929-03-01</t>
        </is>
      </c>
      <c r="B128" s="6" t="n">
        <v>5.79</v>
      </c>
      <c r="C128" s="8">
        <f>-PV(B128/100,$B$3,B127/100,1)</f>
        <v/>
      </c>
      <c r="D128" s="8">
        <f>B127/100/12+(C128-1)</f>
        <v/>
      </c>
      <c r="E128" s="8">
        <f>E127*(1+D128)</f>
        <v/>
      </c>
    </row>
    <row r="129">
      <c r="A129" s="8" t="inlineStr">
        <is>
          <t>1929-04-01</t>
        </is>
      </c>
      <c r="B129" s="6" t="n">
        <v>5.8</v>
      </c>
      <c r="C129" s="8">
        <f>-PV(B129/100,$B$3,B128/100,1)</f>
        <v/>
      </c>
      <c r="D129" s="8">
        <f>B128/100/12+(C129-1)</f>
        <v/>
      </c>
      <c r="E129" s="8">
        <f>E128*(1+D129)</f>
        <v/>
      </c>
    </row>
    <row r="130">
      <c r="A130" s="8" t="inlineStr">
        <is>
          <t>1929-05-01</t>
        </is>
      </c>
      <c r="B130" s="6" t="n">
        <v>5.8</v>
      </c>
      <c r="C130" s="8">
        <f>-PV(B130/100,$B$3,B129/100,1)</f>
        <v/>
      </c>
      <c r="D130" s="8">
        <f>B129/100/12+(C130-1)</f>
        <v/>
      </c>
      <c r="E130" s="8">
        <f>E129*(1+D130)</f>
        <v/>
      </c>
    </row>
    <row r="131">
      <c r="A131" s="8" t="inlineStr">
        <is>
          <t>1929-06-01</t>
        </is>
      </c>
      <c r="B131" s="6" t="n">
        <v>5.94</v>
      </c>
      <c r="C131" s="8">
        <f>-PV(B131/100,$B$3,B130/100,1)</f>
        <v/>
      </c>
      <c r="D131" s="8">
        <f>B130/100/12+(C131-1)</f>
        <v/>
      </c>
      <c r="E131" s="8">
        <f>E130*(1+D131)</f>
        <v/>
      </c>
    </row>
    <row r="132">
      <c r="A132" s="8" t="inlineStr">
        <is>
          <t>1929-07-01</t>
        </is>
      </c>
      <c r="B132" s="6" t="n">
        <v>5.95</v>
      </c>
      <c r="C132" s="8">
        <f>-PV(B132/100,$B$3,B131/100,1)</f>
        <v/>
      </c>
      <c r="D132" s="8">
        <f>B131/100/12+(C132-1)</f>
        <v/>
      </c>
      <c r="E132" s="8">
        <f>E131*(1+D132)</f>
        <v/>
      </c>
    </row>
    <row r="133">
      <c r="A133" s="8" t="inlineStr">
        <is>
          <t>1929-08-01</t>
        </is>
      </c>
      <c r="B133" s="6" t="n">
        <v>6.04</v>
      </c>
      <c r="C133" s="8">
        <f>-PV(B133/100,$B$3,B132/100,1)</f>
        <v/>
      </c>
      <c r="D133" s="8">
        <f>B132/100/12+(C133-1)</f>
        <v/>
      </c>
      <c r="E133" s="8">
        <f>E132*(1+D133)</f>
        <v/>
      </c>
    </row>
    <row r="134">
      <c r="A134" s="8" t="inlineStr">
        <is>
          <t>1929-09-01</t>
        </is>
      </c>
      <c r="B134" s="6" t="n">
        <v>6.12</v>
      </c>
      <c r="C134" s="8">
        <f>-PV(B134/100,$B$3,B133/100,1)</f>
        <v/>
      </c>
      <c r="D134" s="8">
        <f>B133/100/12+(C134-1)</f>
        <v/>
      </c>
      <c r="E134" s="8">
        <f>E133*(1+D134)</f>
        <v/>
      </c>
    </row>
    <row r="135">
      <c r="A135" s="8" t="inlineStr">
        <is>
          <t>1929-10-01</t>
        </is>
      </c>
      <c r="B135" s="6" t="n">
        <v>6.11</v>
      </c>
      <c r="C135" s="8">
        <f>-PV(B135/100,$B$3,B134/100,1)</f>
        <v/>
      </c>
      <c r="D135" s="8">
        <f>B134/100/12+(C135-1)</f>
        <v/>
      </c>
      <c r="E135" s="8">
        <f>E134*(1+D135)</f>
        <v/>
      </c>
    </row>
    <row r="136">
      <c r="A136" s="8" t="inlineStr">
        <is>
          <t>1929-11-01</t>
        </is>
      </c>
      <c r="B136" s="6" t="n">
        <v>6.03</v>
      </c>
      <c r="C136" s="8">
        <f>-PV(B136/100,$B$3,B135/100,1)</f>
        <v/>
      </c>
      <c r="D136" s="8">
        <f>B135/100/12+(C136-1)</f>
        <v/>
      </c>
      <c r="E136" s="8">
        <f>E135*(1+D136)</f>
        <v/>
      </c>
    </row>
    <row r="137">
      <c r="A137" s="8" t="inlineStr">
        <is>
          <t>1929-12-01</t>
        </is>
      </c>
      <c r="B137" s="6" t="n">
        <v>5.95</v>
      </c>
      <c r="C137" s="8">
        <f>-PV(B137/100,$B$3,B136/100,1)</f>
        <v/>
      </c>
      <c r="D137" s="8">
        <f>B136/100/12+(C137-1)</f>
        <v/>
      </c>
      <c r="E137" s="8">
        <f>E136*(1+D137)</f>
        <v/>
      </c>
    </row>
    <row r="138">
      <c r="A138" s="8" t="inlineStr">
        <is>
          <t>1930-01-01</t>
        </is>
      </c>
      <c r="B138" s="6" t="n">
        <v>5.92</v>
      </c>
      <c r="C138" s="8">
        <f>-PV(B138/100,$B$3,B137/100,1)</f>
        <v/>
      </c>
      <c r="D138" s="8">
        <f>B137/100/12+(C138-1)</f>
        <v/>
      </c>
      <c r="E138" s="8">
        <f>E137*(1+D138)</f>
        <v/>
      </c>
    </row>
    <row r="139">
      <c r="A139" s="8" t="inlineStr">
        <is>
          <t>1930-02-01</t>
        </is>
      </c>
      <c r="B139" s="6" t="n">
        <v>5.89</v>
      </c>
      <c r="C139" s="8">
        <f>-PV(B139/100,$B$3,B138/100,1)</f>
        <v/>
      </c>
      <c r="D139" s="8">
        <f>B138/100/12+(C139-1)</f>
        <v/>
      </c>
      <c r="E139" s="8">
        <f>E138*(1+D139)</f>
        <v/>
      </c>
    </row>
    <row r="140">
      <c r="A140" s="8" t="inlineStr">
        <is>
          <t>1930-03-01</t>
        </is>
      </c>
      <c r="B140" s="6" t="n">
        <v>5.73</v>
      </c>
      <c r="C140" s="8">
        <f>-PV(B140/100,$B$3,B139/100,1)</f>
        <v/>
      </c>
      <c r="D140" s="8">
        <f>B139/100/12+(C140-1)</f>
        <v/>
      </c>
      <c r="E140" s="8">
        <f>E139*(1+D140)</f>
        <v/>
      </c>
    </row>
    <row r="141">
      <c r="A141" s="8" t="inlineStr">
        <is>
          <t>1930-04-01</t>
        </is>
      </c>
      <c r="B141" s="6" t="n">
        <v>5.7</v>
      </c>
      <c r="C141" s="8">
        <f>-PV(B141/100,$B$3,B140/100,1)</f>
        <v/>
      </c>
      <c r="D141" s="8">
        <f>B140/100/12+(C141-1)</f>
        <v/>
      </c>
      <c r="E141" s="8">
        <f>E140*(1+D141)</f>
        <v/>
      </c>
    </row>
    <row r="142">
      <c r="A142" s="8" t="inlineStr">
        <is>
          <t>1930-05-01</t>
        </is>
      </c>
      <c r="B142" s="6" t="n">
        <v>5.72</v>
      </c>
      <c r="C142" s="8">
        <f>-PV(B142/100,$B$3,B141/100,1)</f>
        <v/>
      </c>
      <c r="D142" s="8">
        <f>B141/100/12+(C142-1)</f>
        <v/>
      </c>
      <c r="E142" s="8">
        <f>E141*(1+D142)</f>
        <v/>
      </c>
    </row>
    <row r="143">
      <c r="A143" s="8" t="inlineStr">
        <is>
          <t>1930-06-01</t>
        </is>
      </c>
      <c r="B143" s="6" t="n">
        <v>5.78</v>
      </c>
      <c r="C143" s="8">
        <f>-PV(B143/100,$B$3,B142/100,1)</f>
        <v/>
      </c>
      <c r="D143" s="8">
        <f>B142/100/12+(C143-1)</f>
        <v/>
      </c>
      <c r="E143" s="8">
        <f>E142*(1+D143)</f>
        <v/>
      </c>
    </row>
    <row r="144">
      <c r="A144" s="8" t="inlineStr">
        <is>
          <t>1930-07-01</t>
        </is>
      </c>
      <c r="B144" s="6" t="n">
        <v>5.77</v>
      </c>
      <c r="C144" s="8">
        <f>-PV(B144/100,$B$3,B143/100,1)</f>
        <v/>
      </c>
      <c r="D144" s="8">
        <f>B143/100/12+(C144-1)</f>
        <v/>
      </c>
      <c r="E144" s="8">
        <f>E143*(1+D144)</f>
        <v/>
      </c>
    </row>
    <row r="145">
      <c r="A145" s="8" t="inlineStr">
        <is>
          <t>1930-08-01</t>
        </is>
      </c>
      <c r="B145" s="6" t="n">
        <v>5.73</v>
      </c>
      <c r="C145" s="8">
        <f>-PV(B145/100,$B$3,B144/100,1)</f>
        <v/>
      </c>
      <c r="D145" s="8">
        <f>B144/100/12+(C145-1)</f>
        <v/>
      </c>
      <c r="E145" s="8">
        <f>E144*(1+D145)</f>
        <v/>
      </c>
    </row>
    <row r="146">
      <c r="A146" s="8" t="inlineStr">
        <is>
          <t>1930-09-01</t>
        </is>
      </c>
      <c r="B146" s="6" t="n">
        <v>5.65</v>
      </c>
      <c r="C146" s="8">
        <f>-PV(B146/100,$B$3,B145/100,1)</f>
        <v/>
      </c>
      <c r="D146" s="8">
        <f>B145/100/12+(C146-1)</f>
        <v/>
      </c>
      <c r="E146" s="8">
        <f>E145*(1+D146)</f>
        <v/>
      </c>
    </row>
    <row r="147">
      <c r="A147" s="8" t="inlineStr">
        <is>
          <t>1930-10-01</t>
        </is>
      </c>
      <c r="B147" s="6" t="n">
        <v>5.94</v>
      </c>
      <c r="C147" s="8">
        <f>-PV(B147/100,$B$3,B146/100,1)</f>
        <v/>
      </c>
      <c r="D147" s="8">
        <f>B146/100/12+(C147-1)</f>
        <v/>
      </c>
      <c r="E147" s="8">
        <f>E146*(1+D147)</f>
        <v/>
      </c>
    </row>
    <row r="148">
      <c r="A148" s="8" t="inlineStr">
        <is>
          <t>1930-11-01</t>
        </is>
      </c>
      <c r="B148" s="6" t="n">
        <v>6.25</v>
      </c>
      <c r="C148" s="8">
        <f>-PV(B148/100,$B$3,B147/100,1)</f>
        <v/>
      </c>
      <c r="D148" s="8">
        <f>B147/100/12+(C148-1)</f>
        <v/>
      </c>
      <c r="E148" s="8">
        <f>E147*(1+D148)</f>
        <v/>
      </c>
    </row>
    <row r="149">
      <c r="A149" s="8" t="inlineStr">
        <is>
          <t>1930-12-01</t>
        </is>
      </c>
      <c r="B149" s="6" t="n">
        <v>6.71</v>
      </c>
      <c r="C149" s="8">
        <f>-PV(B149/100,$B$3,B148/100,1)</f>
        <v/>
      </c>
      <c r="D149" s="8">
        <f>B148/100/12+(C149-1)</f>
        <v/>
      </c>
      <c r="E149" s="8">
        <f>E148*(1+D149)</f>
        <v/>
      </c>
    </row>
    <row r="150">
      <c r="A150" s="8" t="inlineStr">
        <is>
          <t>1931-01-01</t>
        </is>
      </c>
      <c r="B150" s="6" t="n">
        <v>6.41</v>
      </c>
      <c r="C150" s="8">
        <f>-PV(B150/100,$B$3,B149/100,1)</f>
        <v/>
      </c>
      <c r="D150" s="8">
        <f>B149/100/12+(C150-1)</f>
        <v/>
      </c>
      <c r="E150" s="8">
        <f>E149*(1+D150)</f>
        <v/>
      </c>
    </row>
    <row r="151">
      <c r="A151" s="8" t="inlineStr">
        <is>
          <t>1931-02-01</t>
        </is>
      </c>
      <c r="B151" s="6" t="n">
        <v>6.38</v>
      </c>
      <c r="C151" s="8">
        <f>-PV(B151/100,$B$3,B150/100,1)</f>
        <v/>
      </c>
      <c r="D151" s="8">
        <f>B150/100/12+(C151-1)</f>
        <v/>
      </c>
      <c r="E151" s="8">
        <f>E150*(1+D151)</f>
        <v/>
      </c>
    </row>
    <row r="152">
      <c r="A152" s="8" t="inlineStr">
        <is>
          <t>1931-03-01</t>
        </is>
      </c>
      <c r="B152" s="6" t="n">
        <v>6.44</v>
      </c>
      <c r="C152" s="8">
        <f>-PV(B152/100,$B$3,B151/100,1)</f>
        <v/>
      </c>
      <c r="D152" s="8">
        <f>B151/100/12+(C152-1)</f>
        <v/>
      </c>
      <c r="E152" s="8">
        <f>E151*(1+D152)</f>
        <v/>
      </c>
    </row>
    <row r="153">
      <c r="A153" s="8" t="inlineStr">
        <is>
          <t>1931-04-01</t>
        </is>
      </c>
      <c r="B153" s="6" t="n">
        <v>6.72</v>
      </c>
      <c r="C153" s="8">
        <f>-PV(B153/100,$B$3,B152/100,1)</f>
        <v/>
      </c>
      <c r="D153" s="8">
        <f>B152/100/12+(C153-1)</f>
        <v/>
      </c>
      <c r="E153" s="8">
        <f>E152*(1+D153)</f>
        <v/>
      </c>
    </row>
    <row r="154">
      <c r="A154" s="8" t="inlineStr">
        <is>
          <t>1931-05-01</t>
        </is>
      </c>
      <c r="B154" s="6" t="n">
        <v>7.15</v>
      </c>
      <c r="C154" s="8">
        <f>-PV(B154/100,$B$3,B153/100,1)</f>
        <v/>
      </c>
      <c r="D154" s="8">
        <f>B153/100/12+(C154-1)</f>
        <v/>
      </c>
      <c r="E154" s="8">
        <f>E153*(1+D154)</f>
        <v/>
      </c>
    </row>
    <row r="155">
      <c r="A155" s="8" t="inlineStr">
        <is>
          <t>1931-06-01</t>
        </is>
      </c>
      <c r="B155" s="6" t="n">
        <v>7.36</v>
      </c>
      <c r="C155" s="8">
        <f>-PV(B155/100,$B$3,B154/100,1)</f>
        <v/>
      </c>
      <c r="D155" s="8">
        <f>B154/100/12+(C155-1)</f>
        <v/>
      </c>
      <c r="E155" s="8">
        <f>E154*(1+D155)</f>
        <v/>
      </c>
    </row>
    <row r="156">
      <c r="A156" s="8" t="inlineStr">
        <is>
          <t>1931-07-01</t>
        </is>
      </c>
      <c r="B156" s="6" t="n">
        <v>7.08</v>
      </c>
      <c r="C156" s="8">
        <f>-PV(B156/100,$B$3,B155/100,1)</f>
        <v/>
      </c>
      <c r="D156" s="8">
        <f>B155/100/12+(C156-1)</f>
        <v/>
      </c>
      <c r="E156" s="8">
        <f>E155*(1+D156)</f>
        <v/>
      </c>
    </row>
    <row r="157">
      <c r="A157" s="8" t="inlineStr">
        <is>
          <t>1931-08-01</t>
        </is>
      </c>
      <c r="B157" s="6" t="n">
        <v>7.47</v>
      </c>
      <c r="C157" s="8">
        <f>-PV(B157/100,$B$3,B156/100,1)</f>
        <v/>
      </c>
      <c r="D157" s="8">
        <f>B156/100/12+(C157-1)</f>
        <v/>
      </c>
      <c r="E157" s="8">
        <f>E156*(1+D157)</f>
        <v/>
      </c>
    </row>
    <row r="158">
      <c r="A158" s="8" t="inlineStr">
        <is>
          <t>1931-09-01</t>
        </is>
      </c>
      <c r="B158" s="6" t="n">
        <v>8.07</v>
      </c>
      <c r="C158" s="8">
        <f>-PV(B158/100,$B$3,B157/100,1)</f>
        <v/>
      </c>
      <c r="D158" s="8">
        <f>B157/100/12+(C158-1)</f>
        <v/>
      </c>
      <c r="E158" s="8">
        <f>E157*(1+D158)</f>
        <v/>
      </c>
    </row>
    <row r="159">
      <c r="A159" s="8" t="inlineStr">
        <is>
          <t>1931-10-01</t>
        </is>
      </c>
      <c r="B159" s="6" t="n">
        <v>9.039999999999999</v>
      </c>
      <c r="C159" s="8">
        <f>-PV(B159/100,$B$3,B158/100,1)</f>
        <v/>
      </c>
      <c r="D159" s="8">
        <f>B158/100/12+(C159-1)</f>
        <v/>
      </c>
      <c r="E159" s="8">
        <f>E158*(1+D159)</f>
        <v/>
      </c>
    </row>
    <row r="160">
      <c r="A160" s="8" t="inlineStr">
        <is>
          <t>1931-11-01</t>
        </is>
      </c>
      <c r="B160" s="6" t="n">
        <v>8.93</v>
      </c>
      <c r="C160" s="8">
        <f>-PV(B160/100,$B$3,B159/100,1)</f>
        <v/>
      </c>
      <c r="D160" s="8">
        <f>B159/100/12+(C160-1)</f>
        <v/>
      </c>
      <c r="E160" s="8">
        <f>E159*(1+D160)</f>
        <v/>
      </c>
    </row>
    <row r="161">
      <c r="A161" s="8" t="inlineStr">
        <is>
          <t>1931-12-01</t>
        </is>
      </c>
      <c r="B161" s="6" t="n">
        <v>10.42</v>
      </c>
      <c r="C161" s="8">
        <f>-PV(B161/100,$B$3,B160/100,1)</f>
        <v/>
      </c>
      <c r="D161" s="8">
        <f>B160/100/12+(C161-1)</f>
        <v/>
      </c>
      <c r="E161" s="8">
        <f>E160*(1+D161)</f>
        <v/>
      </c>
    </row>
    <row r="162">
      <c r="A162" s="8" t="inlineStr">
        <is>
          <t>1932-01-01</t>
        </is>
      </c>
      <c r="B162" s="6" t="n">
        <v>9.130000000000001</v>
      </c>
      <c r="C162" s="8">
        <f>-PV(B162/100,$B$3,B161/100,1)</f>
        <v/>
      </c>
      <c r="D162" s="8">
        <f>B161/100/12+(C162-1)</f>
        <v/>
      </c>
      <c r="E162" s="8">
        <f>E161*(1+D162)</f>
        <v/>
      </c>
    </row>
    <row r="163">
      <c r="A163" s="8" t="inlineStr">
        <is>
          <t>1932-02-01</t>
        </is>
      </c>
      <c r="B163" s="6" t="n">
        <v>8.869999999999999</v>
      </c>
      <c r="C163" s="8">
        <f>-PV(B163/100,$B$3,B162/100,1)</f>
        <v/>
      </c>
      <c r="D163" s="8">
        <f>B162/100/12+(C163-1)</f>
        <v/>
      </c>
      <c r="E163" s="8">
        <f>E162*(1+D163)</f>
        <v/>
      </c>
    </row>
    <row r="164">
      <c r="A164" s="8" t="inlineStr">
        <is>
          <t>1932-03-01</t>
        </is>
      </c>
      <c r="B164" s="6" t="n">
        <v>8.83</v>
      </c>
      <c r="C164" s="8">
        <f>-PV(B164/100,$B$3,B163/100,1)</f>
        <v/>
      </c>
      <c r="D164" s="8">
        <f>B163/100/12+(C164-1)</f>
        <v/>
      </c>
      <c r="E164" s="8">
        <f>E163*(1+D164)</f>
        <v/>
      </c>
    </row>
    <row r="165">
      <c r="A165" s="8" t="inlineStr">
        <is>
          <t>1932-04-01</t>
        </is>
      </c>
      <c r="B165" s="6" t="n">
        <v>10.46</v>
      </c>
      <c r="C165" s="8">
        <f>-PV(B165/100,$B$3,B164/100,1)</f>
        <v/>
      </c>
      <c r="D165" s="8">
        <f>B164/100/12+(C165-1)</f>
        <v/>
      </c>
      <c r="E165" s="8">
        <f>E164*(1+D165)</f>
        <v/>
      </c>
    </row>
    <row r="166">
      <c r="A166" s="8" t="inlineStr">
        <is>
          <t>1932-05-01</t>
        </is>
      </c>
      <c r="B166" s="6" t="n">
        <v>11</v>
      </c>
      <c r="C166" s="8">
        <f>-PV(B166/100,$B$3,B165/100,1)</f>
        <v/>
      </c>
      <c r="D166" s="8">
        <f>B165/100/12+(C166-1)</f>
        <v/>
      </c>
      <c r="E166" s="8">
        <f>E165*(1+D166)</f>
        <v/>
      </c>
    </row>
    <row r="167">
      <c r="A167" s="8" t="inlineStr">
        <is>
          <t>1932-06-01</t>
        </is>
      </c>
      <c r="B167" s="6" t="n">
        <v>11</v>
      </c>
      <c r="C167" s="8">
        <f>-PV(B167/100,$B$3,B166/100,1)</f>
        <v/>
      </c>
      <c r="D167" s="8">
        <f>B166/100/12+(C167-1)</f>
        <v/>
      </c>
      <c r="E167" s="8">
        <f>E166*(1+D167)</f>
        <v/>
      </c>
    </row>
    <row r="168">
      <c r="A168" s="8" t="inlineStr">
        <is>
          <t>1932-07-01</t>
        </is>
      </c>
      <c r="B168" s="6" t="n">
        <v>10.79</v>
      </c>
      <c r="C168" s="8">
        <f>-PV(B168/100,$B$3,B167/100,1)</f>
        <v/>
      </c>
      <c r="D168" s="8">
        <f>B167/100/12+(C168-1)</f>
        <v/>
      </c>
      <c r="E168" s="8">
        <f>E167*(1+D168)</f>
        <v/>
      </c>
    </row>
    <row r="169">
      <c r="A169" s="8" t="inlineStr">
        <is>
          <t>1932-08-01</t>
        </is>
      </c>
      <c r="B169" s="6" t="n">
        <v>8.220000000000001</v>
      </c>
      <c r="C169" s="8">
        <f>-PV(B169/100,$B$3,B168/100,1)</f>
        <v/>
      </c>
      <c r="D169" s="8">
        <f>B168/100/12+(C169-1)</f>
        <v/>
      </c>
      <c r="E169" s="8">
        <f>E168*(1+D169)</f>
        <v/>
      </c>
    </row>
    <row r="170">
      <c r="A170" s="8" t="inlineStr">
        <is>
          <t>1932-09-01</t>
        </is>
      </c>
      <c r="B170" s="6" t="n">
        <v>7.61</v>
      </c>
      <c r="C170" s="8">
        <f>-PV(B170/100,$B$3,B169/100,1)</f>
        <v/>
      </c>
      <c r="D170" s="8">
        <f>B169/100/12+(C170-1)</f>
        <v/>
      </c>
      <c r="E170" s="8">
        <f>E169*(1+D170)</f>
        <v/>
      </c>
    </row>
    <row r="171">
      <c r="A171" s="8" t="inlineStr">
        <is>
          <t>1932-10-01</t>
        </is>
      </c>
      <c r="B171" s="6" t="n">
        <v>7.87</v>
      </c>
      <c r="C171" s="8">
        <f>-PV(B171/100,$B$3,B170/100,1)</f>
        <v/>
      </c>
      <c r="D171" s="8">
        <f>B170/100/12+(C171-1)</f>
        <v/>
      </c>
      <c r="E171" s="8">
        <f>E170*(1+D171)</f>
        <v/>
      </c>
    </row>
    <row r="172">
      <c r="A172" s="8" t="inlineStr">
        <is>
          <t>1932-11-01</t>
        </is>
      </c>
      <c r="B172" s="6" t="n">
        <v>8.24</v>
      </c>
      <c r="C172" s="8">
        <f>-PV(B172/100,$B$3,B171/100,1)</f>
        <v/>
      </c>
      <c r="D172" s="8">
        <f>B171/100/12+(C172-1)</f>
        <v/>
      </c>
      <c r="E172" s="8">
        <f>E171*(1+D172)</f>
        <v/>
      </c>
    </row>
    <row r="173">
      <c r="A173" s="8" t="inlineStr">
        <is>
          <t>1932-12-01</t>
        </is>
      </c>
      <c r="B173" s="6" t="n">
        <v>8.42</v>
      </c>
      <c r="C173" s="8">
        <f>-PV(B173/100,$B$3,B172/100,1)</f>
        <v/>
      </c>
      <c r="D173" s="8">
        <f>B172/100/12+(C173-1)</f>
        <v/>
      </c>
      <c r="E173" s="8">
        <f>E172*(1+D173)</f>
        <v/>
      </c>
    </row>
    <row r="174">
      <c r="A174" s="8" t="inlineStr">
        <is>
          <t>1933-01-01</t>
        </is>
      </c>
      <c r="B174" s="6" t="n">
        <v>8.01</v>
      </c>
      <c r="C174" s="8">
        <f>-PV(B174/100,$B$3,B173/100,1)</f>
        <v/>
      </c>
      <c r="D174" s="8">
        <f>B173/100/12+(C174-1)</f>
        <v/>
      </c>
      <c r="E174" s="8">
        <f>E173*(1+D174)</f>
        <v/>
      </c>
    </row>
    <row r="175">
      <c r="A175" s="8" t="inlineStr">
        <is>
          <t>1933-02-01</t>
        </is>
      </c>
      <c r="B175" s="6" t="n">
        <v>8.369999999999999</v>
      </c>
      <c r="C175" s="8">
        <f>-PV(B175/100,$B$3,B174/100,1)</f>
        <v/>
      </c>
      <c r="D175" s="8">
        <f>B174/100/12+(C175-1)</f>
        <v/>
      </c>
      <c r="E175" s="8">
        <f>E174*(1+D175)</f>
        <v/>
      </c>
    </row>
    <row r="176">
      <c r="A176" s="8" t="inlineStr">
        <is>
          <t>1933-03-01</t>
        </is>
      </c>
      <c r="B176" s="6" t="n">
        <v>8.91</v>
      </c>
      <c r="C176" s="8">
        <f>-PV(B176/100,$B$3,B175/100,1)</f>
        <v/>
      </c>
      <c r="D176" s="8">
        <f>B175/100/12+(C176-1)</f>
        <v/>
      </c>
      <c r="E176" s="8">
        <f>E175*(1+D176)</f>
        <v/>
      </c>
    </row>
    <row r="177">
      <c r="A177" s="8" t="inlineStr">
        <is>
          <t>1933-04-01</t>
        </is>
      </c>
      <c r="B177" s="6" t="n">
        <v>9.119999999999999</v>
      </c>
      <c r="C177" s="8">
        <f>-PV(B177/100,$B$3,B176/100,1)</f>
        <v/>
      </c>
      <c r="D177" s="8">
        <f>B176/100/12+(C177-1)</f>
        <v/>
      </c>
      <c r="E177" s="8">
        <f>E176*(1+D177)</f>
        <v/>
      </c>
    </row>
    <row r="178">
      <c r="A178" s="8" t="inlineStr">
        <is>
          <t>1933-05-01</t>
        </is>
      </c>
      <c r="B178" s="6" t="n">
        <v>7.74</v>
      </c>
      <c r="C178" s="8">
        <f>-PV(B178/100,$B$3,B177/100,1)</f>
        <v/>
      </c>
      <c r="D178" s="8">
        <f>B177/100/12+(C178-1)</f>
        <v/>
      </c>
      <c r="E178" s="8">
        <f>E177*(1+D178)</f>
        <v/>
      </c>
    </row>
    <row r="179">
      <c r="A179" s="8" t="inlineStr">
        <is>
          <t>1933-06-01</t>
        </is>
      </c>
      <c r="B179" s="6" t="n">
        <v>7.07</v>
      </c>
      <c r="C179" s="8">
        <f>-PV(B179/100,$B$3,B178/100,1)</f>
        <v/>
      </c>
      <c r="D179" s="8">
        <f>B178/100/12+(C179-1)</f>
        <v/>
      </c>
      <c r="E179" s="8">
        <f>E178*(1+D179)</f>
        <v/>
      </c>
    </row>
    <row r="180">
      <c r="A180" s="8" t="inlineStr">
        <is>
          <t>1933-07-01</t>
        </is>
      </c>
      <c r="B180" s="6" t="n">
        <v>6.62</v>
      </c>
      <c r="C180" s="8">
        <f>-PV(B180/100,$B$3,B179/100,1)</f>
        <v/>
      </c>
      <c r="D180" s="8">
        <f>B179/100/12+(C180-1)</f>
        <v/>
      </c>
      <c r="E180" s="8">
        <f>E179*(1+D180)</f>
        <v/>
      </c>
    </row>
    <row r="181">
      <c r="A181" s="8" t="inlineStr">
        <is>
          <t>1933-08-01</t>
        </is>
      </c>
      <c r="B181" s="6" t="n">
        <v>6.77</v>
      </c>
      <c r="C181" s="8">
        <f>-PV(B181/100,$B$3,B180/100,1)</f>
        <v/>
      </c>
      <c r="D181" s="8">
        <f>B180/100/12+(C181-1)</f>
        <v/>
      </c>
      <c r="E181" s="8">
        <f>E180*(1+D181)</f>
        <v/>
      </c>
    </row>
    <row r="182">
      <c r="A182" s="8" t="inlineStr">
        <is>
          <t>1933-09-01</t>
        </is>
      </c>
      <c r="B182" s="6" t="n">
        <v>7.27</v>
      </c>
      <c r="C182" s="8">
        <f>-PV(B182/100,$B$3,B181/100,1)</f>
        <v/>
      </c>
      <c r="D182" s="8">
        <f>B181/100/12+(C182-1)</f>
        <v/>
      </c>
      <c r="E182" s="8">
        <f>E181*(1+D182)</f>
        <v/>
      </c>
    </row>
    <row r="183">
      <c r="A183" s="8" t="inlineStr">
        <is>
          <t>1933-10-01</t>
        </is>
      </c>
      <c r="B183" s="6" t="n">
        <v>7.49</v>
      </c>
      <c r="C183" s="8">
        <f>-PV(B183/100,$B$3,B182/100,1)</f>
        <v/>
      </c>
      <c r="D183" s="8">
        <f>B182/100/12+(C183-1)</f>
        <v/>
      </c>
      <c r="E183" s="8">
        <f>E182*(1+D183)</f>
        <v/>
      </c>
    </row>
    <row r="184">
      <c r="A184" s="8" t="inlineStr">
        <is>
          <t>1933-11-01</t>
        </is>
      </c>
      <c r="B184" s="6" t="n">
        <v>7.98</v>
      </c>
      <c r="C184" s="8">
        <f>-PV(B184/100,$B$3,B183/100,1)</f>
        <v/>
      </c>
      <c r="D184" s="8">
        <f>B183/100/12+(C184-1)</f>
        <v/>
      </c>
      <c r="E184" s="8">
        <f>E183*(1+D184)</f>
        <v/>
      </c>
    </row>
    <row r="185">
      <c r="A185" s="8" t="inlineStr">
        <is>
          <t>1933-12-01</t>
        </is>
      </c>
      <c r="B185" s="6" t="n">
        <v>7.75</v>
      </c>
      <c r="C185" s="8">
        <f>-PV(B185/100,$B$3,B184/100,1)</f>
        <v/>
      </c>
      <c r="D185" s="8">
        <f>B184/100/12+(C185-1)</f>
        <v/>
      </c>
      <c r="E185" s="8">
        <f>E184*(1+D185)</f>
        <v/>
      </c>
    </row>
    <row r="186">
      <c r="A186" s="8" t="inlineStr">
        <is>
          <t>1934-01-01</t>
        </is>
      </c>
      <c r="B186" s="6" t="n">
        <v>7.01</v>
      </c>
      <c r="C186" s="8">
        <f>-PV(B186/100,$B$3,B185/100,1)</f>
        <v/>
      </c>
      <c r="D186" s="8">
        <f>B185/100/12+(C186-1)</f>
        <v/>
      </c>
      <c r="E186" s="8">
        <f>E185*(1+D186)</f>
        <v/>
      </c>
    </row>
    <row r="187">
      <c r="A187" s="8" t="inlineStr">
        <is>
          <t>1934-02-01</t>
        </is>
      </c>
      <c r="B187" s="6" t="n">
        <v>6.27</v>
      </c>
      <c r="C187" s="8">
        <f>-PV(B187/100,$B$3,B186/100,1)</f>
        <v/>
      </c>
      <c r="D187" s="8">
        <f>B186/100/12+(C187-1)</f>
        <v/>
      </c>
      <c r="E187" s="8">
        <f>E186*(1+D187)</f>
        <v/>
      </c>
    </row>
    <row r="188">
      <c r="A188" s="8" t="inlineStr">
        <is>
          <t>1934-03-01</t>
        </is>
      </c>
      <c r="B188" s="6" t="n">
        <v>6.26</v>
      </c>
      <c r="C188" s="8">
        <f>-PV(B188/100,$B$3,B187/100,1)</f>
        <v/>
      </c>
      <c r="D188" s="8">
        <f>B187/100/12+(C188-1)</f>
        <v/>
      </c>
      <c r="E188" s="8">
        <f>E187*(1+D188)</f>
        <v/>
      </c>
    </row>
    <row r="189">
      <c r="A189" s="8" t="inlineStr">
        <is>
          <t>1934-04-01</t>
        </is>
      </c>
      <c r="B189" s="6" t="n">
        <v>6.01</v>
      </c>
      <c r="C189" s="8">
        <f>-PV(B189/100,$B$3,B188/100,1)</f>
        <v/>
      </c>
      <c r="D189" s="8">
        <f>B188/100/12+(C189-1)</f>
        <v/>
      </c>
      <c r="E189" s="8">
        <f>E188*(1+D189)</f>
        <v/>
      </c>
    </row>
    <row r="190">
      <c r="A190" s="8" t="inlineStr">
        <is>
          <t>1934-05-01</t>
        </is>
      </c>
      <c r="B190" s="6" t="n">
        <v>6.05</v>
      </c>
      <c r="C190" s="8">
        <f>-PV(B190/100,$B$3,B189/100,1)</f>
        <v/>
      </c>
      <c r="D190" s="8">
        <f>B189/100/12+(C190-1)</f>
        <v/>
      </c>
      <c r="E190" s="8">
        <f>E189*(1+D190)</f>
        <v/>
      </c>
    </row>
    <row r="191">
      <c r="A191" s="8" t="inlineStr">
        <is>
          <t>1934-06-01</t>
        </is>
      </c>
      <c r="B191" s="6" t="n">
        <v>6.06</v>
      </c>
      <c r="C191" s="8">
        <f>-PV(B191/100,$B$3,B190/100,1)</f>
        <v/>
      </c>
      <c r="D191" s="8">
        <f>B190/100/12+(C191-1)</f>
        <v/>
      </c>
      <c r="E191" s="8">
        <f>E190*(1+D191)</f>
        <v/>
      </c>
    </row>
    <row r="192">
      <c r="A192" s="8" t="inlineStr">
        <is>
          <t>1934-07-01</t>
        </is>
      </c>
      <c r="B192" s="6" t="n">
        <v>6.13</v>
      </c>
      <c r="C192" s="8">
        <f>-PV(B192/100,$B$3,B191/100,1)</f>
        <v/>
      </c>
      <c r="D192" s="8">
        <f>B191/100/12+(C192-1)</f>
        <v/>
      </c>
      <c r="E192" s="8">
        <f>E191*(1+D192)</f>
        <v/>
      </c>
    </row>
    <row r="193">
      <c r="A193" s="8" t="inlineStr">
        <is>
          <t>1934-08-01</t>
        </is>
      </c>
      <c r="B193" s="6" t="n">
        <v>6.49</v>
      </c>
      <c r="C193" s="8">
        <f>-PV(B193/100,$B$3,B192/100,1)</f>
        <v/>
      </c>
      <c r="D193" s="8">
        <f>B192/100/12+(C193-1)</f>
        <v/>
      </c>
      <c r="E193" s="8">
        <f>E192*(1+D193)</f>
        <v/>
      </c>
    </row>
    <row r="194">
      <c r="A194" s="8" t="inlineStr">
        <is>
          <t>1934-09-01</t>
        </is>
      </c>
      <c r="B194" s="6" t="n">
        <v>6.57</v>
      </c>
      <c r="C194" s="8">
        <f>-PV(B194/100,$B$3,B193/100,1)</f>
        <v/>
      </c>
      <c r="D194" s="8">
        <f>B193/100/12+(C194-1)</f>
        <v/>
      </c>
      <c r="E194" s="8">
        <f>E193*(1+D194)</f>
        <v/>
      </c>
    </row>
    <row r="195">
      <c r="A195" s="8" t="inlineStr">
        <is>
          <t>1934-10-01</t>
        </is>
      </c>
      <c r="B195" s="6" t="n">
        <v>6.4</v>
      </c>
      <c r="C195" s="8">
        <f>-PV(B195/100,$B$3,B194/100,1)</f>
        <v/>
      </c>
      <c r="D195" s="8">
        <f>B194/100/12+(C195-1)</f>
        <v/>
      </c>
      <c r="E195" s="8">
        <f>E194*(1+D195)</f>
        <v/>
      </c>
    </row>
    <row r="196">
      <c r="A196" s="8" t="inlineStr">
        <is>
          <t>1934-11-01</t>
        </is>
      </c>
      <c r="B196" s="6" t="n">
        <v>6.37</v>
      </c>
      <c r="C196" s="8">
        <f>-PV(B196/100,$B$3,B195/100,1)</f>
        <v/>
      </c>
      <c r="D196" s="8">
        <f>B195/100/12+(C196-1)</f>
        <v/>
      </c>
      <c r="E196" s="8">
        <f>E195*(1+D196)</f>
        <v/>
      </c>
    </row>
    <row r="197">
      <c r="A197" s="8" t="inlineStr">
        <is>
          <t>1934-12-01</t>
        </is>
      </c>
      <c r="B197" s="6" t="n">
        <v>6.23</v>
      </c>
      <c r="C197" s="8">
        <f>-PV(B197/100,$B$3,B196/100,1)</f>
        <v/>
      </c>
      <c r="D197" s="8">
        <f>B196/100/12+(C197-1)</f>
        <v/>
      </c>
      <c r="E197" s="8">
        <f>E196*(1+D197)</f>
        <v/>
      </c>
    </row>
    <row r="198">
      <c r="A198" s="8" t="inlineStr">
        <is>
          <t>1935-01-01</t>
        </is>
      </c>
      <c r="B198" s="6" t="n">
        <v>5.98</v>
      </c>
      <c r="C198" s="8">
        <f>-PV(B198/100,$B$3,B197/100,1)</f>
        <v/>
      </c>
      <c r="D198" s="8">
        <f>B197/100/12+(C198-1)</f>
        <v/>
      </c>
      <c r="E198" s="8">
        <f>E197*(1+D198)</f>
        <v/>
      </c>
    </row>
    <row r="199">
      <c r="A199" s="8" t="inlineStr">
        <is>
          <t>1935-02-01</t>
        </is>
      </c>
      <c r="B199" s="6" t="n">
        <v>5.95</v>
      </c>
      <c r="C199" s="8">
        <f>-PV(B199/100,$B$3,B198/100,1)</f>
        <v/>
      </c>
      <c r="D199" s="8">
        <f>B198/100/12+(C199-1)</f>
        <v/>
      </c>
      <c r="E199" s="8">
        <f>E198*(1+D199)</f>
        <v/>
      </c>
    </row>
    <row r="200">
      <c r="A200" s="8" t="inlineStr">
        <is>
          <t>1935-03-01</t>
        </is>
      </c>
      <c r="B200" s="6" t="n">
        <v>6.2</v>
      </c>
      <c r="C200" s="8">
        <f>-PV(B200/100,$B$3,B199/100,1)</f>
        <v/>
      </c>
      <c r="D200" s="8">
        <f>B199/100/12+(C200-1)</f>
        <v/>
      </c>
      <c r="E200" s="8">
        <f>E199*(1+D200)</f>
        <v/>
      </c>
    </row>
    <row r="201">
      <c r="A201" s="8" t="inlineStr">
        <is>
          <t>1935-04-01</t>
        </is>
      </c>
      <c r="B201" s="6" t="n">
        <v>6.13</v>
      </c>
      <c r="C201" s="8">
        <f>-PV(B201/100,$B$3,B200/100,1)</f>
        <v/>
      </c>
      <c r="D201" s="8">
        <f>B200/100/12+(C201-1)</f>
        <v/>
      </c>
      <c r="E201" s="8">
        <f>E200*(1+D201)</f>
        <v/>
      </c>
    </row>
    <row r="202">
      <c r="A202" s="8" t="inlineStr">
        <is>
          <t>1935-05-01</t>
        </is>
      </c>
      <c r="B202" s="6" t="n">
        <v>5.94</v>
      </c>
      <c r="C202" s="8">
        <f>-PV(B202/100,$B$3,B201/100,1)</f>
        <v/>
      </c>
      <c r="D202" s="8">
        <f>B201/100/12+(C202-1)</f>
        <v/>
      </c>
      <c r="E202" s="8">
        <f>E201*(1+D202)</f>
        <v/>
      </c>
    </row>
    <row r="203">
      <c r="A203" s="8" t="inlineStr">
        <is>
          <t>1935-06-01</t>
        </is>
      </c>
      <c r="B203" s="6" t="n">
        <v>5.77</v>
      </c>
      <c r="C203" s="8">
        <f>-PV(B203/100,$B$3,B202/100,1)</f>
        <v/>
      </c>
      <c r="D203" s="8">
        <f>B202/100/12+(C203-1)</f>
        <v/>
      </c>
      <c r="E203" s="8">
        <f>E202*(1+D203)</f>
        <v/>
      </c>
    </row>
    <row r="204">
      <c r="A204" s="8" t="inlineStr">
        <is>
          <t>1935-07-01</t>
        </is>
      </c>
      <c r="B204" s="6" t="n">
        <v>5.67</v>
      </c>
      <c r="C204" s="8">
        <f>-PV(B204/100,$B$3,B203/100,1)</f>
        <v/>
      </c>
      <c r="D204" s="8">
        <f>B203/100/12+(C204-1)</f>
        <v/>
      </c>
      <c r="E204" s="8">
        <f>E203*(1+D204)</f>
        <v/>
      </c>
    </row>
    <row r="205">
      <c r="A205" s="8" t="inlineStr">
        <is>
          <t>1935-08-01</t>
        </is>
      </c>
      <c r="B205" s="6" t="n">
        <v>5.58</v>
      </c>
      <c r="C205" s="8">
        <f>-PV(B205/100,$B$3,B204/100,1)</f>
        <v/>
      </c>
      <c r="D205" s="8">
        <f>B204/100/12+(C205-1)</f>
        <v/>
      </c>
      <c r="E205" s="8">
        <f>E204*(1+D205)</f>
        <v/>
      </c>
    </row>
    <row r="206">
      <c r="A206" s="8" t="inlineStr">
        <is>
          <t>1935-09-01</t>
        </is>
      </c>
      <c r="B206" s="6" t="n">
        <v>5.53</v>
      </c>
      <c r="C206" s="8">
        <f>-PV(B206/100,$B$3,B205/100,1)</f>
        <v/>
      </c>
      <c r="D206" s="8">
        <f>B205/100/12+(C206-1)</f>
        <v/>
      </c>
      <c r="E206" s="8">
        <f>E205*(1+D206)</f>
        <v/>
      </c>
    </row>
    <row r="207">
      <c r="A207" s="8" t="inlineStr">
        <is>
          <t>1935-10-01</t>
        </is>
      </c>
      <c r="B207" s="6" t="n">
        <v>5.54</v>
      </c>
      <c r="C207" s="8">
        <f>-PV(B207/100,$B$3,B206/100,1)</f>
        <v/>
      </c>
      <c r="D207" s="8">
        <f>B206/100/12+(C207-1)</f>
        <v/>
      </c>
      <c r="E207" s="8">
        <f>E206*(1+D207)</f>
        <v/>
      </c>
    </row>
    <row r="208">
      <c r="A208" s="8" t="inlineStr">
        <is>
          <t>1935-11-01</t>
        </is>
      </c>
      <c r="B208" s="6" t="n">
        <v>5.43</v>
      </c>
      <c r="C208" s="8">
        <f>-PV(B208/100,$B$3,B207/100,1)</f>
        <v/>
      </c>
      <c r="D208" s="8">
        <f>B207/100/12+(C208-1)</f>
        <v/>
      </c>
      <c r="E208" s="8">
        <f>E207*(1+D208)</f>
        <v/>
      </c>
    </row>
    <row r="209">
      <c r="A209" s="8" t="inlineStr">
        <is>
          <t>1935-12-01</t>
        </is>
      </c>
      <c r="B209" s="6" t="n">
        <v>5.3</v>
      </c>
      <c r="C209" s="8">
        <f>-PV(B209/100,$B$3,B208/100,1)</f>
        <v/>
      </c>
      <c r="D209" s="8">
        <f>B208/100/12+(C209-1)</f>
        <v/>
      </c>
      <c r="E209" s="8">
        <f>E208*(1+D209)</f>
        <v/>
      </c>
    </row>
    <row r="210">
      <c r="A210" s="8" t="inlineStr">
        <is>
          <t>1936-01-01</t>
        </is>
      </c>
      <c r="B210" s="6" t="n">
        <v>5</v>
      </c>
      <c r="C210" s="8">
        <f>-PV(B210/100,$B$3,B209/100,1)</f>
        <v/>
      </c>
      <c r="D210" s="8">
        <f>B209/100/12+(C210-1)</f>
        <v/>
      </c>
      <c r="E210" s="8">
        <f>E209*(1+D210)</f>
        <v/>
      </c>
    </row>
    <row r="211">
      <c r="A211" s="8" t="inlineStr">
        <is>
          <t>1936-02-01</t>
        </is>
      </c>
      <c r="B211" s="6" t="n">
        <v>4.8</v>
      </c>
      <c r="C211" s="8">
        <f>-PV(B211/100,$B$3,B210/100,1)</f>
        <v/>
      </c>
      <c r="D211" s="8">
        <f>B210/100/12+(C211-1)</f>
        <v/>
      </c>
      <c r="E211" s="8">
        <f>E210*(1+D211)</f>
        <v/>
      </c>
    </row>
    <row r="212">
      <c r="A212" s="8" t="inlineStr">
        <is>
          <t>1936-03-01</t>
        </is>
      </c>
      <c r="B212" s="6" t="n">
        <v>4.86</v>
      </c>
      <c r="C212" s="8">
        <f>-PV(B212/100,$B$3,B211/100,1)</f>
        <v/>
      </c>
      <c r="D212" s="8">
        <f>B211/100/12+(C212-1)</f>
        <v/>
      </c>
      <c r="E212" s="8">
        <f>E211*(1+D212)</f>
        <v/>
      </c>
    </row>
    <row r="213">
      <c r="A213" s="8" t="inlineStr">
        <is>
          <t>1936-04-01</t>
        </is>
      </c>
      <c r="B213" s="6" t="n">
        <v>4.91</v>
      </c>
      <c r="C213" s="8">
        <f>-PV(B213/100,$B$3,B212/100,1)</f>
        <v/>
      </c>
      <c r="D213" s="8">
        <f>B212/100/12+(C213-1)</f>
        <v/>
      </c>
      <c r="E213" s="8">
        <f>E212*(1+D213)</f>
        <v/>
      </c>
    </row>
    <row r="214">
      <c r="A214" s="8" t="inlineStr">
        <is>
          <t>1936-05-01</t>
        </is>
      </c>
      <c r="B214" s="6" t="n">
        <v>4.94</v>
      </c>
      <c r="C214" s="8">
        <f>-PV(B214/100,$B$3,B213/100,1)</f>
        <v/>
      </c>
      <c r="D214" s="8">
        <f>B213/100/12+(C214-1)</f>
        <v/>
      </c>
      <c r="E214" s="8">
        <f>E213*(1+D214)</f>
        <v/>
      </c>
    </row>
    <row r="215">
      <c r="A215" s="8" t="inlineStr">
        <is>
          <t>1936-06-01</t>
        </is>
      </c>
      <c r="B215" s="6" t="n">
        <v>4.9</v>
      </c>
      <c r="C215" s="8">
        <f>-PV(B215/100,$B$3,B214/100,1)</f>
        <v/>
      </c>
      <c r="D215" s="8">
        <f>B214/100/12+(C215-1)</f>
        <v/>
      </c>
      <c r="E215" s="8">
        <f>E214*(1+D215)</f>
        <v/>
      </c>
    </row>
    <row r="216">
      <c r="A216" s="8" t="inlineStr">
        <is>
          <t>1936-07-01</t>
        </is>
      </c>
      <c r="B216" s="6" t="n">
        <v>4.84</v>
      </c>
      <c r="C216" s="8">
        <f>-PV(B216/100,$B$3,B215/100,1)</f>
        <v/>
      </c>
      <c r="D216" s="8">
        <f>B215/100/12+(C216-1)</f>
        <v/>
      </c>
      <c r="E216" s="8">
        <f>E215*(1+D216)</f>
        <v/>
      </c>
    </row>
    <row r="217">
      <c r="A217" s="8" t="inlineStr">
        <is>
          <t>1936-08-01</t>
        </is>
      </c>
      <c r="B217" s="6" t="n">
        <v>4.74</v>
      </c>
      <c r="C217" s="8">
        <f>-PV(B217/100,$B$3,B216/100,1)</f>
        <v/>
      </c>
      <c r="D217" s="8">
        <f>B216/100/12+(C217-1)</f>
        <v/>
      </c>
      <c r="E217" s="8">
        <f>E216*(1+D217)</f>
        <v/>
      </c>
    </row>
    <row r="218">
      <c r="A218" s="8" t="inlineStr">
        <is>
          <t>1936-09-01</t>
        </is>
      </c>
      <c r="B218" s="6" t="n">
        <v>4.62</v>
      </c>
      <c r="C218" s="8">
        <f>-PV(B218/100,$B$3,B217/100,1)</f>
        <v/>
      </c>
      <c r="D218" s="8">
        <f>B217/100/12+(C218-1)</f>
        <v/>
      </c>
      <c r="E218" s="8">
        <f>E217*(1+D218)</f>
        <v/>
      </c>
    </row>
    <row r="219">
      <c r="A219" s="8" t="inlineStr">
        <is>
          <t>1936-10-01</t>
        </is>
      </c>
      <c r="B219" s="6" t="n">
        <v>4.54</v>
      </c>
      <c r="C219" s="8">
        <f>-PV(B219/100,$B$3,B218/100,1)</f>
        <v/>
      </c>
      <c r="D219" s="8">
        <f>B218/100/12+(C219-1)</f>
        <v/>
      </c>
      <c r="E219" s="8">
        <f>E218*(1+D219)</f>
        <v/>
      </c>
    </row>
    <row r="220">
      <c r="A220" s="8" t="inlineStr">
        <is>
          <t>1936-11-01</t>
        </is>
      </c>
      <c r="B220" s="6" t="n">
        <v>4.52</v>
      </c>
      <c r="C220" s="8">
        <f>-PV(B220/100,$B$3,B219/100,1)</f>
        <v/>
      </c>
      <c r="D220" s="8">
        <f>B219/100/12+(C220-1)</f>
        <v/>
      </c>
      <c r="E220" s="8">
        <f>E219*(1+D220)</f>
        <v/>
      </c>
    </row>
    <row r="221">
      <c r="A221" s="8" t="inlineStr">
        <is>
          <t>1936-12-01</t>
        </is>
      </c>
      <c r="B221" s="6" t="n">
        <v>4.53</v>
      </c>
      <c r="C221" s="8">
        <f>-PV(B221/100,$B$3,B220/100,1)</f>
        <v/>
      </c>
      <c r="D221" s="8">
        <f>B220/100/12+(C221-1)</f>
        <v/>
      </c>
      <c r="E221" s="8">
        <f>E220*(1+D221)</f>
        <v/>
      </c>
    </row>
    <row r="222">
      <c r="A222" s="8" t="inlineStr">
        <is>
          <t>1937-01-01</t>
        </is>
      </c>
      <c r="B222" s="6" t="n">
        <v>4.49</v>
      </c>
      <c r="C222" s="8">
        <f>-PV(B222/100,$B$3,B221/100,1)</f>
        <v/>
      </c>
      <c r="D222" s="8">
        <f>B221/100/12+(C222-1)</f>
        <v/>
      </c>
      <c r="E222" s="8">
        <f>E221*(1+D222)</f>
        <v/>
      </c>
    </row>
    <row r="223">
      <c r="A223" s="8" t="inlineStr">
        <is>
          <t>1937-02-01</t>
        </is>
      </c>
      <c r="B223" s="6" t="n">
        <v>4.53</v>
      </c>
      <c r="C223" s="8">
        <f>-PV(B223/100,$B$3,B222/100,1)</f>
        <v/>
      </c>
      <c r="D223" s="8">
        <f>B222/100/12+(C223-1)</f>
        <v/>
      </c>
      <c r="E223" s="8">
        <f>E222*(1+D223)</f>
        <v/>
      </c>
    </row>
    <row r="224">
      <c r="A224" s="8" t="inlineStr">
        <is>
          <t>1937-03-01</t>
        </is>
      </c>
      <c r="B224" s="6" t="n">
        <v>4.68</v>
      </c>
      <c r="C224" s="8">
        <f>-PV(B224/100,$B$3,B223/100,1)</f>
        <v/>
      </c>
      <c r="D224" s="8">
        <f>B223/100/12+(C224-1)</f>
        <v/>
      </c>
      <c r="E224" s="8">
        <f>E223*(1+D224)</f>
        <v/>
      </c>
    </row>
    <row r="225">
      <c r="A225" s="8" t="inlineStr">
        <is>
          <t>1937-04-01</t>
        </is>
      </c>
      <c r="B225" s="6" t="n">
        <v>4.84</v>
      </c>
      <c r="C225" s="8">
        <f>-PV(B225/100,$B$3,B224/100,1)</f>
        <v/>
      </c>
      <c r="D225" s="8">
        <f>B224/100/12+(C225-1)</f>
        <v/>
      </c>
      <c r="E225" s="8">
        <f>E224*(1+D225)</f>
        <v/>
      </c>
    </row>
    <row r="226">
      <c r="A226" s="8" t="inlineStr">
        <is>
          <t>1937-05-01</t>
        </is>
      </c>
      <c r="B226" s="6" t="n">
        <v>4.84</v>
      </c>
      <c r="C226" s="8">
        <f>-PV(B226/100,$B$3,B225/100,1)</f>
        <v/>
      </c>
      <c r="D226" s="8">
        <f>B225/100/12+(C226-1)</f>
        <v/>
      </c>
      <c r="E226" s="8">
        <f>E225*(1+D226)</f>
        <v/>
      </c>
    </row>
    <row r="227">
      <c r="A227" s="8" t="inlineStr">
        <is>
          <t>1937-06-01</t>
        </is>
      </c>
      <c r="B227" s="6" t="n">
        <v>4.93</v>
      </c>
      <c r="C227" s="8">
        <f>-PV(B227/100,$B$3,B226/100,1)</f>
        <v/>
      </c>
      <c r="D227" s="8">
        <f>B226/100/12+(C227-1)</f>
        <v/>
      </c>
      <c r="E227" s="8">
        <f>E226*(1+D227)</f>
        <v/>
      </c>
    </row>
    <row r="228">
      <c r="A228" s="8" t="inlineStr">
        <is>
          <t>1937-07-01</t>
        </is>
      </c>
      <c r="B228" s="6" t="n">
        <v>4.91</v>
      </c>
      <c r="C228" s="8">
        <f>-PV(B228/100,$B$3,B227/100,1)</f>
        <v/>
      </c>
      <c r="D228" s="8">
        <f>B227/100/12+(C228-1)</f>
        <v/>
      </c>
      <c r="E228" s="8">
        <f>E227*(1+D228)</f>
        <v/>
      </c>
    </row>
    <row r="229">
      <c r="A229" s="8" t="inlineStr">
        <is>
          <t>1937-08-01</t>
        </is>
      </c>
      <c r="B229" s="6" t="n">
        <v>4.92</v>
      </c>
      <c r="C229" s="8">
        <f>-PV(B229/100,$B$3,B228/100,1)</f>
        <v/>
      </c>
      <c r="D229" s="8">
        <f>B228/100/12+(C229-1)</f>
        <v/>
      </c>
      <c r="E229" s="8">
        <f>E228*(1+D229)</f>
        <v/>
      </c>
    </row>
    <row r="230">
      <c r="A230" s="8" t="inlineStr">
        <is>
          <t>1937-09-01</t>
        </is>
      </c>
      <c r="B230" s="6" t="n">
        <v>5.16</v>
      </c>
      <c r="C230" s="8">
        <f>-PV(B230/100,$B$3,B229/100,1)</f>
        <v/>
      </c>
      <c r="D230" s="8">
        <f>B229/100/12+(C230-1)</f>
        <v/>
      </c>
      <c r="E230" s="8">
        <f>E229*(1+D230)</f>
        <v/>
      </c>
    </row>
    <row r="231">
      <c r="A231" s="8" t="inlineStr">
        <is>
          <t>1937-10-01</t>
        </is>
      </c>
      <c r="B231" s="6" t="n">
        <v>5.52</v>
      </c>
      <c r="C231" s="8">
        <f>-PV(B231/100,$B$3,B230/100,1)</f>
        <v/>
      </c>
      <c r="D231" s="8">
        <f>B230/100/12+(C231-1)</f>
        <v/>
      </c>
      <c r="E231" s="8">
        <f>E230*(1+D231)</f>
        <v/>
      </c>
    </row>
    <row r="232">
      <c r="A232" s="8" t="inlineStr">
        <is>
          <t>1937-11-01</t>
        </is>
      </c>
      <c r="B232" s="6" t="n">
        <v>5.82</v>
      </c>
      <c r="C232" s="8">
        <f>-PV(B232/100,$B$3,B231/100,1)</f>
        <v/>
      </c>
      <c r="D232" s="8">
        <f>B231/100/12+(C232-1)</f>
        <v/>
      </c>
      <c r="E232" s="8">
        <f>E231*(1+D232)</f>
        <v/>
      </c>
    </row>
    <row r="233">
      <c r="A233" s="8" t="inlineStr">
        <is>
          <t>1937-12-01</t>
        </is>
      </c>
      <c r="B233" s="6" t="n">
        <v>5.73</v>
      </c>
      <c r="C233" s="8">
        <f>-PV(B233/100,$B$3,B232/100,1)</f>
        <v/>
      </c>
      <c r="D233" s="8">
        <f>B232/100/12+(C233-1)</f>
        <v/>
      </c>
      <c r="E233" s="8">
        <f>E232*(1+D233)</f>
        <v/>
      </c>
    </row>
    <row r="234">
      <c r="A234" s="8" t="inlineStr">
        <is>
          <t>1938-01-01</t>
        </is>
      </c>
      <c r="B234" s="6" t="n">
        <v>5.89</v>
      </c>
      <c r="C234" s="8">
        <f>-PV(B234/100,$B$3,B233/100,1)</f>
        <v/>
      </c>
      <c r="D234" s="8">
        <f>B233/100/12+(C234-1)</f>
        <v/>
      </c>
      <c r="E234" s="8">
        <f>E233*(1+D234)</f>
        <v/>
      </c>
    </row>
    <row r="235">
      <c r="A235" s="8" t="inlineStr">
        <is>
          <t>1938-02-01</t>
        </is>
      </c>
      <c r="B235" s="6" t="n">
        <v>5.97</v>
      </c>
      <c r="C235" s="8">
        <f>-PV(B235/100,$B$3,B234/100,1)</f>
        <v/>
      </c>
      <c r="D235" s="8">
        <f>B234/100/12+(C235-1)</f>
        <v/>
      </c>
      <c r="E235" s="8">
        <f>E234*(1+D235)</f>
        <v/>
      </c>
    </row>
    <row r="236">
      <c r="A236" s="8" t="inlineStr">
        <is>
          <t>1938-03-01</t>
        </is>
      </c>
      <c r="B236" s="6" t="n">
        <v>6.3</v>
      </c>
      <c r="C236" s="8">
        <f>-PV(B236/100,$B$3,B235/100,1)</f>
        <v/>
      </c>
      <c r="D236" s="8">
        <f>B235/100/12+(C236-1)</f>
        <v/>
      </c>
      <c r="E236" s="8">
        <f>E235*(1+D236)</f>
        <v/>
      </c>
    </row>
    <row r="237">
      <c r="A237" s="8" t="inlineStr">
        <is>
          <t>1938-04-01</t>
        </is>
      </c>
      <c r="B237" s="6" t="n">
        <v>6.47</v>
      </c>
      <c r="C237" s="8">
        <f>-PV(B237/100,$B$3,B236/100,1)</f>
        <v/>
      </c>
      <c r="D237" s="8">
        <f>B236/100/12+(C237-1)</f>
        <v/>
      </c>
      <c r="E237" s="8">
        <f>E236*(1+D237)</f>
        <v/>
      </c>
    </row>
    <row r="238">
      <c r="A238" s="8" t="inlineStr">
        <is>
          <t>1938-05-01</t>
        </is>
      </c>
      <c r="B238" s="6" t="n">
        <v>6.06</v>
      </c>
      <c r="C238" s="8">
        <f>-PV(B238/100,$B$3,B237/100,1)</f>
        <v/>
      </c>
      <c r="D238" s="8">
        <f>B237/100/12+(C238-1)</f>
        <v/>
      </c>
      <c r="E238" s="8">
        <f>E237*(1+D238)</f>
        <v/>
      </c>
    </row>
    <row r="239">
      <c r="A239" s="8" t="inlineStr">
        <is>
          <t>1938-06-01</t>
        </is>
      </c>
      <c r="B239" s="6" t="n">
        <v>6.25</v>
      </c>
      <c r="C239" s="8">
        <f>-PV(B239/100,$B$3,B238/100,1)</f>
        <v/>
      </c>
      <c r="D239" s="8">
        <f>B238/100/12+(C239-1)</f>
        <v/>
      </c>
      <c r="E239" s="8">
        <f>E238*(1+D239)</f>
        <v/>
      </c>
    </row>
    <row r="240">
      <c r="A240" s="8" t="inlineStr">
        <is>
          <t>1938-07-01</t>
        </is>
      </c>
      <c r="B240" s="6" t="n">
        <v>5.63</v>
      </c>
      <c r="C240" s="8">
        <f>-PV(B240/100,$B$3,B239/100,1)</f>
        <v/>
      </c>
      <c r="D240" s="8">
        <f>B239/100/12+(C240-1)</f>
        <v/>
      </c>
      <c r="E240" s="8">
        <f>E239*(1+D240)</f>
        <v/>
      </c>
    </row>
    <row r="241">
      <c r="A241" s="8" t="inlineStr">
        <is>
          <t>1938-08-01</t>
        </is>
      </c>
      <c r="B241" s="6" t="n">
        <v>5.49</v>
      </c>
      <c r="C241" s="8">
        <f>-PV(B241/100,$B$3,B240/100,1)</f>
        <v/>
      </c>
      <c r="D241" s="8">
        <f>B240/100/12+(C241-1)</f>
        <v/>
      </c>
      <c r="E241" s="8">
        <f>E240*(1+D241)</f>
        <v/>
      </c>
    </row>
    <row r="242">
      <c r="A242" s="8" t="inlineStr">
        <is>
          <t>1938-09-01</t>
        </is>
      </c>
      <c r="B242" s="6" t="n">
        <v>5.65</v>
      </c>
      <c r="C242" s="8">
        <f>-PV(B242/100,$B$3,B241/100,1)</f>
        <v/>
      </c>
      <c r="D242" s="8">
        <f>B241/100/12+(C242-1)</f>
        <v/>
      </c>
      <c r="E242" s="8">
        <f>E241*(1+D242)</f>
        <v/>
      </c>
    </row>
    <row r="243">
      <c r="A243" s="8" t="inlineStr">
        <is>
          <t>1938-10-01</t>
        </is>
      </c>
      <c r="B243" s="6" t="n">
        <v>5.36</v>
      </c>
      <c r="C243" s="8">
        <f>-PV(B243/100,$B$3,B242/100,1)</f>
        <v/>
      </c>
      <c r="D243" s="8">
        <f>B242/100/12+(C243-1)</f>
        <v/>
      </c>
      <c r="E243" s="8">
        <f>E242*(1+D243)</f>
        <v/>
      </c>
    </row>
    <row r="244">
      <c r="A244" s="8" t="inlineStr">
        <is>
          <t>1938-11-01</t>
        </is>
      </c>
      <c r="B244" s="6" t="n">
        <v>5.23</v>
      </c>
      <c r="C244" s="8">
        <f>-PV(B244/100,$B$3,B243/100,1)</f>
        <v/>
      </c>
      <c r="D244" s="8">
        <f>B243/100/12+(C244-1)</f>
        <v/>
      </c>
      <c r="E244" s="8">
        <f>E243*(1+D244)</f>
        <v/>
      </c>
    </row>
    <row r="245">
      <c r="A245" s="8" t="inlineStr">
        <is>
          <t>1938-12-01</t>
        </is>
      </c>
      <c r="B245" s="6" t="n">
        <v>5.27</v>
      </c>
      <c r="C245" s="8">
        <f>-PV(B245/100,$B$3,B244/100,1)</f>
        <v/>
      </c>
      <c r="D245" s="8">
        <f>B244/100/12+(C245-1)</f>
        <v/>
      </c>
      <c r="E245" s="8">
        <f>E244*(1+D245)</f>
        <v/>
      </c>
    </row>
    <row r="246">
      <c r="A246" s="8" t="inlineStr">
        <is>
          <t>1939-01-01</t>
        </is>
      </c>
      <c r="B246" s="6" t="n">
        <v>5.12</v>
      </c>
      <c r="C246" s="8">
        <f>-PV(B246/100,$B$3,B245/100,1)</f>
        <v/>
      </c>
      <c r="D246" s="8">
        <f>B245/100/12+(C246-1)</f>
        <v/>
      </c>
      <c r="E246" s="8">
        <f>E245*(1+D246)</f>
        <v/>
      </c>
    </row>
    <row r="247">
      <c r="A247" s="8" t="inlineStr">
        <is>
          <t>1939-02-01</t>
        </is>
      </c>
      <c r="B247" s="6" t="n">
        <v>5.05</v>
      </c>
      <c r="C247" s="8">
        <f>-PV(B247/100,$B$3,B246/100,1)</f>
        <v/>
      </c>
      <c r="D247" s="8">
        <f>B246/100/12+(C247-1)</f>
        <v/>
      </c>
      <c r="E247" s="8">
        <f>E246*(1+D247)</f>
        <v/>
      </c>
    </row>
    <row r="248">
      <c r="A248" s="8" t="inlineStr">
        <is>
          <t>1939-03-01</t>
        </is>
      </c>
      <c r="B248" s="6" t="n">
        <v>4.89</v>
      </c>
      <c r="C248" s="8">
        <f>-PV(B248/100,$B$3,B247/100,1)</f>
        <v/>
      </c>
      <c r="D248" s="8">
        <f>B247/100/12+(C248-1)</f>
        <v/>
      </c>
      <c r="E248" s="8">
        <f>E247*(1+D248)</f>
        <v/>
      </c>
    </row>
    <row r="249">
      <c r="A249" s="8" t="inlineStr">
        <is>
          <t>1939-04-01</t>
        </is>
      </c>
      <c r="B249" s="6" t="n">
        <v>5.15</v>
      </c>
      <c r="C249" s="8">
        <f>-PV(B249/100,$B$3,B248/100,1)</f>
        <v/>
      </c>
      <c r="D249" s="8">
        <f>B248/100/12+(C249-1)</f>
        <v/>
      </c>
      <c r="E249" s="8">
        <f>E248*(1+D249)</f>
        <v/>
      </c>
    </row>
    <row r="250">
      <c r="A250" s="8" t="inlineStr">
        <is>
          <t>1939-05-01</t>
        </is>
      </c>
      <c r="B250" s="6" t="n">
        <v>5.07</v>
      </c>
      <c r="C250" s="8">
        <f>-PV(B250/100,$B$3,B249/100,1)</f>
        <v/>
      </c>
      <c r="D250" s="8">
        <f>B249/100/12+(C250-1)</f>
        <v/>
      </c>
      <c r="E250" s="8">
        <f>E249*(1+D250)</f>
        <v/>
      </c>
    </row>
    <row r="251">
      <c r="A251" s="8" t="inlineStr">
        <is>
          <t>1939-06-01</t>
        </is>
      </c>
      <c r="B251" s="6" t="n">
        <v>4.91</v>
      </c>
      <c r="C251" s="8">
        <f>-PV(B251/100,$B$3,B250/100,1)</f>
        <v/>
      </c>
      <c r="D251" s="8">
        <f>B250/100/12+(C251-1)</f>
        <v/>
      </c>
      <c r="E251" s="8">
        <f>E250*(1+D251)</f>
        <v/>
      </c>
    </row>
    <row r="252">
      <c r="A252" s="8" t="inlineStr">
        <is>
          <t>1939-07-01</t>
        </is>
      </c>
      <c r="B252" s="6" t="n">
        <v>4.84</v>
      </c>
      <c r="C252" s="8">
        <f>-PV(B252/100,$B$3,B251/100,1)</f>
        <v/>
      </c>
      <c r="D252" s="8">
        <f>B251/100/12+(C252-1)</f>
        <v/>
      </c>
      <c r="E252" s="8">
        <f>E251*(1+D252)</f>
        <v/>
      </c>
    </row>
    <row r="253">
      <c r="A253" s="8" t="inlineStr">
        <is>
          <t>1939-08-01</t>
        </is>
      </c>
      <c r="B253" s="6" t="n">
        <v>4.85</v>
      </c>
      <c r="C253" s="8">
        <f>-PV(B253/100,$B$3,B252/100,1)</f>
        <v/>
      </c>
      <c r="D253" s="8">
        <f>B252/100/12+(C253-1)</f>
        <v/>
      </c>
      <c r="E253" s="8">
        <f>E252*(1+D253)</f>
        <v/>
      </c>
    </row>
    <row r="254">
      <c r="A254" s="8" t="inlineStr">
        <is>
          <t>1939-09-01</t>
        </is>
      </c>
      <c r="B254" s="6" t="n">
        <v>5</v>
      </c>
      <c r="C254" s="8">
        <f>-PV(B254/100,$B$3,B253/100,1)</f>
        <v/>
      </c>
      <c r="D254" s="8">
        <f>B253/100/12+(C254-1)</f>
        <v/>
      </c>
      <c r="E254" s="8">
        <f>E253*(1+D254)</f>
        <v/>
      </c>
    </row>
    <row r="255">
      <c r="A255" s="8" t="inlineStr">
        <is>
          <t>1939-10-01</t>
        </is>
      </c>
      <c r="B255" s="6" t="n">
        <v>4.88</v>
      </c>
      <c r="C255" s="8">
        <f>-PV(B255/100,$B$3,B254/100,1)</f>
        <v/>
      </c>
      <c r="D255" s="8">
        <f>B254/100/12+(C255-1)</f>
        <v/>
      </c>
      <c r="E255" s="8">
        <f>E254*(1+D255)</f>
        <v/>
      </c>
    </row>
    <row r="256">
      <c r="A256" s="8" t="inlineStr">
        <is>
          <t>1939-11-01</t>
        </is>
      </c>
      <c r="B256" s="6" t="n">
        <v>4.85</v>
      </c>
      <c r="C256" s="8">
        <f>-PV(B256/100,$B$3,B255/100,1)</f>
        <v/>
      </c>
      <c r="D256" s="8">
        <f>B255/100/12+(C256-1)</f>
        <v/>
      </c>
      <c r="E256" s="8">
        <f>E255*(1+D256)</f>
        <v/>
      </c>
    </row>
    <row r="257">
      <c r="A257" s="8" t="inlineStr">
        <is>
          <t>1939-12-01</t>
        </is>
      </c>
      <c r="B257" s="6" t="n">
        <v>4.92</v>
      </c>
      <c r="C257" s="8">
        <f>-PV(B257/100,$B$3,B256/100,1)</f>
        <v/>
      </c>
      <c r="D257" s="8">
        <f>B256/100/12+(C257-1)</f>
        <v/>
      </c>
      <c r="E257" s="8">
        <f>E256*(1+D257)</f>
        <v/>
      </c>
    </row>
    <row r="258">
      <c r="A258" s="8" t="inlineStr">
        <is>
          <t>1940-01-01</t>
        </is>
      </c>
      <c r="B258" s="6" t="n">
        <v>4.86</v>
      </c>
      <c r="C258" s="8">
        <f>-PV(B258/100,$B$3,B257/100,1)</f>
        <v/>
      </c>
      <c r="D258" s="8">
        <f>B257/100/12+(C258-1)</f>
        <v/>
      </c>
      <c r="E258" s="8">
        <f>E257*(1+D258)</f>
        <v/>
      </c>
    </row>
    <row r="259">
      <c r="A259" s="8" t="inlineStr">
        <is>
          <t>1940-02-01</t>
        </is>
      </c>
      <c r="B259" s="6" t="n">
        <v>4.83</v>
      </c>
      <c r="C259" s="8">
        <f>-PV(B259/100,$B$3,B258/100,1)</f>
        <v/>
      </c>
      <c r="D259" s="8">
        <f>B258/100/12+(C259-1)</f>
        <v/>
      </c>
      <c r="E259" s="8">
        <f>E258*(1+D259)</f>
        <v/>
      </c>
    </row>
    <row r="260">
      <c r="A260" s="8" t="inlineStr">
        <is>
          <t>1940-03-01</t>
        </is>
      </c>
      <c r="B260" s="6" t="n">
        <v>4.8</v>
      </c>
      <c r="C260" s="8">
        <f>-PV(B260/100,$B$3,B259/100,1)</f>
        <v/>
      </c>
      <c r="D260" s="8">
        <f>B259/100/12+(C260-1)</f>
        <v/>
      </c>
      <c r="E260" s="8">
        <f>E259*(1+D260)</f>
        <v/>
      </c>
    </row>
    <row r="261">
      <c r="A261" s="8" t="inlineStr">
        <is>
          <t>1940-04-01</t>
        </is>
      </c>
      <c r="B261" s="6" t="n">
        <v>4.74</v>
      </c>
      <c r="C261" s="8">
        <f>-PV(B261/100,$B$3,B260/100,1)</f>
        <v/>
      </c>
      <c r="D261" s="8">
        <f>B260/100/12+(C261-1)</f>
        <v/>
      </c>
      <c r="E261" s="8">
        <f>E260*(1+D261)</f>
        <v/>
      </c>
    </row>
    <row r="262">
      <c r="A262" s="8" t="inlineStr">
        <is>
          <t>1940-05-01</t>
        </is>
      </c>
      <c r="B262" s="6" t="n">
        <v>4.94</v>
      </c>
      <c r="C262" s="8">
        <f>-PV(B262/100,$B$3,B261/100,1)</f>
        <v/>
      </c>
      <c r="D262" s="8">
        <f>B261/100/12+(C262-1)</f>
        <v/>
      </c>
      <c r="E262" s="8">
        <f>E261*(1+D262)</f>
        <v/>
      </c>
    </row>
    <row r="263">
      <c r="A263" s="8" t="inlineStr">
        <is>
          <t>1940-06-01</t>
        </is>
      </c>
      <c r="B263" s="6" t="n">
        <v>5.11</v>
      </c>
      <c r="C263" s="8">
        <f>-PV(B263/100,$B$3,B262/100,1)</f>
        <v/>
      </c>
      <c r="D263" s="8">
        <f>B262/100/12+(C263-1)</f>
        <v/>
      </c>
      <c r="E263" s="8">
        <f>E262*(1+D263)</f>
        <v/>
      </c>
    </row>
    <row r="264">
      <c r="A264" s="8" t="inlineStr">
        <is>
          <t>1940-07-01</t>
        </is>
      </c>
      <c r="B264" s="6" t="n">
        <v>4.8</v>
      </c>
      <c r="C264" s="8">
        <f>-PV(B264/100,$B$3,B263/100,1)</f>
        <v/>
      </c>
      <c r="D264" s="8">
        <f>B263/100/12+(C264-1)</f>
        <v/>
      </c>
      <c r="E264" s="8">
        <f>E263*(1+D264)</f>
        <v/>
      </c>
    </row>
    <row r="265">
      <c r="A265" s="8" t="inlineStr">
        <is>
          <t>1940-08-01</t>
        </is>
      </c>
      <c r="B265" s="6" t="n">
        <v>4.76</v>
      </c>
      <c r="C265" s="8">
        <f>-PV(B265/100,$B$3,B264/100,1)</f>
        <v/>
      </c>
      <c r="D265" s="8">
        <f>B264/100/12+(C265-1)</f>
        <v/>
      </c>
      <c r="E265" s="8">
        <f>E264*(1+D265)</f>
        <v/>
      </c>
    </row>
    <row r="266">
      <c r="A266" s="8" t="inlineStr">
        <is>
          <t>1940-09-01</t>
        </is>
      </c>
      <c r="B266" s="6" t="n">
        <v>4.66</v>
      </c>
      <c r="C266" s="8">
        <f>-PV(B266/100,$B$3,B265/100,1)</f>
        <v/>
      </c>
      <c r="D266" s="8">
        <f>B265/100/12+(C266-1)</f>
        <v/>
      </c>
      <c r="E266" s="8">
        <f>E265*(1+D266)</f>
        <v/>
      </c>
    </row>
    <row r="267">
      <c r="A267" s="8" t="inlineStr">
        <is>
          <t>1940-10-01</t>
        </is>
      </c>
      <c r="B267" s="6" t="n">
        <v>4.56</v>
      </c>
      <c r="C267" s="8">
        <f>-PV(B267/100,$B$3,B266/100,1)</f>
        <v/>
      </c>
      <c r="D267" s="8">
        <f>B266/100/12+(C267-1)</f>
        <v/>
      </c>
      <c r="E267" s="8">
        <f>E266*(1+D267)</f>
        <v/>
      </c>
    </row>
    <row r="268">
      <c r="A268" s="8" t="inlineStr">
        <is>
          <t>1940-11-01</t>
        </is>
      </c>
      <c r="B268" s="6" t="n">
        <v>4.48</v>
      </c>
      <c r="C268" s="8">
        <f>-PV(B268/100,$B$3,B267/100,1)</f>
        <v/>
      </c>
      <c r="D268" s="8">
        <f>B267/100/12+(C268-1)</f>
        <v/>
      </c>
      <c r="E268" s="8">
        <f>E267*(1+D268)</f>
        <v/>
      </c>
    </row>
    <row r="269">
      <c r="A269" s="8" t="inlineStr">
        <is>
          <t>1940-12-01</t>
        </is>
      </c>
      <c r="B269" s="6" t="n">
        <v>4.45</v>
      </c>
      <c r="C269" s="8">
        <f>-PV(B269/100,$B$3,B268/100,1)</f>
        <v/>
      </c>
      <c r="D269" s="8">
        <f>B268/100/12+(C269-1)</f>
        <v/>
      </c>
      <c r="E269" s="8">
        <f>E268*(1+D269)</f>
        <v/>
      </c>
    </row>
    <row r="270">
      <c r="A270" s="8" t="inlineStr">
        <is>
          <t>1941-01-01</t>
        </is>
      </c>
      <c r="B270" s="6" t="n">
        <v>4.38</v>
      </c>
      <c r="C270" s="8">
        <f>-PV(B270/100,$B$3,B269/100,1)</f>
        <v/>
      </c>
      <c r="D270" s="8">
        <f>B269/100/12+(C270-1)</f>
        <v/>
      </c>
      <c r="E270" s="8">
        <f>E269*(1+D270)</f>
        <v/>
      </c>
    </row>
    <row r="271">
      <c r="A271" s="8" t="inlineStr">
        <is>
          <t>1941-02-01</t>
        </is>
      </c>
      <c r="B271" s="6" t="n">
        <v>4.42</v>
      </c>
      <c r="C271" s="8">
        <f>-PV(B271/100,$B$3,B270/100,1)</f>
        <v/>
      </c>
      <c r="D271" s="8">
        <f>B270/100/12+(C271-1)</f>
        <v/>
      </c>
      <c r="E271" s="8">
        <f>E270*(1+D271)</f>
        <v/>
      </c>
    </row>
    <row r="272">
      <c r="A272" s="8" t="inlineStr">
        <is>
          <t>1941-03-01</t>
        </is>
      </c>
      <c r="B272" s="6" t="n">
        <v>4.38</v>
      </c>
      <c r="C272" s="8">
        <f>-PV(B272/100,$B$3,B271/100,1)</f>
        <v/>
      </c>
      <c r="D272" s="8">
        <f>B271/100/12+(C272-1)</f>
        <v/>
      </c>
      <c r="E272" s="8">
        <f>E271*(1+D272)</f>
        <v/>
      </c>
    </row>
    <row r="273">
      <c r="A273" s="8" t="inlineStr">
        <is>
          <t>1941-04-01</t>
        </is>
      </c>
      <c r="B273" s="6" t="n">
        <v>4.33</v>
      </c>
      <c r="C273" s="8">
        <f>-PV(B273/100,$B$3,B272/100,1)</f>
        <v/>
      </c>
      <c r="D273" s="8">
        <f>B272/100/12+(C273-1)</f>
        <v/>
      </c>
      <c r="E273" s="8">
        <f>E272*(1+D273)</f>
        <v/>
      </c>
    </row>
    <row r="274">
      <c r="A274" s="8" t="inlineStr">
        <is>
          <t>1941-05-01</t>
        </is>
      </c>
      <c r="B274" s="6" t="n">
        <v>4.32</v>
      </c>
      <c r="C274" s="8">
        <f>-PV(B274/100,$B$3,B273/100,1)</f>
        <v/>
      </c>
      <c r="D274" s="8">
        <f>B273/100/12+(C274-1)</f>
        <v/>
      </c>
      <c r="E274" s="8">
        <f>E273*(1+D274)</f>
        <v/>
      </c>
    </row>
    <row r="275">
      <c r="A275" s="8" t="inlineStr">
        <is>
          <t>1941-06-01</t>
        </is>
      </c>
      <c r="B275" s="6" t="n">
        <v>4.31</v>
      </c>
      <c r="C275" s="8">
        <f>-PV(B275/100,$B$3,B274/100,1)</f>
        <v/>
      </c>
      <c r="D275" s="8">
        <f>B274/100/12+(C275-1)</f>
        <v/>
      </c>
      <c r="E275" s="8">
        <f>E274*(1+D275)</f>
        <v/>
      </c>
    </row>
    <row r="276">
      <c r="A276" s="8" t="inlineStr">
        <is>
          <t>1941-07-01</t>
        </is>
      </c>
      <c r="B276" s="6" t="n">
        <v>4.28</v>
      </c>
      <c r="C276" s="8">
        <f>-PV(B276/100,$B$3,B275/100,1)</f>
        <v/>
      </c>
      <c r="D276" s="8">
        <f>B275/100/12+(C276-1)</f>
        <v/>
      </c>
      <c r="E276" s="8">
        <f>E275*(1+D276)</f>
        <v/>
      </c>
    </row>
    <row r="277">
      <c r="A277" s="8" t="inlineStr">
        <is>
          <t>1941-08-01</t>
        </is>
      </c>
      <c r="B277" s="6" t="n">
        <v>4.27</v>
      </c>
      <c r="C277" s="8">
        <f>-PV(B277/100,$B$3,B276/100,1)</f>
        <v/>
      </c>
      <c r="D277" s="8">
        <f>B276/100/12+(C277-1)</f>
        <v/>
      </c>
      <c r="E277" s="8">
        <f>E276*(1+D277)</f>
        <v/>
      </c>
    </row>
    <row r="278">
      <c r="A278" s="8" t="inlineStr">
        <is>
          <t>1941-09-01</t>
        </is>
      </c>
      <c r="B278" s="6" t="n">
        <v>4.3</v>
      </c>
      <c r="C278" s="8">
        <f>-PV(B278/100,$B$3,B277/100,1)</f>
        <v/>
      </c>
      <c r="D278" s="8">
        <f>B277/100/12+(C278-1)</f>
        <v/>
      </c>
      <c r="E278" s="8">
        <f>E277*(1+D278)</f>
        <v/>
      </c>
    </row>
    <row r="279">
      <c r="A279" s="8" t="inlineStr">
        <is>
          <t>1941-10-01</t>
        </is>
      </c>
      <c r="B279" s="6" t="n">
        <v>4.28</v>
      </c>
      <c r="C279" s="8">
        <f>-PV(B279/100,$B$3,B278/100,1)</f>
        <v/>
      </c>
      <c r="D279" s="8">
        <f>B278/100/12+(C279-1)</f>
        <v/>
      </c>
      <c r="E279" s="8">
        <f>E278*(1+D279)</f>
        <v/>
      </c>
    </row>
    <row r="280">
      <c r="A280" s="8" t="inlineStr">
        <is>
          <t>1941-11-01</t>
        </is>
      </c>
      <c r="B280" s="6" t="n">
        <v>4.28</v>
      </c>
      <c r="C280" s="8">
        <f>-PV(B280/100,$B$3,B279/100,1)</f>
        <v/>
      </c>
      <c r="D280" s="8">
        <f>B279/100/12+(C280-1)</f>
        <v/>
      </c>
      <c r="E280" s="8">
        <f>E279*(1+D280)</f>
        <v/>
      </c>
    </row>
    <row r="281">
      <c r="A281" s="8" t="inlineStr">
        <is>
          <t>1941-12-01</t>
        </is>
      </c>
      <c r="B281" s="6" t="n">
        <v>4.38</v>
      </c>
      <c r="C281" s="8">
        <f>-PV(B281/100,$B$3,B280/100,1)</f>
        <v/>
      </c>
      <c r="D281" s="8">
        <f>B280/100/12+(C281-1)</f>
        <v/>
      </c>
      <c r="E281" s="8">
        <f>E280*(1+D281)</f>
        <v/>
      </c>
    </row>
    <row r="282">
      <c r="A282" s="8" t="inlineStr">
        <is>
          <t>1942-01-01</t>
        </is>
      </c>
      <c r="B282" s="6" t="n">
        <v>4.29</v>
      </c>
      <c r="C282" s="8">
        <f>-PV(B282/100,$B$3,B281/100,1)</f>
        <v/>
      </c>
      <c r="D282" s="8">
        <f>B281/100/12+(C282-1)</f>
        <v/>
      </c>
      <c r="E282" s="8">
        <f>E281*(1+D282)</f>
        <v/>
      </c>
    </row>
    <row r="283">
      <c r="A283" s="8" t="inlineStr">
        <is>
          <t>1942-02-01</t>
        </is>
      </c>
      <c r="B283" s="6" t="n">
        <v>4.29</v>
      </c>
      <c r="C283" s="8">
        <f>-PV(B283/100,$B$3,B282/100,1)</f>
        <v/>
      </c>
      <c r="D283" s="8">
        <f>B282/100/12+(C283-1)</f>
        <v/>
      </c>
      <c r="E283" s="8">
        <f>E282*(1+D283)</f>
        <v/>
      </c>
    </row>
    <row r="284">
      <c r="A284" s="8" t="inlineStr">
        <is>
          <t>1942-03-01</t>
        </is>
      </c>
      <c r="B284" s="6" t="n">
        <v>4.3</v>
      </c>
      <c r="C284" s="8">
        <f>-PV(B284/100,$B$3,B283/100,1)</f>
        <v/>
      </c>
      <c r="D284" s="8">
        <f>B283/100/12+(C284-1)</f>
        <v/>
      </c>
      <c r="E284" s="8">
        <f>E283*(1+D284)</f>
        <v/>
      </c>
    </row>
    <row r="285">
      <c r="A285" s="8" t="inlineStr">
        <is>
          <t>1942-04-01</t>
        </is>
      </c>
      <c r="B285" s="6" t="n">
        <v>4.26</v>
      </c>
      <c r="C285" s="8">
        <f>-PV(B285/100,$B$3,B284/100,1)</f>
        <v/>
      </c>
      <c r="D285" s="8">
        <f>B284/100/12+(C285-1)</f>
        <v/>
      </c>
      <c r="E285" s="8">
        <f>E284*(1+D285)</f>
        <v/>
      </c>
    </row>
    <row r="286">
      <c r="A286" s="8" t="inlineStr">
        <is>
          <t>1942-05-01</t>
        </is>
      </c>
      <c r="B286" s="6" t="n">
        <v>4.27</v>
      </c>
      <c r="C286" s="8">
        <f>-PV(B286/100,$B$3,B285/100,1)</f>
        <v/>
      </c>
      <c r="D286" s="8">
        <f>B285/100/12+(C286-1)</f>
        <v/>
      </c>
      <c r="E286" s="8">
        <f>E285*(1+D286)</f>
        <v/>
      </c>
    </row>
    <row r="287">
      <c r="A287" s="8" t="inlineStr">
        <is>
          <t>1942-06-01</t>
        </is>
      </c>
      <c r="B287" s="6" t="n">
        <v>4.33</v>
      </c>
      <c r="C287" s="8">
        <f>-PV(B287/100,$B$3,B286/100,1)</f>
        <v/>
      </c>
      <c r="D287" s="8">
        <f>B286/100/12+(C287-1)</f>
        <v/>
      </c>
      <c r="E287" s="8">
        <f>E286*(1+D287)</f>
        <v/>
      </c>
    </row>
    <row r="288">
      <c r="A288" s="8" t="inlineStr">
        <is>
          <t>1942-07-01</t>
        </is>
      </c>
      <c r="B288" s="6" t="n">
        <v>4.3</v>
      </c>
      <c r="C288" s="8">
        <f>-PV(B288/100,$B$3,B287/100,1)</f>
        <v/>
      </c>
      <c r="D288" s="8">
        <f>B287/100/12+(C288-1)</f>
        <v/>
      </c>
      <c r="E288" s="8">
        <f>E287*(1+D288)</f>
        <v/>
      </c>
    </row>
    <row r="289">
      <c r="A289" s="8" t="inlineStr">
        <is>
          <t>1942-08-01</t>
        </is>
      </c>
      <c r="B289" s="6" t="n">
        <v>4.28</v>
      </c>
      <c r="C289" s="8">
        <f>-PV(B289/100,$B$3,B288/100,1)</f>
        <v/>
      </c>
      <c r="D289" s="8">
        <f>B288/100/12+(C289-1)</f>
        <v/>
      </c>
      <c r="E289" s="8">
        <f>E288*(1+D289)</f>
        <v/>
      </c>
    </row>
    <row r="290">
      <c r="A290" s="8" t="inlineStr">
        <is>
          <t>1942-09-01</t>
        </is>
      </c>
      <c r="B290" s="6" t="n">
        <v>4.26</v>
      </c>
      <c r="C290" s="8">
        <f>-PV(B290/100,$B$3,B289/100,1)</f>
        <v/>
      </c>
      <c r="D290" s="8">
        <f>B289/100/12+(C290-1)</f>
        <v/>
      </c>
      <c r="E290" s="8">
        <f>E289*(1+D290)</f>
        <v/>
      </c>
    </row>
    <row r="291">
      <c r="A291" s="8" t="inlineStr">
        <is>
          <t>1942-10-01</t>
        </is>
      </c>
      <c r="B291" s="6" t="n">
        <v>4.24</v>
      </c>
      <c r="C291" s="8">
        <f>-PV(B291/100,$B$3,B290/100,1)</f>
        <v/>
      </c>
      <c r="D291" s="8">
        <f>B290/100/12+(C291-1)</f>
        <v/>
      </c>
      <c r="E291" s="8">
        <f>E290*(1+D291)</f>
        <v/>
      </c>
    </row>
    <row r="292">
      <c r="A292" s="8" t="inlineStr">
        <is>
          <t>1942-11-01</t>
        </is>
      </c>
      <c r="B292" s="6" t="n">
        <v>4.25</v>
      </c>
      <c r="C292" s="8">
        <f>-PV(B292/100,$B$3,B291/100,1)</f>
        <v/>
      </c>
      <c r="D292" s="8">
        <f>B291/100/12+(C292-1)</f>
        <v/>
      </c>
      <c r="E292" s="8">
        <f>E291*(1+D292)</f>
        <v/>
      </c>
    </row>
    <row r="293">
      <c r="A293" s="8" t="inlineStr">
        <is>
          <t>1942-12-01</t>
        </is>
      </c>
      <c r="B293" s="6" t="n">
        <v>4.28</v>
      </c>
      <c r="C293" s="8">
        <f>-PV(B293/100,$B$3,B292/100,1)</f>
        <v/>
      </c>
      <c r="D293" s="8">
        <f>B292/100/12+(C293-1)</f>
        <v/>
      </c>
      <c r="E293" s="8">
        <f>E292*(1+D293)</f>
        <v/>
      </c>
    </row>
    <row r="294">
      <c r="A294" s="8" t="inlineStr">
        <is>
          <t>1943-01-01</t>
        </is>
      </c>
      <c r="B294" s="6" t="n">
        <v>4.16</v>
      </c>
      <c r="C294" s="8">
        <f>-PV(B294/100,$B$3,B293/100,1)</f>
        <v/>
      </c>
      <c r="D294" s="8">
        <f>B293/100/12+(C294-1)</f>
        <v/>
      </c>
      <c r="E294" s="8">
        <f>E293*(1+D294)</f>
        <v/>
      </c>
    </row>
    <row r="295">
      <c r="A295" s="8" t="inlineStr">
        <is>
          <t>1943-02-01</t>
        </is>
      </c>
      <c r="B295" s="6" t="n">
        <v>4.08</v>
      </c>
      <c r="C295" s="8">
        <f>-PV(B295/100,$B$3,B294/100,1)</f>
        <v/>
      </c>
      <c r="D295" s="8">
        <f>B294/100/12+(C295-1)</f>
        <v/>
      </c>
      <c r="E295" s="8">
        <f>E294*(1+D295)</f>
        <v/>
      </c>
    </row>
    <row r="296">
      <c r="A296" s="8" t="inlineStr">
        <is>
          <t>1943-03-01</t>
        </is>
      </c>
      <c r="B296" s="6" t="n">
        <v>4.01</v>
      </c>
      <c r="C296" s="8">
        <f>-PV(B296/100,$B$3,B295/100,1)</f>
        <v/>
      </c>
      <c r="D296" s="8">
        <f>B295/100/12+(C296-1)</f>
        <v/>
      </c>
      <c r="E296" s="8">
        <f>E295*(1+D296)</f>
        <v/>
      </c>
    </row>
    <row r="297">
      <c r="A297" s="8" t="inlineStr">
        <is>
          <t>1943-04-01</t>
        </is>
      </c>
      <c r="B297" s="6" t="n">
        <v>3.96</v>
      </c>
      <c r="C297" s="8">
        <f>-PV(B297/100,$B$3,B296/100,1)</f>
        <v/>
      </c>
      <c r="D297" s="8">
        <f>B296/100/12+(C297-1)</f>
        <v/>
      </c>
      <c r="E297" s="8">
        <f>E296*(1+D297)</f>
        <v/>
      </c>
    </row>
    <row r="298">
      <c r="A298" s="8" t="inlineStr">
        <is>
          <t>1943-05-01</t>
        </is>
      </c>
      <c r="B298" s="6" t="n">
        <v>3.91</v>
      </c>
      <c r="C298" s="8">
        <f>-PV(B298/100,$B$3,B297/100,1)</f>
        <v/>
      </c>
      <c r="D298" s="8">
        <f>B297/100/12+(C298-1)</f>
        <v/>
      </c>
      <c r="E298" s="8">
        <f>E297*(1+D298)</f>
        <v/>
      </c>
    </row>
    <row r="299">
      <c r="A299" s="8" t="inlineStr">
        <is>
          <t>1943-06-01</t>
        </is>
      </c>
      <c r="B299" s="6" t="n">
        <v>3.88</v>
      </c>
      <c r="C299" s="8">
        <f>-PV(B299/100,$B$3,B298/100,1)</f>
        <v/>
      </c>
      <c r="D299" s="8">
        <f>B298/100/12+(C299-1)</f>
        <v/>
      </c>
      <c r="E299" s="8">
        <f>E298*(1+D299)</f>
        <v/>
      </c>
    </row>
    <row r="300">
      <c r="A300" s="8" t="inlineStr">
        <is>
          <t>1943-07-01</t>
        </is>
      </c>
      <c r="B300" s="6" t="n">
        <v>3.81</v>
      </c>
      <c r="C300" s="8">
        <f>-PV(B300/100,$B$3,B299/100,1)</f>
        <v/>
      </c>
      <c r="D300" s="8">
        <f>B299/100/12+(C300-1)</f>
        <v/>
      </c>
      <c r="E300" s="8">
        <f>E299*(1+D300)</f>
        <v/>
      </c>
    </row>
    <row r="301">
      <c r="A301" s="8" t="inlineStr">
        <is>
          <t>1943-08-01</t>
        </is>
      </c>
      <c r="B301" s="6" t="n">
        <v>3.81</v>
      </c>
      <c r="C301" s="8">
        <f>-PV(B301/100,$B$3,B300/100,1)</f>
        <v/>
      </c>
      <c r="D301" s="8">
        <f>B300/100/12+(C301-1)</f>
        <v/>
      </c>
      <c r="E301" s="8">
        <f>E300*(1+D301)</f>
        <v/>
      </c>
    </row>
    <row r="302">
      <c r="A302" s="8" t="inlineStr">
        <is>
          <t>1943-09-01</t>
        </is>
      </c>
      <c r="B302" s="6" t="n">
        <v>3.83</v>
      </c>
      <c r="C302" s="8">
        <f>-PV(B302/100,$B$3,B301/100,1)</f>
        <v/>
      </c>
      <c r="D302" s="8">
        <f>B301/100/12+(C302-1)</f>
        <v/>
      </c>
      <c r="E302" s="8">
        <f>E301*(1+D302)</f>
        <v/>
      </c>
    </row>
    <row r="303">
      <c r="A303" s="8" t="inlineStr">
        <is>
          <t>1943-10-01</t>
        </is>
      </c>
      <c r="B303" s="6" t="n">
        <v>3.82</v>
      </c>
      <c r="C303" s="8">
        <f>-PV(B303/100,$B$3,B302/100,1)</f>
        <v/>
      </c>
      <c r="D303" s="8">
        <f>B302/100/12+(C303-1)</f>
        <v/>
      </c>
      <c r="E303" s="8">
        <f>E302*(1+D303)</f>
        <v/>
      </c>
    </row>
    <row r="304">
      <c r="A304" s="8" t="inlineStr">
        <is>
          <t>1943-11-01</t>
        </is>
      </c>
      <c r="B304" s="6" t="n">
        <v>3.83</v>
      </c>
      <c r="C304" s="8">
        <f>-PV(B304/100,$B$3,B303/100,1)</f>
        <v/>
      </c>
      <c r="D304" s="8">
        <f>B303/100/12+(C304-1)</f>
        <v/>
      </c>
      <c r="E304" s="8">
        <f>E303*(1+D304)</f>
        <v/>
      </c>
    </row>
    <row r="305">
      <c r="A305" s="8" t="inlineStr">
        <is>
          <t>1943-12-01</t>
        </is>
      </c>
      <c r="B305" s="6" t="n">
        <v>3.82</v>
      </c>
      <c r="C305" s="8">
        <f>-PV(B305/100,$B$3,B304/100,1)</f>
        <v/>
      </c>
      <c r="D305" s="8">
        <f>B304/100/12+(C305-1)</f>
        <v/>
      </c>
      <c r="E305" s="8">
        <f>E304*(1+D305)</f>
        <v/>
      </c>
    </row>
    <row r="306">
      <c r="A306" s="8" t="inlineStr">
        <is>
          <t>1944-01-01</t>
        </is>
      </c>
      <c r="B306" s="6" t="n">
        <v>3.76</v>
      </c>
      <c r="C306" s="8">
        <f>-PV(B306/100,$B$3,B305/100,1)</f>
        <v/>
      </c>
      <c r="D306" s="8">
        <f>B305/100/12+(C306-1)</f>
        <v/>
      </c>
      <c r="E306" s="8">
        <f>E305*(1+D306)</f>
        <v/>
      </c>
    </row>
    <row r="307">
      <c r="A307" s="8" t="inlineStr">
        <is>
          <t>1944-02-01</t>
        </is>
      </c>
      <c r="B307" s="6" t="n">
        <v>3.72</v>
      </c>
      <c r="C307" s="8">
        <f>-PV(B307/100,$B$3,B306/100,1)</f>
        <v/>
      </c>
      <c r="D307" s="8">
        <f>B306/100/12+(C307-1)</f>
        <v/>
      </c>
      <c r="E307" s="8">
        <f>E306*(1+D307)</f>
        <v/>
      </c>
    </row>
    <row r="308">
      <c r="A308" s="8" t="inlineStr">
        <is>
          <t>1944-03-01</t>
        </is>
      </c>
      <c r="B308" s="6" t="n">
        <v>3.7</v>
      </c>
      <c r="C308" s="8">
        <f>-PV(B308/100,$B$3,B307/100,1)</f>
        <v/>
      </c>
      <c r="D308" s="8">
        <f>B307/100/12+(C308-1)</f>
        <v/>
      </c>
      <c r="E308" s="8">
        <f>E307*(1+D308)</f>
        <v/>
      </c>
    </row>
    <row r="309">
      <c r="A309" s="8" t="inlineStr">
        <is>
          <t>1944-04-01</t>
        </is>
      </c>
      <c r="B309" s="6" t="n">
        <v>3.68</v>
      </c>
      <c r="C309" s="8">
        <f>-PV(B309/100,$B$3,B308/100,1)</f>
        <v/>
      </c>
      <c r="D309" s="8">
        <f>B308/100/12+(C309-1)</f>
        <v/>
      </c>
      <c r="E309" s="8">
        <f>E308*(1+D309)</f>
        <v/>
      </c>
    </row>
    <row r="310">
      <c r="A310" s="8" t="inlineStr">
        <is>
          <t>1944-05-01</t>
        </is>
      </c>
      <c r="B310" s="6" t="n">
        <v>3.63</v>
      </c>
      <c r="C310" s="8">
        <f>-PV(B310/100,$B$3,B309/100,1)</f>
        <v/>
      </c>
      <c r="D310" s="8">
        <f>B309/100/12+(C310-1)</f>
        <v/>
      </c>
      <c r="E310" s="8">
        <f>E309*(1+D310)</f>
        <v/>
      </c>
    </row>
    <row r="311">
      <c r="A311" s="8" t="inlineStr">
        <is>
          <t>1944-06-01</t>
        </is>
      </c>
      <c r="B311" s="6" t="n">
        <v>3.59</v>
      </c>
      <c r="C311" s="8">
        <f>-PV(B311/100,$B$3,B310/100,1)</f>
        <v/>
      </c>
      <c r="D311" s="8">
        <f>B310/100/12+(C311-1)</f>
        <v/>
      </c>
      <c r="E311" s="8">
        <f>E310*(1+D311)</f>
        <v/>
      </c>
    </row>
    <row r="312">
      <c r="A312" s="8" t="inlineStr">
        <is>
          <t>1944-07-01</t>
        </is>
      </c>
      <c r="B312" s="6" t="n">
        <v>3.57</v>
      </c>
      <c r="C312" s="8">
        <f>-PV(B312/100,$B$3,B311/100,1)</f>
        <v/>
      </c>
      <c r="D312" s="8">
        <f>B311/100/12+(C312-1)</f>
        <v/>
      </c>
      <c r="E312" s="8">
        <f>E311*(1+D312)</f>
        <v/>
      </c>
    </row>
    <row r="313">
      <c r="A313" s="8" t="inlineStr">
        <is>
          <t>1944-08-01</t>
        </is>
      </c>
      <c r="B313" s="6" t="n">
        <v>3.55</v>
      </c>
      <c r="C313" s="8">
        <f>-PV(B313/100,$B$3,B312/100,1)</f>
        <v/>
      </c>
      <c r="D313" s="8">
        <f>B312/100/12+(C313-1)</f>
        <v/>
      </c>
      <c r="E313" s="8">
        <f>E312*(1+D313)</f>
        <v/>
      </c>
    </row>
    <row r="314">
      <c r="A314" s="8" t="inlineStr">
        <is>
          <t>1944-09-01</t>
        </is>
      </c>
      <c r="B314" s="6" t="n">
        <v>3.56</v>
      </c>
      <c r="C314" s="8">
        <f>-PV(B314/100,$B$3,B313/100,1)</f>
        <v/>
      </c>
      <c r="D314" s="8">
        <f>B313/100/12+(C314-1)</f>
        <v/>
      </c>
      <c r="E314" s="8">
        <f>E313*(1+D314)</f>
        <v/>
      </c>
    </row>
    <row r="315">
      <c r="A315" s="8" t="inlineStr">
        <is>
          <t>1944-10-01</t>
        </is>
      </c>
      <c r="B315" s="6" t="n">
        <v>3.55</v>
      </c>
      <c r="C315" s="8">
        <f>-PV(B315/100,$B$3,B314/100,1)</f>
        <v/>
      </c>
      <c r="D315" s="8">
        <f>B314/100/12+(C315-1)</f>
        <v/>
      </c>
      <c r="E315" s="8">
        <f>E314*(1+D315)</f>
        <v/>
      </c>
    </row>
    <row r="316">
      <c r="A316" s="8" t="inlineStr">
        <is>
          <t>1944-11-01</t>
        </is>
      </c>
      <c r="B316" s="6" t="n">
        <v>3.53</v>
      </c>
      <c r="C316" s="8">
        <f>-PV(B316/100,$B$3,B315/100,1)</f>
        <v/>
      </c>
      <c r="D316" s="8">
        <f>B315/100/12+(C316-1)</f>
        <v/>
      </c>
      <c r="E316" s="8">
        <f>E315*(1+D316)</f>
        <v/>
      </c>
    </row>
    <row r="317">
      <c r="A317" s="8" t="inlineStr">
        <is>
          <t>1944-12-01</t>
        </is>
      </c>
      <c r="B317" s="6" t="n">
        <v>3.49</v>
      </c>
      <c r="C317" s="8">
        <f>-PV(B317/100,$B$3,B316/100,1)</f>
        <v/>
      </c>
      <c r="D317" s="8">
        <f>B316/100/12+(C317-1)</f>
        <v/>
      </c>
      <c r="E317" s="8">
        <f>E316*(1+D317)</f>
        <v/>
      </c>
    </row>
    <row r="318">
      <c r="A318" s="8" t="inlineStr">
        <is>
          <t>1945-01-01</t>
        </is>
      </c>
      <c r="B318" s="6" t="n">
        <v>3.46</v>
      </c>
      <c r="C318" s="8">
        <f>-PV(B318/100,$B$3,B317/100,1)</f>
        <v/>
      </c>
      <c r="D318" s="8">
        <f>B317/100/12+(C318-1)</f>
        <v/>
      </c>
      <c r="E318" s="8">
        <f>E317*(1+D318)</f>
        <v/>
      </c>
    </row>
    <row r="319">
      <c r="A319" s="8" t="inlineStr">
        <is>
          <t>1945-02-01</t>
        </is>
      </c>
      <c r="B319" s="6" t="n">
        <v>3.41</v>
      </c>
      <c r="C319" s="8">
        <f>-PV(B319/100,$B$3,B318/100,1)</f>
        <v/>
      </c>
      <c r="D319" s="8">
        <f>B318/100/12+(C319-1)</f>
        <v/>
      </c>
      <c r="E319" s="8">
        <f>E318*(1+D319)</f>
        <v/>
      </c>
    </row>
    <row r="320">
      <c r="A320" s="8" t="inlineStr">
        <is>
          <t>1945-03-01</t>
        </is>
      </c>
      <c r="B320" s="6" t="n">
        <v>3.38</v>
      </c>
      <c r="C320" s="8">
        <f>-PV(B320/100,$B$3,B319/100,1)</f>
        <v/>
      </c>
      <c r="D320" s="8">
        <f>B319/100/12+(C320-1)</f>
        <v/>
      </c>
      <c r="E320" s="8">
        <f>E319*(1+D320)</f>
        <v/>
      </c>
    </row>
    <row r="321">
      <c r="A321" s="8" t="inlineStr">
        <is>
          <t>1945-04-01</t>
        </is>
      </c>
      <c r="B321" s="6" t="n">
        <v>3.36</v>
      </c>
      <c r="C321" s="8">
        <f>-PV(B321/100,$B$3,B320/100,1)</f>
        <v/>
      </c>
      <c r="D321" s="8">
        <f>B320/100/12+(C321-1)</f>
        <v/>
      </c>
      <c r="E321" s="8">
        <f>E320*(1+D321)</f>
        <v/>
      </c>
    </row>
    <row r="322">
      <c r="A322" s="8" t="inlineStr">
        <is>
          <t>1945-05-01</t>
        </is>
      </c>
      <c r="B322" s="6" t="n">
        <v>3.32</v>
      </c>
      <c r="C322" s="8">
        <f>-PV(B322/100,$B$3,B321/100,1)</f>
        <v/>
      </c>
      <c r="D322" s="8">
        <f>B321/100/12+(C322-1)</f>
        <v/>
      </c>
      <c r="E322" s="8">
        <f>E321*(1+D322)</f>
        <v/>
      </c>
    </row>
    <row r="323">
      <c r="A323" s="8" t="inlineStr">
        <is>
          <t>1945-06-01</t>
        </is>
      </c>
      <c r="B323" s="6" t="n">
        <v>3.29</v>
      </c>
      <c r="C323" s="8">
        <f>-PV(B323/100,$B$3,B322/100,1)</f>
        <v/>
      </c>
      <c r="D323" s="8">
        <f>B322/100/12+(C323-1)</f>
        <v/>
      </c>
      <c r="E323" s="8">
        <f>E322*(1+D323)</f>
        <v/>
      </c>
    </row>
    <row r="324">
      <c r="A324" s="8" t="inlineStr">
        <is>
          <t>1945-07-01</t>
        </is>
      </c>
      <c r="B324" s="6" t="n">
        <v>3.26</v>
      </c>
      <c r="C324" s="8">
        <f>-PV(B324/100,$B$3,B323/100,1)</f>
        <v/>
      </c>
      <c r="D324" s="8">
        <f>B323/100/12+(C324-1)</f>
        <v/>
      </c>
      <c r="E324" s="8">
        <f>E323*(1+D324)</f>
        <v/>
      </c>
    </row>
    <row r="325">
      <c r="A325" s="8" t="inlineStr">
        <is>
          <t>1945-08-01</t>
        </is>
      </c>
      <c r="B325" s="6" t="n">
        <v>3.26</v>
      </c>
      <c r="C325" s="8">
        <f>-PV(B325/100,$B$3,B324/100,1)</f>
        <v/>
      </c>
      <c r="D325" s="8">
        <f>B324/100/12+(C325-1)</f>
        <v/>
      </c>
      <c r="E325" s="8">
        <f>E324*(1+D325)</f>
        <v/>
      </c>
    </row>
    <row r="326">
      <c r="A326" s="8" t="inlineStr">
        <is>
          <t>1945-09-01</t>
        </is>
      </c>
      <c r="B326" s="6" t="n">
        <v>3.24</v>
      </c>
      <c r="C326" s="8">
        <f>-PV(B326/100,$B$3,B325/100,1)</f>
        <v/>
      </c>
      <c r="D326" s="8">
        <f>B325/100/12+(C326-1)</f>
        <v/>
      </c>
      <c r="E326" s="8">
        <f>E325*(1+D326)</f>
        <v/>
      </c>
    </row>
    <row r="327">
      <c r="A327" s="8" t="inlineStr">
        <is>
          <t>1945-10-01</t>
        </is>
      </c>
      <c r="B327" s="6" t="n">
        <v>3.2</v>
      </c>
      <c r="C327" s="8">
        <f>-PV(B327/100,$B$3,B326/100,1)</f>
        <v/>
      </c>
      <c r="D327" s="8">
        <f>B326/100/12+(C327-1)</f>
        <v/>
      </c>
      <c r="E327" s="8">
        <f>E326*(1+D327)</f>
        <v/>
      </c>
    </row>
    <row r="328">
      <c r="A328" s="8" t="inlineStr">
        <is>
          <t>1945-11-01</t>
        </is>
      </c>
      <c r="B328" s="6" t="n">
        <v>3.15</v>
      </c>
      <c r="C328" s="8">
        <f>-PV(B328/100,$B$3,B327/100,1)</f>
        <v/>
      </c>
      <c r="D328" s="8">
        <f>B327/100/12+(C328-1)</f>
        <v/>
      </c>
      <c r="E328" s="8">
        <f>E327*(1+D328)</f>
        <v/>
      </c>
    </row>
    <row r="329">
      <c r="A329" s="8" t="inlineStr">
        <is>
          <t>1945-12-01</t>
        </is>
      </c>
      <c r="B329" s="6" t="n">
        <v>3.1</v>
      </c>
      <c r="C329" s="8">
        <f>-PV(B329/100,$B$3,B328/100,1)</f>
        <v/>
      </c>
      <c r="D329" s="8">
        <f>B328/100/12+(C329-1)</f>
        <v/>
      </c>
      <c r="E329" s="8">
        <f>E328*(1+D329)</f>
        <v/>
      </c>
    </row>
    <row r="330">
      <c r="A330" s="8" t="inlineStr">
        <is>
          <t>1946-01-01</t>
        </is>
      </c>
      <c r="B330" s="6" t="n">
        <v>3.01</v>
      </c>
      <c r="C330" s="8">
        <f>-PV(B330/100,$B$3,B329/100,1)</f>
        <v/>
      </c>
      <c r="D330" s="8">
        <f>B329/100/12+(C330-1)</f>
        <v/>
      </c>
      <c r="E330" s="8">
        <f>E329*(1+D330)</f>
        <v/>
      </c>
    </row>
    <row r="331">
      <c r="A331" s="8" t="inlineStr">
        <is>
          <t>1946-02-01</t>
        </is>
      </c>
      <c r="B331" s="6" t="n">
        <v>2.95</v>
      </c>
      <c r="C331" s="8">
        <f>-PV(B331/100,$B$3,B330/100,1)</f>
        <v/>
      </c>
      <c r="D331" s="8">
        <f>B330/100/12+(C331-1)</f>
        <v/>
      </c>
      <c r="E331" s="8">
        <f>E330*(1+D331)</f>
        <v/>
      </c>
    </row>
    <row r="332">
      <c r="A332" s="8" t="inlineStr">
        <is>
          <t>1946-03-01</t>
        </is>
      </c>
      <c r="B332" s="6" t="n">
        <v>2.94</v>
      </c>
      <c r="C332" s="8">
        <f>-PV(B332/100,$B$3,B331/100,1)</f>
        <v/>
      </c>
      <c r="D332" s="8">
        <f>B331/100/12+(C332-1)</f>
        <v/>
      </c>
      <c r="E332" s="8">
        <f>E331*(1+D332)</f>
        <v/>
      </c>
    </row>
    <row r="333">
      <c r="A333" s="8" t="inlineStr">
        <is>
          <t>1946-04-01</t>
        </is>
      </c>
      <c r="B333" s="6" t="n">
        <v>2.96</v>
      </c>
      <c r="C333" s="8">
        <f>-PV(B333/100,$B$3,B332/100,1)</f>
        <v/>
      </c>
      <c r="D333" s="8">
        <f>B332/100/12+(C333-1)</f>
        <v/>
      </c>
      <c r="E333" s="8">
        <f>E332*(1+D333)</f>
        <v/>
      </c>
    </row>
    <row r="334">
      <c r="A334" s="8" t="inlineStr">
        <is>
          <t>1946-05-01</t>
        </is>
      </c>
      <c r="B334" s="6" t="n">
        <v>3.02</v>
      </c>
      <c r="C334" s="8">
        <f>-PV(B334/100,$B$3,B333/100,1)</f>
        <v/>
      </c>
      <c r="D334" s="8">
        <f>B333/100/12+(C334-1)</f>
        <v/>
      </c>
      <c r="E334" s="8">
        <f>E333*(1+D334)</f>
        <v/>
      </c>
    </row>
    <row r="335">
      <c r="A335" s="8" t="inlineStr">
        <is>
          <t>1946-06-01</t>
        </is>
      </c>
      <c r="B335" s="6" t="n">
        <v>3.03</v>
      </c>
      <c r="C335" s="8">
        <f>-PV(B335/100,$B$3,B334/100,1)</f>
        <v/>
      </c>
      <c r="D335" s="8">
        <f>B334/100/12+(C335-1)</f>
        <v/>
      </c>
      <c r="E335" s="8">
        <f>E334*(1+D335)</f>
        <v/>
      </c>
    </row>
    <row r="336">
      <c r="A336" s="8" t="inlineStr">
        <is>
          <t>1946-07-01</t>
        </is>
      </c>
      <c r="B336" s="6" t="n">
        <v>3.03</v>
      </c>
      <c r="C336" s="8">
        <f>-PV(B336/100,$B$3,B335/100,1)</f>
        <v/>
      </c>
      <c r="D336" s="8">
        <f>B335/100/12+(C336-1)</f>
        <v/>
      </c>
      <c r="E336" s="8">
        <f>E335*(1+D336)</f>
        <v/>
      </c>
    </row>
    <row r="337">
      <c r="A337" s="8" t="inlineStr">
        <is>
          <t>1946-08-01</t>
        </is>
      </c>
      <c r="B337" s="6" t="n">
        <v>3.03</v>
      </c>
      <c r="C337" s="8">
        <f>-PV(B337/100,$B$3,B336/100,1)</f>
        <v/>
      </c>
      <c r="D337" s="8">
        <f>B336/100/12+(C337-1)</f>
        <v/>
      </c>
      <c r="E337" s="8">
        <f>E336*(1+D337)</f>
        <v/>
      </c>
    </row>
    <row r="338">
      <c r="A338" s="8" t="inlineStr">
        <is>
          <t>1946-09-01</t>
        </is>
      </c>
      <c r="B338" s="6" t="n">
        <v>3.1</v>
      </c>
      <c r="C338" s="8">
        <f>-PV(B338/100,$B$3,B337/100,1)</f>
        <v/>
      </c>
      <c r="D338" s="8">
        <f>B337/100/12+(C338-1)</f>
        <v/>
      </c>
      <c r="E338" s="8">
        <f>E337*(1+D338)</f>
        <v/>
      </c>
    </row>
    <row r="339">
      <c r="A339" s="8" t="inlineStr">
        <is>
          <t>1946-10-01</t>
        </is>
      </c>
      <c r="B339" s="6" t="n">
        <v>3.15</v>
      </c>
      <c r="C339" s="8">
        <f>-PV(B339/100,$B$3,B338/100,1)</f>
        <v/>
      </c>
      <c r="D339" s="8">
        <f>B338/100/12+(C339-1)</f>
        <v/>
      </c>
      <c r="E339" s="8">
        <f>E338*(1+D339)</f>
        <v/>
      </c>
    </row>
    <row r="340">
      <c r="A340" s="8" t="inlineStr">
        <is>
          <t>1946-11-01</t>
        </is>
      </c>
      <c r="B340" s="6" t="n">
        <v>3.17</v>
      </c>
      <c r="C340" s="8">
        <f>-PV(B340/100,$B$3,B339/100,1)</f>
        <v/>
      </c>
      <c r="D340" s="8">
        <f>B339/100/12+(C340-1)</f>
        <v/>
      </c>
      <c r="E340" s="8">
        <f>E339*(1+D340)</f>
        <v/>
      </c>
    </row>
    <row r="341">
      <c r="A341" s="8" t="inlineStr">
        <is>
          <t>1946-12-01</t>
        </is>
      </c>
      <c r="B341" s="6" t="n">
        <v>3.17</v>
      </c>
      <c r="C341" s="8">
        <f>-PV(B341/100,$B$3,B340/100,1)</f>
        <v/>
      </c>
      <c r="D341" s="8">
        <f>B340/100/12+(C341-1)</f>
        <v/>
      </c>
      <c r="E341" s="8">
        <f>E340*(1+D341)</f>
        <v/>
      </c>
    </row>
    <row r="342">
      <c r="A342" s="8" t="inlineStr">
        <is>
          <t>1947-01-01</t>
        </is>
      </c>
      <c r="B342" s="6" t="n">
        <v>3.13</v>
      </c>
      <c r="C342" s="8">
        <f>-PV(B342/100,$B$3,B341/100,1)</f>
        <v/>
      </c>
      <c r="D342" s="8">
        <f>B341/100/12+(C342-1)</f>
        <v/>
      </c>
      <c r="E342" s="8">
        <f>E341*(1+D342)</f>
        <v/>
      </c>
    </row>
    <row r="343">
      <c r="A343" s="8" t="inlineStr">
        <is>
          <t>1947-02-01</t>
        </is>
      </c>
      <c r="B343" s="6" t="n">
        <v>3.12</v>
      </c>
      <c r="C343" s="8">
        <f>-PV(B343/100,$B$3,B342/100,1)</f>
        <v/>
      </c>
      <c r="D343" s="8">
        <f>B342/100/12+(C343-1)</f>
        <v/>
      </c>
      <c r="E343" s="8">
        <f>E342*(1+D343)</f>
        <v/>
      </c>
    </row>
    <row r="344">
      <c r="A344" s="8" t="inlineStr">
        <is>
          <t>1947-03-01</t>
        </is>
      </c>
      <c r="B344" s="6" t="n">
        <v>3.15</v>
      </c>
      <c r="C344" s="8">
        <f>-PV(B344/100,$B$3,B343/100,1)</f>
        <v/>
      </c>
      <c r="D344" s="8">
        <f>B343/100/12+(C344-1)</f>
        <v/>
      </c>
      <c r="E344" s="8">
        <f>E343*(1+D344)</f>
        <v/>
      </c>
    </row>
    <row r="345">
      <c r="A345" s="8" t="inlineStr">
        <is>
          <t>1947-04-01</t>
        </is>
      </c>
      <c r="B345" s="6" t="n">
        <v>3.16</v>
      </c>
      <c r="C345" s="8">
        <f>-PV(B345/100,$B$3,B344/100,1)</f>
        <v/>
      </c>
      <c r="D345" s="8">
        <f>B344/100/12+(C345-1)</f>
        <v/>
      </c>
      <c r="E345" s="8">
        <f>E344*(1+D345)</f>
        <v/>
      </c>
    </row>
    <row r="346">
      <c r="A346" s="8" t="inlineStr">
        <is>
          <t>1947-05-01</t>
        </is>
      </c>
      <c r="B346" s="6" t="n">
        <v>3.17</v>
      </c>
      <c r="C346" s="8">
        <f>-PV(B346/100,$B$3,B345/100,1)</f>
        <v/>
      </c>
      <c r="D346" s="8">
        <f>B345/100/12+(C346-1)</f>
        <v/>
      </c>
      <c r="E346" s="8">
        <f>E345*(1+D346)</f>
        <v/>
      </c>
    </row>
    <row r="347">
      <c r="A347" s="8" t="inlineStr">
        <is>
          <t>1947-06-01</t>
        </is>
      </c>
      <c r="B347" s="6" t="n">
        <v>3.21</v>
      </c>
      <c r="C347" s="8">
        <f>-PV(B347/100,$B$3,B346/100,1)</f>
        <v/>
      </c>
      <c r="D347" s="8">
        <f>B346/100/12+(C347-1)</f>
        <v/>
      </c>
      <c r="E347" s="8">
        <f>E346*(1+D347)</f>
        <v/>
      </c>
    </row>
    <row r="348">
      <c r="A348" s="8" t="inlineStr">
        <is>
          <t>1947-07-01</t>
        </is>
      </c>
      <c r="B348" s="6" t="n">
        <v>3.18</v>
      </c>
      <c r="C348" s="8">
        <f>-PV(B348/100,$B$3,B347/100,1)</f>
        <v/>
      </c>
      <c r="D348" s="8">
        <f>B347/100/12+(C348-1)</f>
        <v/>
      </c>
      <c r="E348" s="8">
        <f>E347*(1+D348)</f>
        <v/>
      </c>
    </row>
    <row r="349">
      <c r="A349" s="8" t="inlineStr">
        <is>
          <t>1947-08-01</t>
        </is>
      </c>
      <c r="B349" s="6" t="n">
        <v>3.17</v>
      </c>
      <c r="C349" s="8">
        <f>-PV(B349/100,$B$3,B348/100,1)</f>
        <v/>
      </c>
      <c r="D349" s="8">
        <f>B348/100/12+(C349-1)</f>
        <v/>
      </c>
      <c r="E349" s="8">
        <f>E348*(1+D349)</f>
        <v/>
      </c>
    </row>
    <row r="350">
      <c r="A350" s="8" t="inlineStr">
        <is>
          <t>1947-09-01</t>
        </is>
      </c>
      <c r="B350" s="6" t="n">
        <v>3.23</v>
      </c>
      <c r="C350" s="8">
        <f>-PV(B350/100,$B$3,B349/100,1)</f>
        <v/>
      </c>
      <c r="D350" s="8">
        <f>B349/100/12+(C350-1)</f>
        <v/>
      </c>
      <c r="E350" s="8">
        <f>E349*(1+D350)</f>
        <v/>
      </c>
    </row>
    <row r="351">
      <c r="A351" s="8" t="inlineStr">
        <is>
          <t>1947-10-01</t>
        </is>
      </c>
      <c r="B351" s="6" t="n">
        <v>3.35</v>
      </c>
      <c r="C351" s="8">
        <f>-PV(B351/100,$B$3,B350/100,1)</f>
        <v/>
      </c>
      <c r="D351" s="8">
        <f>B350/100/12+(C351-1)</f>
        <v/>
      </c>
      <c r="E351" s="8">
        <f>E350*(1+D351)</f>
        <v/>
      </c>
    </row>
    <row r="352">
      <c r="A352" s="8" t="inlineStr">
        <is>
          <t>1947-11-01</t>
        </is>
      </c>
      <c r="B352" s="6" t="n">
        <v>3.44</v>
      </c>
      <c r="C352" s="8">
        <f>-PV(B352/100,$B$3,B351/100,1)</f>
        <v/>
      </c>
      <c r="D352" s="8">
        <f>B351/100/12+(C352-1)</f>
        <v/>
      </c>
      <c r="E352" s="8">
        <f>E351*(1+D352)</f>
        <v/>
      </c>
    </row>
    <row r="353">
      <c r="A353" s="8" t="inlineStr">
        <is>
          <t>1947-12-01</t>
        </is>
      </c>
      <c r="B353" s="6" t="n">
        <v>3.52</v>
      </c>
      <c r="C353" s="8">
        <f>-PV(B353/100,$B$3,B352/100,1)</f>
        <v/>
      </c>
      <c r="D353" s="8">
        <f>B352/100/12+(C353-1)</f>
        <v/>
      </c>
      <c r="E353" s="8">
        <f>E352*(1+D353)</f>
        <v/>
      </c>
    </row>
    <row r="354">
      <c r="A354" s="8" t="inlineStr">
        <is>
          <t>1948-01-01</t>
        </is>
      </c>
      <c r="B354" s="6" t="n">
        <v>3.52</v>
      </c>
      <c r="C354" s="8">
        <f>-PV(B354/100,$B$3,B353/100,1)</f>
        <v/>
      </c>
      <c r="D354" s="8">
        <f>B353/100/12+(C354-1)</f>
        <v/>
      </c>
      <c r="E354" s="8">
        <f>E353*(1+D354)</f>
        <v/>
      </c>
    </row>
    <row r="355">
      <c r="A355" s="8" t="inlineStr">
        <is>
          <t>1948-02-01</t>
        </is>
      </c>
      <c r="B355" s="6" t="n">
        <v>3.53</v>
      </c>
      <c r="C355" s="8">
        <f>-PV(B355/100,$B$3,B354/100,1)</f>
        <v/>
      </c>
      <c r="D355" s="8">
        <f>B354/100/12+(C355-1)</f>
        <v/>
      </c>
      <c r="E355" s="8">
        <f>E354*(1+D355)</f>
        <v/>
      </c>
    </row>
    <row r="356">
      <c r="A356" s="8" t="inlineStr">
        <is>
          <t>1948-03-01</t>
        </is>
      </c>
      <c r="B356" s="6" t="n">
        <v>3.53</v>
      </c>
      <c r="C356" s="8">
        <f>-PV(B356/100,$B$3,B355/100,1)</f>
        <v/>
      </c>
      <c r="D356" s="8">
        <f>B355/100/12+(C356-1)</f>
        <v/>
      </c>
      <c r="E356" s="8">
        <f>E355*(1+D356)</f>
        <v/>
      </c>
    </row>
    <row r="357">
      <c r="A357" s="8" t="inlineStr">
        <is>
          <t>1948-04-01</t>
        </is>
      </c>
      <c r="B357" s="6" t="n">
        <v>3.47</v>
      </c>
      <c r="C357" s="8">
        <f>-PV(B357/100,$B$3,B356/100,1)</f>
        <v/>
      </c>
      <c r="D357" s="8">
        <f>B356/100/12+(C357-1)</f>
        <v/>
      </c>
      <c r="E357" s="8">
        <f>E356*(1+D357)</f>
        <v/>
      </c>
    </row>
    <row r="358">
      <c r="A358" s="8" t="inlineStr">
        <is>
          <t>1948-05-01</t>
        </is>
      </c>
      <c r="B358" s="6" t="n">
        <v>3.38</v>
      </c>
      <c r="C358" s="8">
        <f>-PV(B358/100,$B$3,B357/100,1)</f>
        <v/>
      </c>
      <c r="D358" s="8">
        <f>B357/100/12+(C358-1)</f>
        <v/>
      </c>
      <c r="E358" s="8">
        <f>E357*(1+D358)</f>
        <v/>
      </c>
    </row>
    <row r="359">
      <c r="A359" s="8" t="inlineStr">
        <is>
          <t>1948-06-01</t>
        </is>
      </c>
      <c r="B359" s="6" t="n">
        <v>3.34</v>
      </c>
      <c r="C359" s="8">
        <f>-PV(B359/100,$B$3,B358/100,1)</f>
        <v/>
      </c>
      <c r="D359" s="8">
        <f>B358/100/12+(C359-1)</f>
        <v/>
      </c>
      <c r="E359" s="8">
        <f>E358*(1+D359)</f>
        <v/>
      </c>
    </row>
    <row r="360">
      <c r="A360" s="8" t="inlineStr">
        <is>
          <t>1948-07-01</t>
        </is>
      </c>
      <c r="B360" s="6" t="n">
        <v>3.37</v>
      </c>
      <c r="C360" s="8">
        <f>-PV(B360/100,$B$3,B359/100,1)</f>
        <v/>
      </c>
      <c r="D360" s="8">
        <f>B359/100/12+(C360-1)</f>
        <v/>
      </c>
      <c r="E360" s="8">
        <f>E359*(1+D360)</f>
        <v/>
      </c>
    </row>
    <row r="361">
      <c r="A361" s="8" t="inlineStr">
        <is>
          <t>1948-08-01</t>
        </is>
      </c>
      <c r="B361" s="6" t="n">
        <v>3.44</v>
      </c>
      <c r="C361" s="8">
        <f>-PV(B361/100,$B$3,B360/100,1)</f>
        <v/>
      </c>
      <c r="D361" s="8">
        <f>B360/100/12+(C361-1)</f>
        <v/>
      </c>
      <c r="E361" s="8">
        <f>E360*(1+D361)</f>
        <v/>
      </c>
    </row>
    <row r="362">
      <c r="A362" s="8" t="inlineStr">
        <is>
          <t>1948-09-01</t>
        </is>
      </c>
      <c r="B362" s="6" t="n">
        <v>3.45</v>
      </c>
      <c r="C362" s="8">
        <f>-PV(B362/100,$B$3,B361/100,1)</f>
        <v/>
      </c>
      <c r="D362" s="8">
        <f>B361/100/12+(C362-1)</f>
        <v/>
      </c>
      <c r="E362" s="8">
        <f>E361*(1+D362)</f>
        <v/>
      </c>
    </row>
    <row r="363">
      <c r="A363" s="8" t="inlineStr">
        <is>
          <t>1948-10-01</t>
        </is>
      </c>
      <c r="B363" s="6" t="n">
        <v>3.5</v>
      </c>
      <c r="C363" s="8">
        <f>-PV(B363/100,$B$3,B362/100,1)</f>
        <v/>
      </c>
      <c r="D363" s="8">
        <f>B362/100/12+(C363-1)</f>
        <v/>
      </c>
      <c r="E363" s="8">
        <f>E362*(1+D363)</f>
        <v/>
      </c>
    </row>
    <row r="364">
      <c r="A364" s="8" t="inlineStr">
        <is>
          <t>1948-11-01</t>
        </is>
      </c>
      <c r="B364" s="6" t="n">
        <v>3.53</v>
      </c>
      <c r="C364" s="8">
        <f>-PV(B364/100,$B$3,B363/100,1)</f>
        <v/>
      </c>
      <c r="D364" s="8">
        <f>B363/100/12+(C364-1)</f>
        <v/>
      </c>
      <c r="E364" s="8">
        <f>E363*(1+D364)</f>
        <v/>
      </c>
    </row>
    <row r="365">
      <c r="A365" s="8" t="inlineStr">
        <is>
          <t>1948-12-01</t>
        </is>
      </c>
      <c r="B365" s="6" t="n">
        <v>3.53</v>
      </c>
      <c r="C365" s="8">
        <f>-PV(B365/100,$B$3,B364/100,1)</f>
        <v/>
      </c>
      <c r="D365" s="8">
        <f>B364/100/12+(C365-1)</f>
        <v/>
      </c>
      <c r="E365" s="8">
        <f>E364*(1+D365)</f>
        <v/>
      </c>
    </row>
    <row r="366">
      <c r="A366" s="8" t="inlineStr">
        <is>
          <t>1949-01-01</t>
        </is>
      </c>
      <c r="B366" s="6" t="n">
        <v>3.46</v>
      </c>
      <c r="C366" s="8">
        <f>-PV(B366/100,$B$3,B365/100,1)</f>
        <v/>
      </c>
      <c r="D366" s="8">
        <f>B365/100/12+(C366-1)</f>
        <v/>
      </c>
      <c r="E366" s="8">
        <f>E365*(1+D366)</f>
        <v/>
      </c>
    </row>
    <row r="367">
      <c r="A367" s="8" t="inlineStr">
        <is>
          <t>1949-02-01</t>
        </is>
      </c>
      <c r="B367" s="6" t="n">
        <v>3.45</v>
      </c>
      <c r="C367" s="8">
        <f>-PV(B367/100,$B$3,B366/100,1)</f>
        <v/>
      </c>
      <c r="D367" s="8">
        <f>B366/100/12+(C367-1)</f>
        <v/>
      </c>
      <c r="E367" s="8">
        <f>E366*(1+D367)</f>
        <v/>
      </c>
    </row>
    <row r="368">
      <c r="A368" s="8" t="inlineStr">
        <is>
          <t>1949-03-01</t>
        </is>
      </c>
      <c r="B368" s="6" t="n">
        <v>3.47</v>
      </c>
      <c r="C368" s="8">
        <f>-PV(B368/100,$B$3,B367/100,1)</f>
        <v/>
      </c>
      <c r="D368" s="8">
        <f>B367/100/12+(C368-1)</f>
        <v/>
      </c>
      <c r="E368" s="8">
        <f>E367*(1+D368)</f>
        <v/>
      </c>
    </row>
    <row r="369">
      <c r="A369" s="8" t="inlineStr">
        <is>
          <t>1949-04-01</t>
        </is>
      </c>
      <c r="B369" s="6" t="n">
        <v>3.45</v>
      </c>
      <c r="C369" s="8">
        <f>-PV(B369/100,$B$3,B368/100,1)</f>
        <v/>
      </c>
      <c r="D369" s="8">
        <f>B368/100/12+(C369-1)</f>
        <v/>
      </c>
      <c r="E369" s="8">
        <f>E368*(1+D369)</f>
        <v/>
      </c>
    </row>
    <row r="370">
      <c r="A370" s="8" t="inlineStr">
        <is>
          <t>1949-05-01</t>
        </is>
      </c>
      <c r="B370" s="6" t="n">
        <v>3.45</v>
      </c>
      <c r="C370" s="8">
        <f>-PV(B370/100,$B$3,B369/100,1)</f>
        <v/>
      </c>
      <c r="D370" s="8">
        <f>B369/100/12+(C370-1)</f>
        <v/>
      </c>
      <c r="E370" s="8">
        <f>E369*(1+D370)</f>
        <v/>
      </c>
    </row>
    <row r="371">
      <c r="A371" s="8" t="inlineStr">
        <is>
          <t>1949-06-01</t>
        </is>
      </c>
      <c r="B371" s="6" t="n">
        <v>3.47</v>
      </c>
      <c r="C371" s="8">
        <f>-PV(B371/100,$B$3,B370/100,1)</f>
        <v/>
      </c>
      <c r="D371" s="8">
        <f>B370/100/12+(C371-1)</f>
        <v/>
      </c>
      <c r="E371" s="8">
        <f>E370*(1+D371)</f>
        <v/>
      </c>
    </row>
    <row r="372">
      <c r="A372" s="8" t="inlineStr">
        <is>
          <t>1949-07-01</t>
        </is>
      </c>
      <c r="B372" s="6" t="n">
        <v>3.46</v>
      </c>
      <c r="C372" s="8">
        <f>-PV(B372/100,$B$3,B371/100,1)</f>
        <v/>
      </c>
      <c r="D372" s="8">
        <f>B371/100/12+(C372-1)</f>
        <v/>
      </c>
      <c r="E372" s="8">
        <f>E371*(1+D372)</f>
        <v/>
      </c>
    </row>
    <row r="373">
      <c r="A373" s="8" t="inlineStr">
        <is>
          <t>1949-08-01</t>
        </is>
      </c>
      <c r="B373" s="6" t="n">
        <v>3.4</v>
      </c>
      <c r="C373" s="8">
        <f>-PV(B373/100,$B$3,B372/100,1)</f>
        <v/>
      </c>
      <c r="D373" s="8">
        <f>B372/100/12+(C373-1)</f>
        <v/>
      </c>
      <c r="E373" s="8">
        <f>E372*(1+D373)</f>
        <v/>
      </c>
    </row>
    <row r="374">
      <c r="A374" s="8" t="inlineStr">
        <is>
          <t>1949-09-01</t>
        </is>
      </c>
      <c r="B374" s="6" t="n">
        <v>3.37</v>
      </c>
      <c r="C374" s="8">
        <f>-PV(B374/100,$B$3,B373/100,1)</f>
        <v/>
      </c>
      <c r="D374" s="8">
        <f>B373/100/12+(C374-1)</f>
        <v/>
      </c>
      <c r="E374" s="8">
        <f>E373*(1+D374)</f>
        <v/>
      </c>
    </row>
    <row r="375">
      <c r="A375" s="8" t="inlineStr">
        <is>
          <t>1949-10-01</t>
        </is>
      </c>
      <c r="B375" s="6" t="n">
        <v>3.36</v>
      </c>
      <c r="C375" s="8">
        <f>-PV(B375/100,$B$3,B374/100,1)</f>
        <v/>
      </c>
      <c r="D375" s="8">
        <f>B374/100/12+(C375-1)</f>
        <v/>
      </c>
      <c r="E375" s="8">
        <f>E374*(1+D375)</f>
        <v/>
      </c>
    </row>
    <row r="376">
      <c r="A376" s="8" t="inlineStr">
        <is>
          <t>1949-11-01</t>
        </is>
      </c>
      <c r="B376" s="6" t="n">
        <v>3.35</v>
      </c>
      <c r="C376" s="8">
        <f>-PV(B376/100,$B$3,B375/100,1)</f>
        <v/>
      </c>
      <c r="D376" s="8">
        <f>B375/100/12+(C376-1)</f>
        <v/>
      </c>
      <c r="E376" s="8">
        <f>E375*(1+D376)</f>
        <v/>
      </c>
    </row>
    <row r="377">
      <c r="A377" s="8" t="inlineStr">
        <is>
          <t>1949-12-01</t>
        </is>
      </c>
      <c r="B377" s="6" t="n">
        <v>3.31</v>
      </c>
      <c r="C377" s="8">
        <f>-PV(B377/100,$B$3,B376/100,1)</f>
        <v/>
      </c>
      <c r="D377" s="8">
        <f>B376/100/12+(C377-1)</f>
        <v/>
      </c>
      <c r="E377" s="8">
        <f>E376*(1+D377)</f>
        <v/>
      </c>
    </row>
    <row r="378">
      <c r="A378" s="8" t="inlineStr">
        <is>
          <t>1950-01-01</t>
        </is>
      </c>
      <c r="B378" s="6" t="n">
        <v>3.24</v>
      </c>
      <c r="C378" s="8">
        <f>-PV(B378/100,$B$3,B377/100,1)</f>
        <v/>
      </c>
      <c r="D378" s="8">
        <f>B377/100/12+(C378-1)</f>
        <v/>
      </c>
      <c r="E378" s="8">
        <f>E377*(1+D378)</f>
        <v/>
      </c>
    </row>
    <row r="379">
      <c r="A379" s="8" t="inlineStr">
        <is>
          <t>1950-02-01</t>
        </is>
      </c>
      <c r="B379" s="6" t="n">
        <v>3.24</v>
      </c>
      <c r="C379" s="8">
        <f>-PV(B379/100,$B$3,B378/100,1)</f>
        <v/>
      </c>
      <c r="D379" s="8">
        <f>B378/100/12+(C379-1)</f>
        <v/>
      </c>
      <c r="E379" s="8">
        <f>E378*(1+D379)</f>
        <v/>
      </c>
    </row>
    <row r="380">
      <c r="A380" s="8" t="inlineStr">
        <is>
          <t>1950-03-01</t>
        </is>
      </c>
      <c r="B380" s="6" t="n">
        <v>3.24</v>
      </c>
      <c r="C380" s="8">
        <f>-PV(B380/100,$B$3,B379/100,1)</f>
        <v/>
      </c>
      <c r="D380" s="8">
        <f>B379/100/12+(C380-1)</f>
        <v/>
      </c>
      <c r="E380" s="8">
        <f>E379*(1+D380)</f>
        <v/>
      </c>
    </row>
    <row r="381">
      <c r="A381" s="8" t="inlineStr">
        <is>
          <t>1950-04-01</t>
        </is>
      </c>
      <c r="B381" s="6" t="n">
        <v>3.23</v>
      </c>
      <c r="C381" s="8">
        <f>-PV(B381/100,$B$3,B380/100,1)</f>
        <v/>
      </c>
      <c r="D381" s="8">
        <f>B380/100/12+(C381-1)</f>
        <v/>
      </c>
      <c r="E381" s="8">
        <f>E380*(1+D381)</f>
        <v/>
      </c>
    </row>
    <row r="382">
      <c r="A382" s="8" t="inlineStr">
        <is>
          <t>1950-05-01</t>
        </is>
      </c>
      <c r="B382" s="6" t="n">
        <v>3.25</v>
      </c>
      <c r="C382" s="8">
        <f>-PV(B382/100,$B$3,B381/100,1)</f>
        <v/>
      </c>
      <c r="D382" s="8">
        <f>B381/100/12+(C382-1)</f>
        <v/>
      </c>
      <c r="E382" s="8">
        <f>E381*(1+D382)</f>
        <v/>
      </c>
    </row>
    <row r="383">
      <c r="A383" s="8" t="inlineStr">
        <is>
          <t>1950-06-01</t>
        </is>
      </c>
      <c r="B383" s="6" t="n">
        <v>3.28</v>
      </c>
      <c r="C383" s="8">
        <f>-PV(B383/100,$B$3,B382/100,1)</f>
        <v/>
      </c>
      <c r="D383" s="8">
        <f>B382/100/12+(C383-1)</f>
        <v/>
      </c>
      <c r="E383" s="8">
        <f>E382*(1+D383)</f>
        <v/>
      </c>
    </row>
    <row r="384">
      <c r="A384" s="8" t="inlineStr">
        <is>
          <t>1950-07-01</t>
        </is>
      </c>
      <c r="B384" s="6" t="n">
        <v>3.32</v>
      </c>
      <c r="C384" s="8">
        <f>-PV(B384/100,$B$3,B383/100,1)</f>
        <v/>
      </c>
      <c r="D384" s="8">
        <f>B383/100/12+(C384-1)</f>
        <v/>
      </c>
      <c r="E384" s="8">
        <f>E383*(1+D384)</f>
        <v/>
      </c>
    </row>
    <row r="385">
      <c r="A385" s="8" t="inlineStr">
        <is>
          <t>1950-08-01</t>
        </is>
      </c>
      <c r="B385" s="6" t="n">
        <v>3.23</v>
      </c>
      <c r="C385" s="8">
        <f>-PV(B385/100,$B$3,B384/100,1)</f>
        <v/>
      </c>
      <c r="D385" s="8">
        <f>B384/100/12+(C385-1)</f>
        <v/>
      </c>
      <c r="E385" s="8">
        <f>E384*(1+D385)</f>
        <v/>
      </c>
    </row>
    <row r="386">
      <c r="A386" s="8" t="inlineStr">
        <is>
          <t>1950-09-01</t>
        </is>
      </c>
      <c r="B386" s="6" t="n">
        <v>3.21</v>
      </c>
      <c r="C386" s="8">
        <f>-PV(B386/100,$B$3,B385/100,1)</f>
        <v/>
      </c>
      <c r="D386" s="8">
        <f>B385/100/12+(C386-1)</f>
        <v/>
      </c>
      <c r="E386" s="8">
        <f>E385*(1+D386)</f>
        <v/>
      </c>
    </row>
    <row r="387">
      <c r="A387" s="8" t="inlineStr">
        <is>
          <t>1950-10-01</t>
        </is>
      </c>
      <c r="B387" s="6" t="n">
        <v>3.22</v>
      </c>
      <c r="C387" s="8">
        <f>-PV(B387/100,$B$3,B386/100,1)</f>
        <v/>
      </c>
      <c r="D387" s="8">
        <f>B386/100/12+(C387-1)</f>
        <v/>
      </c>
      <c r="E387" s="8">
        <f>E386*(1+D387)</f>
        <v/>
      </c>
    </row>
    <row r="388">
      <c r="A388" s="8" t="inlineStr">
        <is>
          <t>1950-11-01</t>
        </is>
      </c>
      <c r="B388" s="6" t="n">
        <v>3.22</v>
      </c>
      <c r="C388" s="8">
        <f>-PV(B388/100,$B$3,B387/100,1)</f>
        <v/>
      </c>
      <c r="D388" s="8">
        <f>B387/100/12+(C388-1)</f>
        <v/>
      </c>
      <c r="E388" s="8">
        <f>E387*(1+D388)</f>
        <v/>
      </c>
    </row>
    <row r="389">
      <c r="A389" s="8" t="inlineStr">
        <is>
          <t>1950-12-01</t>
        </is>
      </c>
      <c r="B389" s="6" t="n">
        <v>3.2</v>
      </c>
      <c r="C389" s="8">
        <f>-PV(B389/100,$B$3,B388/100,1)</f>
        <v/>
      </c>
      <c r="D389" s="8">
        <f>B388/100/12+(C389-1)</f>
        <v/>
      </c>
      <c r="E389" s="8">
        <f>E388*(1+D389)</f>
        <v/>
      </c>
    </row>
    <row r="390">
      <c r="A390" s="8" t="inlineStr">
        <is>
          <t>1951-01-01</t>
        </is>
      </c>
      <c r="B390" s="6" t="n">
        <v>3.17</v>
      </c>
      <c r="C390" s="8">
        <f>-PV(B390/100,$B$3,B389/100,1)</f>
        <v/>
      </c>
      <c r="D390" s="8">
        <f>B389/100/12+(C390-1)</f>
        <v/>
      </c>
      <c r="E390" s="8">
        <f>E389*(1+D390)</f>
        <v/>
      </c>
    </row>
    <row r="391">
      <c r="A391" s="8" t="inlineStr">
        <is>
          <t>1951-02-01</t>
        </is>
      </c>
      <c r="B391" s="6" t="n">
        <v>3.16</v>
      </c>
      <c r="C391" s="8">
        <f>-PV(B391/100,$B$3,B390/100,1)</f>
        <v/>
      </c>
      <c r="D391" s="8">
        <f>B390/100/12+(C391-1)</f>
        <v/>
      </c>
      <c r="E391" s="8">
        <f>E390*(1+D391)</f>
        <v/>
      </c>
    </row>
    <row r="392">
      <c r="A392" s="8" t="inlineStr">
        <is>
          <t>1951-03-01</t>
        </is>
      </c>
      <c r="B392" s="6" t="n">
        <v>3.23</v>
      </c>
      <c r="C392" s="8">
        <f>-PV(B392/100,$B$3,B391/100,1)</f>
        <v/>
      </c>
      <c r="D392" s="8">
        <f>B391/100/12+(C392-1)</f>
        <v/>
      </c>
      <c r="E392" s="8">
        <f>E391*(1+D392)</f>
        <v/>
      </c>
    </row>
    <row r="393">
      <c r="A393" s="8" t="inlineStr">
        <is>
          <t>1951-04-01</t>
        </is>
      </c>
      <c r="B393" s="6" t="n">
        <v>3.35</v>
      </c>
      <c r="C393" s="8">
        <f>-PV(B393/100,$B$3,B392/100,1)</f>
        <v/>
      </c>
      <c r="D393" s="8">
        <f>B392/100/12+(C393-1)</f>
        <v/>
      </c>
      <c r="E393" s="8">
        <f>E392*(1+D393)</f>
        <v/>
      </c>
    </row>
    <row r="394">
      <c r="A394" s="8" t="inlineStr">
        <is>
          <t>1951-05-01</t>
        </is>
      </c>
      <c r="B394" s="6" t="n">
        <v>3.4</v>
      </c>
      <c r="C394" s="8">
        <f>-PV(B394/100,$B$3,B393/100,1)</f>
        <v/>
      </c>
      <c r="D394" s="8">
        <f>B393/100/12+(C394-1)</f>
        <v/>
      </c>
      <c r="E394" s="8">
        <f>E393*(1+D394)</f>
        <v/>
      </c>
    </row>
    <row r="395">
      <c r="A395" s="8" t="inlineStr">
        <is>
          <t>1951-06-01</t>
        </is>
      </c>
      <c r="B395" s="6" t="n">
        <v>3.49</v>
      </c>
      <c r="C395" s="8">
        <f>-PV(B395/100,$B$3,B394/100,1)</f>
        <v/>
      </c>
      <c r="D395" s="8">
        <f>B394/100/12+(C395-1)</f>
        <v/>
      </c>
      <c r="E395" s="8">
        <f>E394*(1+D395)</f>
        <v/>
      </c>
    </row>
    <row r="396">
      <c r="A396" s="8" t="inlineStr">
        <is>
          <t>1951-07-01</t>
        </is>
      </c>
      <c r="B396" s="6" t="n">
        <v>3.53</v>
      </c>
      <c r="C396" s="8">
        <f>-PV(B396/100,$B$3,B395/100,1)</f>
        <v/>
      </c>
      <c r="D396" s="8">
        <f>B395/100/12+(C396-1)</f>
        <v/>
      </c>
      <c r="E396" s="8">
        <f>E395*(1+D396)</f>
        <v/>
      </c>
    </row>
    <row r="397">
      <c r="A397" s="8" t="inlineStr">
        <is>
          <t>1951-08-01</t>
        </is>
      </c>
      <c r="B397" s="6" t="n">
        <v>3.5</v>
      </c>
      <c r="C397" s="8">
        <f>-PV(B397/100,$B$3,B396/100,1)</f>
        <v/>
      </c>
      <c r="D397" s="8">
        <f>B396/100/12+(C397-1)</f>
        <v/>
      </c>
      <c r="E397" s="8">
        <f>E396*(1+D397)</f>
        <v/>
      </c>
    </row>
    <row r="398">
      <c r="A398" s="8" t="inlineStr">
        <is>
          <t>1951-09-01</t>
        </is>
      </c>
      <c r="B398" s="6" t="n">
        <v>3.46</v>
      </c>
      <c r="C398" s="8">
        <f>-PV(B398/100,$B$3,B397/100,1)</f>
        <v/>
      </c>
      <c r="D398" s="8">
        <f>B397/100/12+(C398-1)</f>
        <v/>
      </c>
      <c r="E398" s="8">
        <f>E397*(1+D398)</f>
        <v/>
      </c>
    </row>
    <row r="399">
      <c r="A399" s="8" t="inlineStr">
        <is>
          <t>1951-10-01</t>
        </is>
      </c>
      <c r="B399" s="6" t="n">
        <v>3.5</v>
      </c>
      <c r="C399" s="8">
        <f>-PV(B399/100,$B$3,B398/100,1)</f>
        <v/>
      </c>
      <c r="D399" s="8">
        <f>B398/100/12+(C399-1)</f>
        <v/>
      </c>
      <c r="E399" s="8">
        <f>E398*(1+D399)</f>
        <v/>
      </c>
    </row>
    <row r="400">
      <c r="A400" s="8" t="inlineStr">
        <is>
          <t>1951-11-01</t>
        </is>
      </c>
      <c r="B400" s="6" t="n">
        <v>3.56</v>
      </c>
      <c r="C400" s="8">
        <f>-PV(B400/100,$B$3,B399/100,1)</f>
        <v/>
      </c>
      <c r="D400" s="8">
        <f>B399/100/12+(C400-1)</f>
        <v/>
      </c>
      <c r="E400" s="8">
        <f>E399*(1+D400)</f>
        <v/>
      </c>
    </row>
    <row r="401">
      <c r="A401" s="8" t="inlineStr">
        <is>
          <t>1951-12-01</t>
        </is>
      </c>
      <c r="B401" s="6" t="n">
        <v>3.61</v>
      </c>
      <c r="C401" s="8">
        <f>-PV(B401/100,$B$3,B400/100,1)</f>
        <v/>
      </c>
      <c r="D401" s="8">
        <f>B400/100/12+(C401-1)</f>
        <v/>
      </c>
      <c r="E401" s="8">
        <f>E400*(1+D401)</f>
        <v/>
      </c>
    </row>
    <row r="402">
      <c r="A402" s="8" t="inlineStr">
        <is>
          <t>1952-01-01</t>
        </is>
      </c>
      <c r="B402" s="6" t="n">
        <v>3.59</v>
      </c>
      <c r="C402" s="8">
        <f>-PV(B402/100,$B$3,B401/100,1)</f>
        <v/>
      </c>
      <c r="D402" s="8">
        <f>B401/100/12+(C402-1)</f>
        <v/>
      </c>
      <c r="E402" s="8">
        <f>E401*(1+D402)</f>
        <v/>
      </c>
    </row>
    <row r="403">
      <c r="A403" s="8" t="inlineStr">
        <is>
          <t>1952-02-01</t>
        </is>
      </c>
      <c r="B403" s="6" t="n">
        <v>3.53</v>
      </c>
      <c r="C403" s="8">
        <f>-PV(B403/100,$B$3,B402/100,1)</f>
        <v/>
      </c>
      <c r="D403" s="8">
        <f>B402/100/12+(C403-1)</f>
        <v/>
      </c>
      <c r="E403" s="8">
        <f>E402*(1+D403)</f>
        <v/>
      </c>
    </row>
    <row r="404">
      <c r="A404" s="8" t="inlineStr">
        <is>
          <t>1952-03-01</t>
        </is>
      </c>
      <c r="B404" s="6" t="n">
        <v>3.51</v>
      </c>
      <c r="C404" s="8">
        <f>-PV(B404/100,$B$3,B403/100,1)</f>
        <v/>
      </c>
      <c r="D404" s="8">
        <f>B403/100/12+(C404-1)</f>
        <v/>
      </c>
      <c r="E404" s="8">
        <f>E403*(1+D404)</f>
        <v/>
      </c>
    </row>
    <row r="405">
      <c r="A405" s="8" t="inlineStr">
        <is>
          <t>1952-04-01</t>
        </is>
      </c>
      <c r="B405" s="6" t="n">
        <v>3.5</v>
      </c>
      <c r="C405" s="8">
        <f>-PV(B405/100,$B$3,B404/100,1)</f>
        <v/>
      </c>
      <c r="D405" s="8">
        <f>B404/100/12+(C405-1)</f>
        <v/>
      </c>
      <c r="E405" s="8">
        <f>E404*(1+D405)</f>
        <v/>
      </c>
    </row>
    <row r="406">
      <c r="A406" s="8" t="inlineStr">
        <is>
          <t>1952-05-01</t>
        </is>
      </c>
      <c r="B406" s="6" t="n">
        <v>3.49</v>
      </c>
      <c r="C406" s="8">
        <f>-PV(B406/100,$B$3,B405/100,1)</f>
        <v/>
      </c>
      <c r="D406" s="8">
        <f>B405/100/12+(C406-1)</f>
        <v/>
      </c>
      <c r="E406" s="8">
        <f>E405*(1+D406)</f>
        <v/>
      </c>
    </row>
    <row r="407">
      <c r="A407" s="8" t="inlineStr">
        <is>
          <t>1952-06-01</t>
        </is>
      </c>
      <c r="B407" s="6" t="n">
        <v>3.5</v>
      </c>
      <c r="C407" s="8">
        <f>-PV(B407/100,$B$3,B406/100,1)</f>
        <v/>
      </c>
      <c r="D407" s="8">
        <f>B406/100/12+(C407-1)</f>
        <v/>
      </c>
      <c r="E407" s="8">
        <f>E406*(1+D407)</f>
        <v/>
      </c>
    </row>
    <row r="408">
      <c r="A408" s="8" t="inlineStr">
        <is>
          <t>1952-07-01</t>
        </is>
      </c>
      <c r="B408" s="6" t="n">
        <v>3.5</v>
      </c>
      <c r="C408" s="8">
        <f>-PV(B408/100,$B$3,B407/100,1)</f>
        <v/>
      </c>
      <c r="D408" s="8">
        <f>B407/100/12+(C408-1)</f>
        <v/>
      </c>
      <c r="E408" s="8">
        <f>E407*(1+D408)</f>
        <v/>
      </c>
    </row>
    <row r="409">
      <c r="A409" s="8" t="inlineStr">
        <is>
          <t>1952-08-01</t>
        </is>
      </c>
      <c r="B409" s="6" t="n">
        <v>3.51</v>
      </c>
      <c r="C409" s="8">
        <f>-PV(B409/100,$B$3,B408/100,1)</f>
        <v/>
      </c>
      <c r="D409" s="8">
        <f>B408/100/12+(C409-1)</f>
        <v/>
      </c>
      <c r="E409" s="8">
        <f>E408*(1+D409)</f>
        <v/>
      </c>
    </row>
    <row r="410">
      <c r="A410" s="8" t="inlineStr">
        <is>
          <t>1952-09-01</t>
        </is>
      </c>
      <c r="B410" s="6" t="n">
        <v>3.52</v>
      </c>
      <c r="C410" s="8">
        <f>-PV(B410/100,$B$3,B409/100,1)</f>
        <v/>
      </c>
      <c r="D410" s="8">
        <f>B409/100/12+(C410-1)</f>
        <v/>
      </c>
      <c r="E410" s="8">
        <f>E409*(1+D410)</f>
        <v/>
      </c>
    </row>
    <row r="411">
      <c r="A411" s="8" t="inlineStr">
        <is>
          <t>1952-10-01</t>
        </is>
      </c>
      <c r="B411" s="6" t="n">
        <v>3.54</v>
      </c>
      <c r="C411" s="8">
        <f>-PV(B411/100,$B$3,B410/100,1)</f>
        <v/>
      </c>
      <c r="D411" s="8">
        <f>B410/100/12+(C411-1)</f>
        <v/>
      </c>
      <c r="E411" s="8">
        <f>E410*(1+D411)</f>
        <v/>
      </c>
    </row>
    <row r="412">
      <c r="A412" s="8" t="inlineStr">
        <is>
          <t>1952-11-01</t>
        </is>
      </c>
      <c r="B412" s="6" t="n">
        <v>3.53</v>
      </c>
      <c r="C412" s="8">
        <f>-PV(B412/100,$B$3,B411/100,1)</f>
        <v/>
      </c>
      <c r="D412" s="8">
        <f>B411/100/12+(C412-1)</f>
        <v/>
      </c>
      <c r="E412" s="8">
        <f>E411*(1+D412)</f>
        <v/>
      </c>
    </row>
    <row r="413">
      <c r="A413" s="8" t="inlineStr">
        <is>
          <t>1952-12-01</t>
        </is>
      </c>
      <c r="B413" s="6" t="n">
        <v>3.51</v>
      </c>
      <c r="C413" s="8">
        <f>-PV(B413/100,$B$3,B412/100,1)</f>
        <v/>
      </c>
      <c r="D413" s="8">
        <f>B412/100/12+(C413-1)</f>
        <v/>
      </c>
      <c r="E413" s="8">
        <f>E412*(1+D413)</f>
        <v/>
      </c>
    </row>
    <row r="414">
      <c r="A414" s="8" t="inlineStr">
        <is>
          <t>1953-01-01</t>
        </is>
      </c>
      <c r="B414" s="6" t="n">
        <v>3.51</v>
      </c>
      <c r="C414" s="8">
        <f>-PV(B414/100,$B$3,B413/100,1)</f>
        <v/>
      </c>
      <c r="D414" s="8">
        <f>B413/100/12+(C414-1)</f>
        <v/>
      </c>
      <c r="E414" s="8">
        <f>E413*(1+D414)</f>
        <v/>
      </c>
    </row>
    <row r="415">
      <c r="A415" s="8" t="inlineStr">
        <is>
          <t>1953-02-01</t>
        </is>
      </c>
      <c r="B415" s="6" t="n">
        <v>3.53</v>
      </c>
      <c r="C415" s="8">
        <f>-PV(B415/100,$B$3,B414/100,1)</f>
        <v/>
      </c>
      <c r="D415" s="8">
        <f>B414/100/12+(C415-1)</f>
        <v/>
      </c>
      <c r="E415" s="8">
        <f>E414*(1+D415)</f>
        <v/>
      </c>
    </row>
    <row r="416">
      <c r="A416" s="8" t="inlineStr">
        <is>
          <t>1953-03-01</t>
        </is>
      </c>
      <c r="B416" s="6" t="n">
        <v>3.57</v>
      </c>
      <c r="C416" s="8">
        <f>-PV(B416/100,$B$3,B415/100,1)</f>
        <v/>
      </c>
      <c r="D416" s="8">
        <f>B415/100/12+(C416-1)</f>
        <v/>
      </c>
      <c r="E416" s="8">
        <f>E415*(1+D416)</f>
        <v/>
      </c>
    </row>
    <row r="417">
      <c r="A417" s="8" t="inlineStr">
        <is>
          <t>1953-04-01</t>
        </is>
      </c>
      <c r="B417" s="6" t="n">
        <v>3.65</v>
      </c>
      <c r="C417" s="8">
        <f>-PV(B417/100,$B$3,B416/100,1)</f>
        <v/>
      </c>
      <c r="D417" s="8">
        <f>B416/100/12+(C417-1)</f>
        <v/>
      </c>
      <c r="E417" s="8">
        <f>E416*(1+D417)</f>
        <v/>
      </c>
    </row>
    <row r="418">
      <c r="A418" s="8" t="inlineStr">
        <is>
          <t>1953-05-01</t>
        </is>
      </c>
      <c r="B418" s="6" t="n">
        <v>3.78</v>
      </c>
      <c r="C418" s="8">
        <f>-PV(B418/100,$B$3,B417/100,1)</f>
        <v/>
      </c>
      <c r="D418" s="8">
        <f>B417/100/12+(C418-1)</f>
        <v/>
      </c>
      <c r="E418" s="8">
        <f>E417*(1+D418)</f>
        <v/>
      </c>
    </row>
    <row r="419">
      <c r="A419" s="8" t="inlineStr">
        <is>
          <t>1953-06-01</t>
        </is>
      </c>
      <c r="B419" s="6" t="n">
        <v>3.86</v>
      </c>
      <c r="C419" s="8">
        <f>-PV(B419/100,$B$3,B418/100,1)</f>
        <v/>
      </c>
      <c r="D419" s="8">
        <f>B418/100/12+(C419-1)</f>
        <v/>
      </c>
      <c r="E419" s="8">
        <f>E418*(1+D419)</f>
        <v/>
      </c>
    </row>
    <row r="420">
      <c r="A420" s="8" t="inlineStr">
        <is>
          <t>1953-07-01</t>
        </is>
      </c>
      <c r="B420" s="6" t="n">
        <v>3.86</v>
      </c>
      <c r="C420" s="8">
        <f>-PV(B420/100,$B$3,B419/100,1)</f>
        <v/>
      </c>
      <c r="D420" s="8">
        <f>B419/100/12+(C420-1)</f>
        <v/>
      </c>
      <c r="E420" s="8">
        <f>E419*(1+D420)</f>
        <v/>
      </c>
    </row>
    <row r="421">
      <c r="A421" s="8" t="inlineStr">
        <is>
          <t>1953-08-01</t>
        </is>
      </c>
      <c r="B421" s="6" t="n">
        <v>3.85</v>
      </c>
      <c r="C421" s="8">
        <f>-PV(B421/100,$B$3,B420/100,1)</f>
        <v/>
      </c>
      <c r="D421" s="8">
        <f>B420/100/12+(C421-1)</f>
        <v/>
      </c>
      <c r="E421" s="8">
        <f>E420*(1+D421)</f>
        <v/>
      </c>
    </row>
    <row r="422">
      <c r="A422" s="8" t="inlineStr">
        <is>
          <t>1953-09-01</t>
        </is>
      </c>
      <c r="B422" s="6" t="n">
        <v>3.88</v>
      </c>
      <c r="C422" s="8">
        <f>-PV(B422/100,$B$3,B421/100,1)</f>
        <v/>
      </c>
      <c r="D422" s="8">
        <f>B421/100/12+(C422-1)</f>
        <v/>
      </c>
      <c r="E422" s="8">
        <f>E421*(1+D422)</f>
        <v/>
      </c>
    </row>
    <row r="423">
      <c r="A423" s="8" t="inlineStr">
        <is>
          <t>1953-10-01</t>
        </is>
      </c>
      <c r="B423" s="6" t="n">
        <v>3.82</v>
      </c>
      <c r="C423" s="8">
        <f>-PV(B423/100,$B$3,B422/100,1)</f>
        <v/>
      </c>
      <c r="D423" s="8">
        <f>B422/100/12+(C423-1)</f>
        <v/>
      </c>
      <c r="E423" s="8">
        <f>E422*(1+D423)</f>
        <v/>
      </c>
    </row>
    <row r="424">
      <c r="A424" s="8" t="inlineStr">
        <is>
          <t>1953-11-01</t>
        </is>
      </c>
      <c r="B424" s="6" t="n">
        <v>3.75</v>
      </c>
      <c r="C424" s="8">
        <f>-PV(B424/100,$B$3,B423/100,1)</f>
        <v/>
      </c>
      <c r="D424" s="8">
        <f>B423/100/12+(C424-1)</f>
        <v/>
      </c>
      <c r="E424" s="8">
        <f>E423*(1+D424)</f>
        <v/>
      </c>
    </row>
    <row r="425">
      <c r="A425" s="8" t="inlineStr">
        <is>
          <t>1953-12-01</t>
        </is>
      </c>
      <c r="B425" s="6" t="n">
        <v>3.74</v>
      </c>
      <c r="C425" s="8">
        <f>-PV(B425/100,$B$3,B424/100,1)</f>
        <v/>
      </c>
      <c r="D425" s="8">
        <f>B424/100/12+(C425-1)</f>
        <v/>
      </c>
      <c r="E425" s="8">
        <f>E424*(1+D425)</f>
        <v/>
      </c>
    </row>
    <row r="426">
      <c r="A426" s="8" t="inlineStr">
        <is>
          <t>1954-01-01</t>
        </is>
      </c>
      <c r="B426" s="6" t="n">
        <v>3.71</v>
      </c>
      <c r="C426" s="8">
        <f>-PV(B426/100,$B$3,B425/100,1)</f>
        <v/>
      </c>
      <c r="D426" s="8">
        <f>B425/100/12+(C426-1)</f>
        <v/>
      </c>
      <c r="E426" s="8">
        <f>E425*(1+D426)</f>
        <v/>
      </c>
    </row>
    <row r="427">
      <c r="A427" s="8" t="inlineStr">
        <is>
          <t>1954-02-01</t>
        </is>
      </c>
      <c r="B427" s="6" t="n">
        <v>3.61</v>
      </c>
      <c r="C427" s="8">
        <f>-PV(B427/100,$B$3,B426/100,1)</f>
        <v/>
      </c>
      <c r="D427" s="8">
        <f>B426/100/12+(C427-1)</f>
        <v/>
      </c>
      <c r="E427" s="8">
        <f>E426*(1+D427)</f>
        <v/>
      </c>
    </row>
    <row r="428">
      <c r="A428" s="8" t="inlineStr">
        <is>
          <t>1954-03-01</t>
        </is>
      </c>
      <c r="B428" s="6" t="n">
        <v>3.51</v>
      </c>
      <c r="C428" s="8">
        <f>-PV(B428/100,$B$3,B427/100,1)</f>
        <v/>
      </c>
      <c r="D428" s="8">
        <f>B427/100/12+(C428-1)</f>
        <v/>
      </c>
      <c r="E428" s="8">
        <f>E427*(1+D428)</f>
        <v/>
      </c>
    </row>
    <row r="429">
      <c r="A429" s="8" t="inlineStr">
        <is>
          <t>1954-04-01</t>
        </is>
      </c>
      <c r="B429" s="6" t="n">
        <v>3.47</v>
      </c>
      <c r="C429" s="8">
        <f>-PV(B429/100,$B$3,B428/100,1)</f>
        <v/>
      </c>
      <c r="D429" s="8">
        <f>B428/100/12+(C429-1)</f>
        <v/>
      </c>
      <c r="E429" s="8">
        <f>E428*(1+D429)</f>
        <v/>
      </c>
    </row>
    <row r="430">
      <c r="A430" s="8" t="inlineStr">
        <is>
          <t>1954-05-01</t>
        </is>
      </c>
      <c r="B430" s="6" t="n">
        <v>3.47</v>
      </c>
      <c r="C430" s="8">
        <f>-PV(B430/100,$B$3,B429/100,1)</f>
        <v/>
      </c>
      <c r="D430" s="8">
        <f>B429/100/12+(C430-1)</f>
        <v/>
      </c>
      <c r="E430" s="8">
        <f>E429*(1+D430)</f>
        <v/>
      </c>
    </row>
    <row r="431">
      <c r="A431" s="8" t="inlineStr">
        <is>
          <t>1954-06-01</t>
        </is>
      </c>
      <c r="B431" s="6" t="n">
        <v>3.49</v>
      </c>
      <c r="C431" s="8">
        <f>-PV(B431/100,$B$3,B430/100,1)</f>
        <v/>
      </c>
      <c r="D431" s="8">
        <f>B430/100/12+(C431-1)</f>
        <v/>
      </c>
      <c r="E431" s="8">
        <f>E430*(1+D431)</f>
        <v/>
      </c>
    </row>
    <row r="432">
      <c r="A432" s="8" t="inlineStr">
        <is>
          <t>1954-07-01</t>
        </is>
      </c>
      <c r="B432" s="6" t="n">
        <v>3.5</v>
      </c>
      <c r="C432" s="8">
        <f>-PV(B432/100,$B$3,B431/100,1)</f>
        <v/>
      </c>
      <c r="D432" s="8">
        <f>B431/100/12+(C432-1)</f>
        <v/>
      </c>
      <c r="E432" s="8">
        <f>E431*(1+D432)</f>
        <v/>
      </c>
    </row>
    <row r="433">
      <c r="A433" s="8" t="inlineStr">
        <is>
          <t>1954-08-01</t>
        </is>
      </c>
      <c r="B433" s="6" t="n">
        <v>3.49</v>
      </c>
      <c r="C433" s="8">
        <f>-PV(B433/100,$B$3,B432/100,1)</f>
        <v/>
      </c>
      <c r="D433" s="8">
        <f>B432/100/12+(C433-1)</f>
        <v/>
      </c>
      <c r="E433" s="8">
        <f>E432*(1+D433)</f>
        <v/>
      </c>
    </row>
    <row r="434">
      <c r="A434" s="8" t="inlineStr">
        <is>
          <t>1954-09-01</t>
        </is>
      </c>
      <c r="B434" s="6" t="n">
        <v>3.47</v>
      </c>
      <c r="C434" s="8">
        <f>-PV(B434/100,$B$3,B433/100,1)</f>
        <v/>
      </c>
      <c r="D434" s="8">
        <f>B433/100/12+(C434-1)</f>
        <v/>
      </c>
      <c r="E434" s="8">
        <f>E433*(1+D434)</f>
        <v/>
      </c>
    </row>
    <row r="435">
      <c r="A435" s="8" t="inlineStr">
        <is>
          <t>1954-10-01</t>
        </is>
      </c>
      <c r="B435" s="6" t="n">
        <v>3.46</v>
      </c>
      <c r="C435" s="8">
        <f>-PV(B435/100,$B$3,B434/100,1)</f>
        <v/>
      </c>
      <c r="D435" s="8">
        <f>B434/100/12+(C435-1)</f>
        <v/>
      </c>
      <c r="E435" s="8">
        <f>E434*(1+D435)</f>
        <v/>
      </c>
    </row>
    <row r="436">
      <c r="A436" s="8" t="inlineStr">
        <is>
          <t>1954-11-01</t>
        </is>
      </c>
      <c r="B436" s="6" t="n">
        <v>3.45</v>
      </c>
      <c r="C436" s="8">
        <f>-PV(B436/100,$B$3,B435/100,1)</f>
        <v/>
      </c>
      <c r="D436" s="8">
        <f>B435/100/12+(C436-1)</f>
        <v/>
      </c>
      <c r="E436" s="8">
        <f>E435*(1+D436)</f>
        <v/>
      </c>
    </row>
    <row r="437">
      <c r="A437" s="8" t="inlineStr">
        <is>
          <t>1954-12-01</t>
        </is>
      </c>
      <c r="B437" s="6" t="n">
        <v>3.45</v>
      </c>
      <c r="C437" s="8">
        <f>-PV(B437/100,$B$3,B436/100,1)</f>
        <v/>
      </c>
      <c r="D437" s="8">
        <f>B436/100/12+(C437-1)</f>
        <v/>
      </c>
      <c r="E437" s="8">
        <f>E436*(1+D437)</f>
        <v/>
      </c>
    </row>
    <row r="438">
      <c r="A438" s="8" t="inlineStr">
        <is>
          <t>1955-01-01</t>
        </is>
      </c>
      <c r="B438" s="6" t="n">
        <v>3.45</v>
      </c>
      <c r="C438" s="8">
        <f>-PV(B438/100,$B$3,B437/100,1)</f>
        <v/>
      </c>
      <c r="D438" s="8">
        <f>B437/100/12+(C438-1)</f>
        <v/>
      </c>
      <c r="E438" s="8">
        <f>E437*(1+D438)</f>
        <v/>
      </c>
    </row>
    <row r="439">
      <c r="A439" s="8" t="inlineStr">
        <is>
          <t>1955-02-01</t>
        </is>
      </c>
      <c r="B439" s="6" t="n">
        <v>3.47</v>
      </c>
      <c r="C439" s="8">
        <f>-PV(B439/100,$B$3,B438/100,1)</f>
        <v/>
      </c>
      <c r="D439" s="8">
        <f>B438/100/12+(C439-1)</f>
        <v/>
      </c>
      <c r="E439" s="8">
        <f>E438*(1+D439)</f>
        <v/>
      </c>
    </row>
    <row r="440">
      <c r="A440" s="8" t="inlineStr">
        <is>
          <t>1955-03-01</t>
        </is>
      </c>
      <c r="B440" s="6" t="n">
        <v>3.48</v>
      </c>
      <c r="C440" s="8">
        <f>-PV(B440/100,$B$3,B439/100,1)</f>
        <v/>
      </c>
      <c r="D440" s="8">
        <f>B439/100/12+(C440-1)</f>
        <v/>
      </c>
      <c r="E440" s="8">
        <f>E439*(1+D440)</f>
        <v/>
      </c>
    </row>
    <row r="441">
      <c r="A441" s="8" t="inlineStr">
        <is>
          <t>1955-04-01</t>
        </is>
      </c>
      <c r="B441" s="6" t="n">
        <v>3.49</v>
      </c>
      <c r="C441" s="8">
        <f>-PV(B441/100,$B$3,B440/100,1)</f>
        <v/>
      </c>
      <c r="D441" s="8">
        <f>B440/100/12+(C441-1)</f>
        <v/>
      </c>
      <c r="E441" s="8">
        <f>E440*(1+D441)</f>
        <v/>
      </c>
    </row>
    <row r="442">
      <c r="A442" s="8" t="inlineStr">
        <is>
          <t>1955-05-01</t>
        </is>
      </c>
      <c r="B442" s="6" t="n">
        <v>3.5</v>
      </c>
      <c r="C442" s="8">
        <f>-PV(B442/100,$B$3,B441/100,1)</f>
        <v/>
      </c>
      <c r="D442" s="8">
        <f>B441/100/12+(C442-1)</f>
        <v/>
      </c>
      <c r="E442" s="8">
        <f>E441*(1+D442)</f>
        <v/>
      </c>
    </row>
    <row r="443">
      <c r="A443" s="8" t="inlineStr">
        <is>
          <t>1955-06-01</t>
        </is>
      </c>
      <c r="B443" s="6" t="n">
        <v>3.51</v>
      </c>
      <c r="C443" s="8">
        <f>-PV(B443/100,$B$3,B442/100,1)</f>
        <v/>
      </c>
      <c r="D443" s="8">
        <f>B442/100/12+(C443-1)</f>
        <v/>
      </c>
      <c r="E443" s="8">
        <f>E442*(1+D443)</f>
        <v/>
      </c>
    </row>
    <row r="444">
      <c r="A444" s="8" t="inlineStr">
        <is>
          <t>1955-07-01</t>
        </is>
      </c>
      <c r="B444" s="6" t="n">
        <v>3.52</v>
      </c>
      <c r="C444" s="8">
        <f>-PV(B444/100,$B$3,B443/100,1)</f>
        <v/>
      </c>
      <c r="D444" s="8">
        <f>B443/100/12+(C444-1)</f>
        <v/>
      </c>
      <c r="E444" s="8">
        <f>E443*(1+D444)</f>
        <v/>
      </c>
    </row>
    <row r="445">
      <c r="A445" s="8" t="inlineStr">
        <is>
          <t>1955-08-01</t>
        </is>
      </c>
      <c r="B445" s="6" t="n">
        <v>3.56</v>
      </c>
      <c r="C445" s="8">
        <f>-PV(B445/100,$B$3,B444/100,1)</f>
        <v/>
      </c>
      <c r="D445" s="8">
        <f>B444/100/12+(C445-1)</f>
        <v/>
      </c>
      <c r="E445" s="8">
        <f>E444*(1+D445)</f>
        <v/>
      </c>
    </row>
    <row r="446">
      <c r="A446" s="8" t="inlineStr">
        <is>
          <t>1955-09-01</t>
        </is>
      </c>
      <c r="B446" s="6" t="n">
        <v>3.59</v>
      </c>
      <c r="C446" s="8">
        <f>-PV(B446/100,$B$3,B445/100,1)</f>
        <v/>
      </c>
      <c r="D446" s="8">
        <f>B445/100/12+(C446-1)</f>
        <v/>
      </c>
      <c r="E446" s="8">
        <f>E445*(1+D446)</f>
        <v/>
      </c>
    </row>
    <row r="447">
      <c r="A447" s="8" t="inlineStr">
        <is>
          <t>1955-10-01</t>
        </is>
      </c>
      <c r="B447" s="6" t="n">
        <v>3.59</v>
      </c>
      <c r="C447" s="8">
        <f>-PV(B447/100,$B$3,B446/100,1)</f>
        <v/>
      </c>
      <c r="D447" s="8">
        <f>B446/100/12+(C447-1)</f>
        <v/>
      </c>
      <c r="E447" s="8">
        <f>E446*(1+D447)</f>
        <v/>
      </c>
    </row>
    <row r="448">
      <c r="A448" s="8" t="inlineStr">
        <is>
          <t>1955-11-01</t>
        </is>
      </c>
      <c r="B448" s="6" t="n">
        <v>3.58</v>
      </c>
      <c r="C448" s="8">
        <f>-PV(B448/100,$B$3,B447/100,1)</f>
        <v/>
      </c>
      <c r="D448" s="8">
        <f>B447/100/12+(C448-1)</f>
        <v/>
      </c>
      <c r="E448" s="8">
        <f>E447*(1+D448)</f>
        <v/>
      </c>
    </row>
    <row r="449">
      <c r="A449" s="8" t="inlineStr">
        <is>
          <t>1955-12-01</t>
        </is>
      </c>
      <c r="B449" s="6" t="n">
        <v>3.62</v>
      </c>
      <c r="C449" s="8">
        <f>-PV(B449/100,$B$3,B448/100,1)</f>
        <v/>
      </c>
      <c r="D449" s="8">
        <f>B448/100/12+(C449-1)</f>
        <v/>
      </c>
      <c r="E449" s="8">
        <f>E448*(1+D449)</f>
        <v/>
      </c>
    </row>
    <row r="450">
      <c r="A450" s="8" t="inlineStr">
        <is>
          <t>1956-01-01</t>
        </is>
      </c>
      <c r="B450" s="6" t="n">
        <v>3.6</v>
      </c>
      <c r="C450" s="8">
        <f>-PV(B450/100,$B$3,B449/100,1)</f>
        <v/>
      </c>
      <c r="D450" s="8">
        <f>B449/100/12+(C450-1)</f>
        <v/>
      </c>
      <c r="E450" s="8">
        <f>E449*(1+D450)</f>
        <v/>
      </c>
    </row>
    <row r="451">
      <c r="A451" s="8" t="inlineStr">
        <is>
          <t>1956-02-01</t>
        </is>
      </c>
      <c r="B451" s="6" t="n">
        <v>3.58</v>
      </c>
      <c r="C451" s="8">
        <f>-PV(B451/100,$B$3,B450/100,1)</f>
        <v/>
      </c>
      <c r="D451" s="8">
        <f>B450/100/12+(C451-1)</f>
        <v/>
      </c>
      <c r="E451" s="8">
        <f>E450*(1+D451)</f>
        <v/>
      </c>
    </row>
    <row r="452">
      <c r="A452" s="8" t="inlineStr">
        <is>
          <t>1956-03-01</t>
        </is>
      </c>
      <c r="B452" s="6" t="n">
        <v>3.6</v>
      </c>
      <c r="C452" s="8">
        <f>-PV(B452/100,$B$3,B451/100,1)</f>
        <v/>
      </c>
      <c r="D452" s="8">
        <f>B451/100/12+(C452-1)</f>
        <v/>
      </c>
      <c r="E452" s="8">
        <f>E451*(1+D452)</f>
        <v/>
      </c>
    </row>
    <row r="453">
      <c r="A453" s="8" t="inlineStr">
        <is>
          <t>1956-04-01</t>
        </is>
      </c>
      <c r="B453" s="6" t="n">
        <v>3.68</v>
      </c>
      <c r="C453" s="8">
        <f>-PV(B453/100,$B$3,B452/100,1)</f>
        <v/>
      </c>
      <c r="D453" s="8">
        <f>B452/100/12+(C453-1)</f>
        <v/>
      </c>
      <c r="E453" s="8">
        <f>E452*(1+D453)</f>
        <v/>
      </c>
    </row>
    <row r="454">
      <c r="A454" s="8" t="inlineStr">
        <is>
          <t>1956-05-01</t>
        </is>
      </c>
      <c r="B454" s="6" t="n">
        <v>3.73</v>
      </c>
      <c r="C454" s="8">
        <f>-PV(B454/100,$B$3,B453/100,1)</f>
        <v/>
      </c>
      <c r="D454" s="8">
        <f>B453/100/12+(C454-1)</f>
        <v/>
      </c>
      <c r="E454" s="8">
        <f>E453*(1+D454)</f>
        <v/>
      </c>
    </row>
    <row r="455">
      <c r="A455" s="8" t="inlineStr">
        <is>
          <t>1956-06-01</t>
        </is>
      </c>
      <c r="B455" s="6" t="n">
        <v>3.76</v>
      </c>
      <c r="C455" s="8">
        <f>-PV(B455/100,$B$3,B454/100,1)</f>
        <v/>
      </c>
      <c r="D455" s="8">
        <f>B454/100/12+(C455-1)</f>
        <v/>
      </c>
      <c r="E455" s="8">
        <f>E454*(1+D455)</f>
        <v/>
      </c>
    </row>
    <row r="456">
      <c r="A456" s="8" t="inlineStr">
        <is>
          <t>1956-07-01</t>
        </is>
      </c>
      <c r="B456" s="6" t="n">
        <v>3.8</v>
      </c>
      <c r="C456" s="8">
        <f>-PV(B456/100,$B$3,B455/100,1)</f>
        <v/>
      </c>
      <c r="D456" s="8">
        <f>B455/100/12+(C456-1)</f>
        <v/>
      </c>
      <c r="E456" s="8">
        <f>E455*(1+D456)</f>
        <v/>
      </c>
    </row>
    <row r="457">
      <c r="A457" s="8" t="inlineStr">
        <is>
          <t>1956-08-01</t>
        </is>
      </c>
      <c r="B457" s="6" t="n">
        <v>3.93</v>
      </c>
      <c r="C457" s="8">
        <f>-PV(B457/100,$B$3,B456/100,1)</f>
        <v/>
      </c>
      <c r="D457" s="8">
        <f>B456/100/12+(C457-1)</f>
        <v/>
      </c>
      <c r="E457" s="8">
        <f>E456*(1+D457)</f>
        <v/>
      </c>
    </row>
    <row r="458">
      <c r="A458" s="8" t="inlineStr">
        <is>
          <t>1956-09-01</t>
        </is>
      </c>
      <c r="B458" s="6" t="n">
        <v>4.07</v>
      </c>
      <c r="C458" s="8">
        <f>-PV(B458/100,$B$3,B457/100,1)</f>
        <v/>
      </c>
      <c r="D458" s="8">
        <f>B457/100/12+(C458-1)</f>
        <v/>
      </c>
      <c r="E458" s="8">
        <f>E457*(1+D458)</f>
        <v/>
      </c>
    </row>
    <row r="459">
      <c r="A459" s="8" t="inlineStr">
        <is>
          <t>1956-10-01</t>
        </is>
      </c>
      <c r="B459" s="6" t="n">
        <v>4.17</v>
      </c>
      <c r="C459" s="8">
        <f>-PV(B459/100,$B$3,B458/100,1)</f>
        <v/>
      </c>
      <c r="D459" s="8">
        <f>B458/100/12+(C459-1)</f>
        <v/>
      </c>
      <c r="E459" s="8">
        <f>E458*(1+D459)</f>
        <v/>
      </c>
    </row>
    <row r="460">
      <c r="A460" s="8" t="inlineStr">
        <is>
          <t>1956-11-01</t>
        </is>
      </c>
      <c r="B460" s="6" t="n">
        <v>4.24</v>
      </c>
      <c r="C460" s="8">
        <f>-PV(B460/100,$B$3,B459/100,1)</f>
        <v/>
      </c>
      <c r="D460" s="8">
        <f>B459/100/12+(C460-1)</f>
        <v/>
      </c>
      <c r="E460" s="8">
        <f>E459*(1+D460)</f>
        <v/>
      </c>
    </row>
    <row r="461">
      <c r="A461" s="8" t="inlineStr">
        <is>
          <t>1956-12-01</t>
        </is>
      </c>
      <c r="B461" s="6" t="n">
        <v>4.37</v>
      </c>
      <c r="C461" s="8">
        <f>-PV(B461/100,$B$3,B460/100,1)</f>
        <v/>
      </c>
      <c r="D461" s="8">
        <f>B460/100/12+(C461-1)</f>
        <v/>
      </c>
      <c r="E461" s="8">
        <f>E460*(1+D461)</f>
        <v/>
      </c>
    </row>
    <row r="462">
      <c r="A462" s="8" t="inlineStr">
        <is>
          <t>1957-01-01</t>
        </is>
      </c>
      <c r="B462" s="6" t="n">
        <v>4.49</v>
      </c>
      <c r="C462" s="8">
        <f>-PV(B462/100,$B$3,B461/100,1)</f>
        <v/>
      </c>
      <c r="D462" s="8">
        <f>B461/100/12+(C462-1)</f>
        <v/>
      </c>
      <c r="E462" s="8">
        <f>E461*(1+D462)</f>
        <v/>
      </c>
    </row>
    <row r="463">
      <c r="A463" s="8" t="inlineStr">
        <is>
          <t>1957-02-01</t>
        </is>
      </c>
      <c r="B463" s="6" t="n">
        <v>4.47</v>
      </c>
      <c r="C463" s="8">
        <f>-PV(B463/100,$B$3,B462/100,1)</f>
        <v/>
      </c>
      <c r="D463" s="8">
        <f>B462/100/12+(C463-1)</f>
        <v/>
      </c>
      <c r="E463" s="8">
        <f>E462*(1+D463)</f>
        <v/>
      </c>
    </row>
    <row r="464">
      <c r="A464" s="8" t="inlineStr">
        <is>
          <t>1957-03-01</t>
        </is>
      </c>
      <c r="B464" s="6" t="n">
        <v>4.43</v>
      </c>
      <c r="C464" s="8">
        <f>-PV(B464/100,$B$3,B463/100,1)</f>
        <v/>
      </c>
      <c r="D464" s="8">
        <f>B463/100/12+(C464-1)</f>
        <v/>
      </c>
      <c r="E464" s="8">
        <f>E463*(1+D464)</f>
        <v/>
      </c>
    </row>
    <row r="465">
      <c r="A465" s="8" t="inlineStr">
        <is>
          <t>1957-04-01</t>
        </is>
      </c>
      <c r="B465" s="6" t="n">
        <v>4.44</v>
      </c>
      <c r="C465" s="8">
        <f>-PV(B465/100,$B$3,B464/100,1)</f>
        <v/>
      </c>
      <c r="D465" s="8">
        <f>B464/100/12+(C465-1)</f>
        <v/>
      </c>
      <c r="E465" s="8">
        <f>E464*(1+D465)</f>
        <v/>
      </c>
    </row>
    <row r="466">
      <c r="A466" s="8" t="inlineStr">
        <is>
          <t>1957-05-01</t>
        </is>
      </c>
      <c r="B466" s="6" t="n">
        <v>4.52</v>
      </c>
      <c r="C466" s="8">
        <f>-PV(B466/100,$B$3,B465/100,1)</f>
        <v/>
      </c>
      <c r="D466" s="8">
        <f>B465/100/12+(C466-1)</f>
        <v/>
      </c>
      <c r="E466" s="8">
        <f>E465*(1+D466)</f>
        <v/>
      </c>
    </row>
    <row r="467">
      <c r="A467" s="8" t="inlineStr">
        <is>
          <t>1957-06-01</t>
        </is>
      </c>
      <c r="B467" s="6" t="n">
        <v>4.63</v>
      </c>
      <c r="C467" s="8">
        <f>-PV(B467/100,$B$3,B466/100,1)</f>
        <v/>
      </c>
      <c r="D467" s="8">
        <f>B466/100/12+(C467-1)</f>
        <v/>
      </c>
      <c r="E467" s="8">
        <f>E466*(1+D467)</f>
        <v/>
      </c>
    </row>
    <row r="468">
      <c r="A468" s="8" t="inlineStr">
        <is>
          <t>1957-07-01</t>
        </is>
      </c>
      <c r="B468" s="6" t="n">
        <v>4.73</v>
      </c>
      <c r="C468" s="8">
        <f>-PV(B468/100,$B$3,B467/100,1)</f>
        <v/>
      </c>
      <c r="D468" s="8">
        <f>B467/100/12+(C468-1)</f>
        <v/>
      </c>
      <c r="E468" s="8">
        <f>E467*(1+D468)</f>
        <v/>
      </c>
    </row>
    <row r="469">
      <c r="A469" s="8" t="inlineStr">
        <is>
          <t>1957-08-01</t>
        </is>
      </c>
      <c r="B469" s="6" t="n">
        <v>4.82</v>
      </c>
      <c r="C469" s="8">
        <f>-PV(B469/100,$B$3,B468/100,1)</f>
        <v/>
      </c>
      <c r="D469" s="8">
        <f>B468/100/12+(C469-1)</f>
        <v/>
      </c>
      <c r="E469" s="8">
        <f>E468*(1+D469)</f>
        <v/>
      </c>
    </row>
    <row r="470">
      <c r="A470" s="8" t="inlineStr">
        <is>
          <t>1957-09-01</t>
        </is>
      </c>
      <c r="B470" s="6" t="n">
        <v>4.93</v>
      </c>
      <c r="C470" s="8">
        <f>-PV(B470/100,$B$3,B469/100,1)</f>
        <v/>
      </c>
      <c r="D470" s="8">
        <f>B469/100/12+(C470-1)</f>
        <v/>
      </c>
      <c r="E470" s="8">
        <f>E469*(1+D470)</f>
        <v/>
      </c>
    </row>
    <row r="471">
      <c r="A471" s="8" t="inlineStr">
        <is>
          <t>1957-10-01</t>
        </is>
      </c>
      <c r="B471" s="6" t="n">
        <v>4.99</v>
      </c>
      <c r="C471" s="8">
        <f>-PV(B471/100,$B$3,B470/100,1)</f>
        <v/>
      </c>
      <c r="D471" s="8">
        <f>B470/100/12+(C471-1)</f>
        <v/>
      </c>
      <c r="E471" s="8">
        <f>E470*(1+D471)</f>
        <v/>
      </c>
    </row>
    <row r="472">
      <c r="A472" s="8" t="inlineStr">
        <is>
          <t>1957-11-01</t>
        </is>
      </c>
      <c r="B472" s="6" t="n">
        <v>5.09</v>
      </c>
      <c r="C472" s="8">
        <f>-PV(B472/100,$B$3,B471/100,1)</f>
        <v/>
      </c>
      <c r="D472" s="8">
        <f>B471/100/12+(C472-1)</f>
        <v/>
      </c>
      <c r="E472" s="8">
        <f>E471*(1+D472)</f>
        <v/>
      </c>
    </row>
    <row r="473">
      <c r="A473" s="8" t="inlineStr">
        <is>
          <t>1957-12-01</t>
        </is>
      </c>
      <c r="B473" s="6" t="n">
        <v>5.03</v>
      </c>
      <c r="C473" s="8">
        <f>-PV(B473/100,$B$3,B472/100,1)</f>
        <v/>
      </c>
      <c r="D473" s="8">
        <f>B472/100/12+(C473-1)</f>
        <v/>
      </c>
      <c r="E473" s="8">
        <f>E472*(1+D473)</f>
        <v/>
      </c>
    </row>
    <row r="474">
      <c r="A474" s="8" t="inlineStr">
        <is>
          <t>1958-01-01</t>
        </is>
      </c>
      <c r="B474" s="6" t="n">
        <v>4.83</v>
      </c>
      <c r="C474" s="8">
        <f>-PV(B474/100,$B$3,B473/100,1)</f>
        <v/>
      </c>
      <c r="D474" s="8">
        <f>B473/100/12+(C474-1)</f>
        <v/>
      </c>
      <c r="E474" s="8">
        <f>E473*(1+D474)</f>
        <v/>
      </c>
    </row>
    <row r="475">
      <c r="A475" s="8" t="inlineStr">
        <is>
          <t>1958-02-01</t>
        </is>
      </c>
      <c r="B475" s="6" t="n">
        <v>4.66</v>
      </c>
      <c r="C475" s="8">
        <f>-PV(B475/100,$B$3,B474/100,1)</f>
        <v/>
      </c>
      <c r="D475" s="8">
        <f>B474/100/12+(C475-1)</f>
        <v/>
      </c>
      <c r="E475" s="8">
        <f>E474*(1+D475)</f>
        <v/>
      </c>
    </row>
    <row r="476">
      <c r="A476" s="8" t="inlineStr">
        <is>
          <t>1958-03-01</t>
        </is>
      </c>
      <c r="B476" s="6" t="n">
        <v>4.68</v>
      </c>
      <c r="C476" s="8">
        <f>-PV(B476/100,$B$3,B475/100,1)</f>
        <v/>
      </c>
      <c r="D476" s="8">
        <f>B475/100/12+(C476-1)</f>
        <v/>
      </c>
      <c r="E476" s="8">
        <f>E475*(1+D476)</f>
        <v/>
      </c>
    </row>
    <row r="477">
      <c r="A477" s="8" t="inlineStr">
        <is>
          <t>1958-04-01</t>
        </is>
      </c>
      <c r="B477" s="6" t="n">
        <v>4.67</v>
      </c>
      <c r="C477" s="8">
        <f>-PV(B477/100,$B$3,B476/100,1)</f>
        <v/>
      </c>
      <c r="D477" s="8">
        <f>B476/100/12+(C477-1)</f>
        <v/>
      </c>
      <c r="E477" s="8">
        <f>E476*(1+D477)</f>
        <v/>
      </c>
    </row>
    <row r="478">
      <c r="A478" s="8" t="inlineStr">
        <is>
          <t>1958-05-01</t>
        </is>
      </c>
      <c r="B478" s="6" t="n">
        <v>4.62</v>
      </c>
      <c r="C478" s="8">
        <f>-PV(B478/100,$B$3,B477/100,1)</f>
        <v/>
      </c>
      <c r="D478" s="8">
        <f>B477/100/12+(C478-1)</f>
        <v/>
      </c>
      <c r="E478" s="8">
        <f>E477*(1+D478)</f>
        <v/>
      </c>
    </row>
    <row r="479">
      <c r="A479" s="8" t="inlineStr">
        <is>
          <t>1958-06-01</t>
        </is>
      </c>
      <c r="B479" s="6" t="n">
        <v>4.55</v>
      </c>
      <c r="C479" s="8">
        <f>-PV(B479/100,$B$3,B478/100,1)</f>
        <v/>
      </c>
      <c r="D479" s="8">
        <f>B478/100/12+(C479-1)</f>
        <v/>
      </c>
      <c r="E479" s="8">
        <f>E478*(1+D479)</f>
        <v/>
      </c>
    </row>
    <row r="480">
      <c r="A480" s="8" t="inlineStr">
        <is>
          <t>1958-07-01</t>
        </is>
      </c>
      <c r="B480" s="6" t="n">
        <v>4.53</v>
      </c>
      <c r="C480" s="8">
        <f>-PV(B480/100,$B$3,B479/100,1)</f>
        <v/>
      </c>
      <c r="D480" s="8">
        <f>B479/100/12+(C480-1)</f>
        <v/>
      </c>
      <c r="E480" s="8">
        <f>E479*(1+D480)</f>
        <v/>
      </c>
    </row>
    <row r="481">
      <c r="A481" s="8" t="inlineStr">
        <is>
          <t>1958-08-01</t>
        </is>
      </c>
      <c r="B481" s="6" t="n">
        <v>4.67</v>
      </c>
      <c r="C481" s="8">
        <f>-PV(B481/100,$B$3,B480/100,1)</f>
        <v/>
      </c>
      <c r="D481" s="8">
        <f>B480/100/12+(C481-1)</f>
        <v/>
      </c>
      <c r="E481" s="8">
        <f>E480*(1+D481)</f>
        <v/>
      </c>
    </row>
    <row r="482">
      <c r="A482" s="8" t="inlineStr">
        <is>
          <t>1958-09-01</t>
        </is>
      </c>
      <c r="B482" s="6" t="n">
        <v>4.87</v>
      </c>
      <c r="C482" s="8">
        <f>-PV(B482/100,$B$3,B481/100,1)</f>
        <v/>
      </c>
      <c r="D482" s="8">
        <f>B481/100/12+(C482-1)</f>
        <v/>
      </c>
      <c r="E482" s="8">
        <f>E481*(1+D482)</f>
        <v/>
      </c>
    </row>
    <row r="483">
      <c r="A483" s="8" t="inlineStr">
        <is>
          <t>1958-10-01</t>
        </is>
      </c>
      <c r="B483" s="6" t="n">
        <v>4.92</v>
      </c>
      <c r="C483" s="8">
        <f>-PV(B483/100,$B$3,B482/100,1)</f>
        <v/>
      </c>
      <c r="D483" s="8">
        <f>B482/100/12+(C483-1)</f>
        <v/>
      </c>
      <c r="E483" s="8">
        <f>E482*(1+D483)</f>
        <v/>
      </c>
    </row>
    <row r="484">
      <c r="A484" s="8" t="inlineStr">
        <is>
          <t>1958-11-01</t>
        </is>
      </c>
      <c r="B484" s="6" t="n">
        <v>4.87</v>
      </c>
      <c r="C484" s="8">
        <f>-PV(B484/100,$B$3,B483/100,1)</f>
        <v/>
      </c>
      <c r="D484" s="8">
        <f>B483/100/12+(C484-1)</f>
        <v/>
      </c>
      <c r="E484" s="8">
        <f>E483*(1+D484)</f>
        <v/>
      </c>
    </row>
    <row r="485">
      <c r="A485" s="8" t="inlineStr">
        <is>
          <t>1958-12-01</t>
        </is>
      </c>
      <c r="B485" s="6" t="n">
        <v>4.85</v>
      </c>
      <c r="C485" s="8">
        <f>-PV(B485/100,$B$3,B484/100,1)</f>
        <v/>
      </c>
      <c r="D485" s="8">
        <f>B484/100/12+(C485-1)</f>
        <v/>
      </c>
      <c r="E485" s="8">
        <f>E484*(1+D485)</f>
        <v/>
      </c>
    </row>
    <row r="486">
      <c r="A486" s="8" t="inlineStr">
        <is>
          <t>1959-01-01</t>
        </is>
      </c>
      <c r="B486" s="6" t="n">
        <v>4.87</v>
      </c>
      <c r="C486" s="8">
        <f>-PV(B486/100,$B$3,B485/100,1)</f>
        <v/>
      </c>
      <c r="D486" s="8">
        <f>B485/100/12+(C486-1)</f>
        <v/>
      </c>
      <c r="E486" s="8">
        <f>E485*(1+D486)</f>
        <v/>
      </c>
    </row>
    <row r="487">
      <c r="A487" s="8" t="inlineStr">
        <is>
          <t>1959-02-01</t>
        </is>
      </c>
      <c r="B487" s="6" t="n">
        <v>4.89</v>
      </c>
      <c r="C487" s="8">
        <f>-PV(B487/100,$B$3,B486/100,1)</f>
        <v/>
      </c>
      <c r="D487" s="8">
        <f>B486/100/12+(C487-1)</f>
        <v/>
      </c>
      <c r="E487" s="8">
        <f>E486*(1+D487)</f>
        <v/>
      </c>
    </row>
    <row r="488">
      <c r="A488" s="8" t="inlineStr">
        <is>
          <t>1959-03-01</t>
        </is>
      </c>
      <c r="B488" s="6" t="n">
        <v>4.85</v>
      </c>
      <c r="C488" s="8">
        <f>-PV(B488/100,$B$3,B487/100,1)</f>
        <v/>
      </c>
      <c r="D488" s="8">
        <f>B487/100/12+(C488-1)</f>
        <v/>
      </c>
      <c r="E488" s="8">
        <f>E487*(1+D488)</f>
        <v/>
      </c>
    </row>
    <row r="489">
      <c r="A489" s="8" t="inlineStr">
        <is>
          <t>1959-04-01</t>
        </is>
      </c>
      <c r="B489" s="6" t="n">
        <v>4.86</v>
      </c>
      <c r="C489" s="8">
        <f>-PV(B489/100,$B$3,B488/100,1)</f>
        <v/>
      </c>
      <c r="D489" s="8">
        <f>B488/100/12+(C489-1)</f>
        <v/>
      </c>
      <c r="E489" s="8">
        <f>E488*(1+D489)</f>
        <v/>
      </c>
    </row>
    <row r="490">
      <c r="A490" s="8" t="inlineStr">
        <is>
          <t>1959-05-01</t>
        </is>
      </c>
      <c r="B490" s="6" t="n">
        <v>4.96</v>
      </c>
      <c r="C490" s="8">
        <f>-PV(B490/100,$B$3,B489/100,1)</f>
        <v/>
      </c>
      <c r="D490" s="8">
        <f>B489/100/12+(C490-1)</f>
        <v/>
      </c>
      <c r="E490" s="8">
        <f>E489*(1+D490)</f>
        <v/>
      </c>
    </row>
    <row r="491">
      <c r="A491" s="8" t="inlineStr">
        <is>
          <t>1959-06-01</t>
        </is>
      </c>
      <c r="B491" s="6" t="n">
        <v>5.04</v>
      </c>
      <c r="C491" s="8">
        <f>-PV(B491/100,$B$3,B490/100,1)</f>
        <v/>
      </c>
      <c r="D491" s="8">
        <f>B490/100/12+(C491-1)</f>
        <v/>
      </c>
      <c r="E491" s="8">
        <f>E490*(1+D491)</f>
        <v/>
      </c>
    </row>
    <row r="492">
      <c r="A492" s="8" t="inlineStr">
        <is>
          <t>1959-07-01</t>
        </is>
      </c>
      <c r="B492" s="6" t="n">
        <v>5.08</v>
      </c>
      <c r="C492" s="8">
        <f>-PV(B492/100,$B$3,B491/100,1)</f>
        <v/>
      </c>
      <c r="D492" s="8">
        <f>B491/100/12+(C492-1)</f>
        <v/>
      </c>
      <c r="E492" s="8">
        <f>E491*(1+D492)</f>
        <v/>
      </c>
    </row>
    <row r="493">
      <c r="A493" s="8" t="inlineStr">
        <is>
          <t>1959-08-01</t>
        </is>
      </c>
      <c r="B493" s="6" t="n">
        <v>5.09</v>
      </c>
      <c r="C493" s="8">
        <f>-PV(B493/100,$B$3,B492/100,1)</f>
        <v/>
      </c>
      <c r="D493" s="8">
        <f>B492/100/12+(C493-1)</f>
        <v/>
      </c>
      <c r="E493" s="8">
        <f>E492*(1+D493)</f>
        <v/>
      </c>
    </row>
    <row r="494">
      <c r="A494" s="8" t="inlineStr">
        <is>
          <t>1959-09-01</t>
        </is>
      </c>
      <c r="B494" s="6" t="n">
        <v>5.18</v>
      </c>
      <c r="C494" s="8">
        <f>-PV(B494/100,$B$3,B493/100,1)</f>
        <v/>
      </c>
      <c r="D494" s="8">
        <f>B493/100/12+(C494-1)</f>
        <v/>
      </c>
      <c r="E494" s="8">
        <f>E493*(1+D494)</f>
        <v/>
      </c>
    </row>
    <row r="495">
      <c r="A495" s="8" t="inlineStr">
        <is>
          <t>1959-10-01</t>
        </is>
      </c>
      <c r="B495" s="6" t="n">
        <v>5.28</v>
      </c>
      <c r="C495" s="8">
        <f>-PV(B495/100,$B$3,B494/100,1)</f>
        <v/>
      </c>
      <c r="D495" s="8">
        <f>B494/100/12+(C495-1)</f>
        <v/>
      </c>
      <c r="E495" s="8">
        <f>E494*(1+D495)</f>
        <v/>
      </c>
    </row>
    <row r="496">
      <c r="A496" s="8" t="inlineStr">
        <is>
          <t>1959-11-01</t>
        </is>
      </c>
      <c r="B496" s="6" t="n">
        <v>5.26</v>
      </c>
      <c r="C496" s="8">
        <f>-PV(B496/100,$B$3,B495/100,1)</f>
        <v/>
      </c>
      <c r="D496" s="8">
        <f>B495/100/12+(C496-1)</f>
        <v/>
      </c>
      <c r="E496" s="8">
        <f>E495*(1+D496)</f>
        <v/>
      </c>
    </row>
    <row r="497">
      <c r="A497" s="8" t="inlineStr">
        <is>
          <t>1959-12-01</t>
        </is>
      </c>
      <c r="B497" s="6" t="n">
        <v>5.28</v>
      </c>
      <c r="C497" s="8">
        <f>-PV(B497/100,$B$3,B496/100,1)</f>
        <v/>
      </c>
      <c r="D497" s="8">
        <f>B496/100/12+(C497-1)</f>
        <v/>
      </c>
      <c r="E497" s="8">
        <f>E496*(1+D497)</f>
        <v/>
      </c>
    </row>
    <row r="498">
      <c r="A498" s="8" t="inlineStr">
        <is>
          <t>1960-01-01</t>
        </is>
      </c>
      <c r="B498" s="6" t="n">
        <v>5.34</v>
      </c>
      <c r="C498" s="8">
        <f>-PV(B498/100,$B$3,B497/100,1)</f>
        <v/>
      </c>
      <c r="D498" s="8">
        <f>B497/100/12+(C498-1)</f>
        <v/>
      </c>
      <c r="E498" s="8">
        <f>E497*(1+D498)</f>
        <v/>
      </c>
    </row>
    <row r="499">
      <c r="A499" s="8" t="inlineStr">
        <is>
          <t>1960-02-01</t>
        </is>
      </c>
      <c r="B499" s="6" t="n">
        <v>5.34</v>
      </c>
      <c r="C499" s="8">
        <f>-PV(B499/100,$B$3,B498/100,1)</f>
        <v/>
      </c>
      <c r="D499" s="8">
        <f>B498/100/12+(C499-1)</f>
        <v/>
      </c>
      <c r="E499" s="8">
        <f>E498*(1+D499)</f>
        <v/>
      </c>
    </row>
    <row r="500">
      <c r="A500" s="8" t="inlineStr">
        <is>
          <t>1960-03-01</t>
        </is>
      </c>
      <c r="B500" s="6" t="n">
        <v>5.25</v>
      </c>
      <c r="C500" s="8">
        <f>-PV(B500/100,$B$3,B499/100,1)</f>
        <v/>
      </c>
      <c r="D500" s="8">
        <f>B499/100/12+(C500-1)</f>
        <v/>
      </c>
      <c r="E500" s="8">
        <f>E499*(1+D500)</f>
        <v/>
      </c>
    </row>
    <row r="501">
      <c r="A501" s="8" t="inlineStr">
        <is>
          <t>1960-04-01</t>
        </is>
      </c>
      <c r="B501" s="6" t="n">
        <v>5.2</v>
      </c>
      <c r="C501" s="8">
        <f>-PV(B501/100,$B$3,B500/100,1)</f>
        <v/>
      </c>
      <c r="D501" s="8">
        <f>B500/100/12+(C501-1)</f>
        <v/>
      </c>
      <c r="E501" s="8">
        <f>E500*(1+D501)</f>
        <v/>
      </c>
    </row>
    <row r="502">
      <c r="A502" s="8" t="inlineStr">
        <is>
          <t>1960-05-01</t>
        </is>
      </c>
      <c r="B502" s="6" t="n">
        <v>5.28</v>
      </c>
      <c r="C502" s="8">
        <f>-PV(B502/100,$B$3,B501/100,1)</f>
        <v/>
      </c>
      <c r="D502" s="8">
        <f>B501/100/12+(C502-1)</f>
        <v/>
      </c>
      <c r="E502" s="8">
        <f>E501*(1+D502)</f>
        <v/>
      </c>
    </row>
    <row r="503">
      <c r="A503" s="8" t="inlineStr">
        <is>
          <t>1960-06-01</t>
        </is>
      </c>
      <c r="B503" s="6" t="n">
        <v>5.26</v>
      </c>
      <c r="C503" s="8">
        <f>-PV(B503/100,$B$3,B502/100,1)</f>
        <v/>
      </c>
      <c r="D503" s="8">
        <f>B502/100/12+(C503-1)</f>
        <v/>
      </c>
      <c r="E503" s="8">
        <f>E502*(1+D503)</f>
        <v/>
      </c>
    </row>
    <row r="504">
      <c r="A504" s="8" t="inlineStr">
        <is>
          <t>1960-07-01</t>
        </is>
      </c>
      <c r="B504" s="6" t="n">
        <v>5.22</v>
      </c>
      <c r="C504" s="8">
        <f>-PV(B504/100,$B$3,B503/100,1)</f>
        <v/>
      </c>
      <c r="D504" s="8">
        <f>B503/100/12+(C504-1)</f>
        <v/>
      </c>
      <c r="E504" s="8">
        <f>E503*(1+D504)</f>
        <v/>
      </c>
    </row>
    <row r="505">
      <c r="A505" s="8" t="inlineStr">
        <is>
          <t>1960-08-01</t>
        </is>
      </c>
      <c r="B505" s="6" t="n">
        <v>5.08</v>
      </c>
      <c r="C505" s="8">
        <f>-PV(B505/100,$B$3,B504/100,1)</f>
        <v/>
      </c>
      <c r="D505" s="8">
        <f>B504/100/12+(C505-1)</f>
        <v/>
      </c>
      <c r="E505" s="8">
        <f>E504*(1+D505)</f>
        <v/>
      </c>
    </row>
    <row r="506">
      <c r="A506" s="8" t="inlineStr">
        <is>
          <t>1960-09-01</t>
        </is>
      </c>
      <c r="B506" s="6" t="n">
        <v>5.01</v>
      </c>
      <c r="C506" s="8">
        <f>-PV(B506/100,$B$3,B505/100,1)</f>
        <v/>
      </c>
      <c r="D506" s="8">
        <f>B505/100/12+(C506-1)</f>
        <v/>
      </c>
      <c r="E506" s="8">
        <f>E505*(1+D506)</f>
        <v/>
      </c>
    </row>
    <row r="507">
      <c r="A507" s="8" t="inlineStr">
        <is>
          <t>1960-10-01</t>
        </is>
      </c>
      <c r="B507" s="6" t="n">
        <v>5.11</v>
      </c>
      <c r="C507" s="8">
        <f>-PV(B507/100,$B$3,B506/100,1)</f>
        <v/>
      </c>
      <c r="D507" s="8">
        <f>B506/100/12+(C507-1)</f>
        <v/>
      </c>
      <c r="E507" s="8">
        <f>E506*(1+D507)</f>
        <v/>
      </c>
    </row>
    <row r="508">
      <c r="A508" s="8" t="inlineStr">
        <is>
          <t>1960-11-01</t>
        </is>
      </c>
      <c r="B508" s="6" t="n">
        <v>5.08</v>
      </c>
      <c r="C508" s="8">
        <f>-PV(B508/100,$B$3,B507/100,1)</f>
        <v/>
      </c>
      <c r="D508" s="8">
        <f>B507/100/12+(C508-1)</f>
        <v/>
      </c>
      <c r="E508" s="8">
        <f>E507*(1+D508)</f>
        <v/>
      </c>
    </row>
    <row r="509">
      <c r="A509" s="8" t="inlineStr">
        <is>
          <t>1960-12-01</t>
        </is>
      </c>
      <c r="B509" s="6" t="n">
        <v>5.1</v>
      </c>
      <c r="C509" s="8">
        <f>-PV(B509/100,$B$3,B508/100,1)</f>
        <v/>
      </c>
      <c r="D509" s="8">
        <f>B508/100/12+(C509-1)</f>
        <v/>
      </c>
      <c r="E509" s="8">
        <f>E508*(1+D509)</f>
        <v/>
      </c>
    </row>
    <row r="510">
      <c r="A510" s="8" t="inlineStr">
        <is>
          <t>1961-01-01</t>
        </is>
      </c>
      <c r="B510" s="6" t="n">
        <v>5.1</v>
      </c>
      <c r="C510" s="8">
        <f>-PV(B510/100,$B$3,B509/100,1)</f>
        <v/>
      </c>
      <c r="D510" s="8">
        <f>B509/100/12+(C510-1)</f>
        <v/>
      </c>
      <c r="E510" s="8">
        <f>E509*(1+D510)</f>
        <v/>
      </c>
    </row>
    <row r="511">
      <c r="A511" s="8" t="inlineStr">
        <is>
          <t>1961-02-01</t>
        </is>
      </c>
      <c r="B511" s="6" t="n">
        <v>5.07</v>
      </c>
      <c r="C511" s="8">
        <f>-PV(B511/100,$B$3,B510/100,1)</f>
        <v/>
      </c>
      <c r="D511" s="8">
        <f>B510/100/12+(C511-1)</f>
        <v/>
      </c>
      <c r="E511" s="8">
        <f>E510*(1+D511)</f>
        <v/>
      </c>
    </row>
    <row r="512">
      <c r="A512" s="8" t="inlineStr">
        <is>
          <t>1961-03-01</t>
        </is>
      </c>
      <c r="B512" s="6" t="n">
        <v>5.02</v>
      </c>
      <c r="C512" s="8">
        <f>-PV(B512/100,$B$3,B511/100,1)</f>
        <v/>
      </c>
      <c r="D512" s="8">
        <f>B511/100/12+(C512-1)</f>
        <v/>
      </c>
      <c r="E512" s="8">
        <f>E511*(1+D512)</f>
        <v/>
      </c>
    </row>
    <row r="513">
      <c r="A513" s="8" t="inlineStr">
        <is>
          <t>1961-04-01</t>
        </is>
      </c>
      <c r="B513" s="6" t="n">
        <v>5.01</v>
      </c>
      <c r="C513" s="8">
        <f>-PV(B513/100,$B$3,B512/100,1)</f>
        <v/>
      </c>
      <c r="D513" s="8">
        <f>B512/100/12+(C513-1)</f>
        <v/>
      </c>
      <c r="E513" s="8">
        <f>E512*(1+D513)</f>
        <v/>
      </c>
    </row>
    <row r="514">
      <c r="A514" s="8" t="inlineStr">
        <is>
          <t>1961-05-01</t>
        </is>
      </c>
      <c r="B514" s="6" t="n">
        <v>5.01</v>
      </c>
      <c r="C514" s="8">
        <f>-PV(B514/100,$B$3,B513/100,1)</f>
        <v/>
      </c>
      <c r="D514" s="8">
        <f>B513/100/12+(C514-1)</f>
        <v/>
      </c>
      <c r="E514" s="8">
        <f>E513*(1+D514)</f>
        <v/>
      </c>
    </row>
    <row r="515">
      <c r="A515" s="8" t="inlineStr">
        <is>
          <t>1961-06-01</t>
        </is>
      </c>
      <c r="B515" s="6" t="n">
        <v>5.03</v>
      </c>
      <c r="C515" s="8">
        <f>-PV(B515/100,$B$3,B514/100,1)</f>
        <v/>
      </c>
      <c r="D515" s="8">
        <f>B514/100/12+(C515-1)</f>
        <v/>
      </c>
      <c r="E515" s="8">
        <f>E514*(1+D515)</f>
        <v/>
      </c>
    </row>
    <row r="516">
      <c r="A516" s="8" t="inlineStr">
        <is>
          <t>1961-07-01</t>
        </is>
      </c>
      <c r="B516" s="6" t="n">
        <v>5.09</v>
      </c>
      <c r="C516" s="8">
        <f>-PV(B516/100,$B$3,B515/100,1)</f>
        <v/>
      </c>
      <c r="D516" s="8">
        <f>B515/100/12+(C516-1)</f>
        <v/>
      </c>
      <c r="E516" s="8">
        <f>E515*(1+D516)</f>
        <v/>
      </c>
    </row>
    <row r="517">
      <c r="A517" s="8" t="inlineStr">
        <is>
          <t>1961-08-01</t>
        </is>
      </c>
      <c r="B517" s="6" t="n">
        <v>5.11</v>
      </c>
      <c r="C517" s="8">
        <f>-PV(B517/100,$B$3,B516/100,1)</f>
        <v/>
      </c>
      <c r="D517" s="8">
        <f>B516/100/12+(C517-1)</f>
        <v/>
      </c>
      <c r="E517" s="8">
        <f>E516*(1+D517)</f>
        <v/>
      </c>
    </row>
    <row r="518">
      <c r="A518" s="8" t="inlineStr">
        <is>
          <t>1961-09-01</t>
        </is>
      </c>
      <c r="B518" s="6" t="n">
        <v>5.12</v>
      </c>
      <c r="C518" s="8">
        <f>-PV(B518/100,$B$3,B517/100,1)</f>
        <v/>
      </c>
      <c r="D518" s="8">
        <f>B517/100/12+(C518-1)</f>
        <v/>
      </c>
      <c r="E518" s="8">
        <f>E517*(1+D518)</f>
        <v/>
      </c>
    </row>
    <row r="519">
      <c r="A519" s="8" t="inlineStr">
        <is>
          <t>1961-10-01</t>
        </is>
      </c>
      <c r="B519" s="6" t="n">
        <v>5.13</v>
      </c>
      <c r="C519" s="8">
        <f>-PV(B519/100,$B$3,B518/100,1)</f>
        <v/>
      </c>
      <c r="D519" s="8">
        <f>B518/100/12+(C519-1)</f>
        <v/>
      </c>
      <c r="E519" s="8">
        <f>E518*(1+D519)</f>
        <v/>
      </c>
    </row>
    <row r="520">
      <c r="A520" s="8" t="inlineStr">
        <is>
          <t>1961-11-01</t>
        </is>
      </c>
      <c r="B520" s="6" t="n">
        <v>5.11</v>
      </c>
      <c r="C520" s="8">
        <f>-PV(B520/100,$B$3,B519/100,1)</f>
        <v/>
      </c>
      <c r="D520" s="8">
        <f>B519/100/12+(C520-1)</f>
        <v/>
      </c>
      <c r="E520" s="8">
        <f>E519*(1+D520)</f>
        <v/>
      </c>
    </row>
    <row r="521">
      <c r="A521" s="8" t="inlineStr">
        <is>
          <t>1961-12-01</t>
        </is>
      </c>
      <c r="B521" s="6" t="n">
        <v>5.1</v>
      </c>
      <c r="C521" s="8">
        <f>-PV(B521/100,$B$3,B520/100,1)</f>
        <v/>
      </c>
      <c r="D521" s="8">
        <f>B520/100/12+(C521-1)</f>
        <v/>
      </c>
      <c r="E521" s="8">
        <f>E520*(1+D521)</f>
        <v/>
      </c>
    </row>
    <row r="522">
      <c r="A522" s="8" t="inlineStr">
        <is>
          <t>1962-01-01</t>
        </is>
      </c>
      <c r="B522" s="6" t="n">
        <v>5.08</v>
      </c>
      <c r="C522" s="8">
        <f>-PV(B522/100,$B$3,B521/100,1)</f>
        <v/>
      </c>
      <c r="D522" s="8">
        <f>B521/100/12+(C522-1)</f>
        <v/>
      </c>
      <c r="E522" s="8">
        <f>E521*(1+D522)</f>
        <v/>
      </c>
    </row>
    <row r="523">
      <c r="A523" s="8" t="inlineStr">
        <is>
          <t>1962-02-01</t>
        </is>
      </c>
      <c r="B523" s="6" t="n">
        <v>5.07</v>
      </c>
      <c r="C523" s="8">
        <f>-PV(B523/100,$B$3,B522/100,1)</f>
        <v/>
      </c>
      <c r="D523" s="8">
        <f>B522/100/12+(C523-1)</f>
        <v/>
      </c>
      <c r="E523" s="8">
        <f>E522*(1+D523)</f>
        <v/>
      </c>
    </row>
    <row r="524">
      <c r="A524" s="8" t="inlineStr">
        <is>
          <t>1962-03-01</t>
        </is>
      </c>
      <c r="B524" s="6" t="n">
        <v>5.04</v>
      </c>
      <c r="C524" s="8">
        <f>-PV(B524/100,$B$3,B523/100,1)</f>
        <v/>
      </c>
      <c r="D524" s="8">
        <f>B523/100/12+(C524-1)</f>
        <v/>
      </c>
      <c r="E524" s="8">
        <f>E523*(1+D524)</f>
        <v/>
      </c>
    </row>
    <row r="525">
      <c r="A525" s="8" t="inlineStr">
        <is>
          <t>1962-04-01</t>
        </is>
      </c>
      <c r="B525" s="6" t="n">
        <v>5.02</v>
      </c>
      <c r="C525" s="8">
        <f>-PV(B525/100,$B$3,B524/100,1)</f>
        <v/>
      </c>
      <c r="D525" s="8">
        <f>B524/100/12+(C525-1)</f>
        <v/>
      </c>
      <c r="E525" s="8">
        <f>E524*(1+D525)</f>
        <v/>
      </c>
    </row>
    <row r="526">
      <c r="A526" s="8" t="inlineStr">
        <is>
          <t>1962-05-01</t>
        </is>
      </c>
      <c r="B526" s="6" t="n">
        <v>5</v>
      </c>
      <c r="C526" s="8">
        <f>-PV(B526/100,$B$3,B525/100,1)</f>
        <v/>
      </c>
      <c r="D526" s="8">
        <f>B525/100/12+(C526-1)</f>
        <v/>
      </c>
      <c r="E526" s="8">
        <f>E525*(1+D526)</f>
        <v/>
      </c>
    </row>
    <row r="527">
      <c r="A527" s="8" t="inlineStr">
        <is>
          <t>1962-06-01</t>
        </is>
      </c>
      <c r="B527" s="6" t="n">
        <v>5.02</v>
      </c>
      <c r="C527" s="8">
        <f>-PV(B527/100,$B$3,B526/100,1)</f>
        <v/>
      </c>
      <c r="D527" s="8">
        <f>B526/100/12+(C527-1)</f>
        <v/>
      </c>
      <c r="E527" s="8">
        <f>E526*(1+D527)</f>
        <v/>
      </c>
    </row>
    <row r="528">
      <c r="A528" s="8" t="inlineStr">
        <is>
          <t>1962-07-01</t>
        </is>
      </c>
      <c r="B528" s="6" t="n">
        <v>5.05</v>
      </c>
      <c r="C528" s="8">
        <f>-PV(B528/100,$B$3,B527/100,1)</f>
        <v/>
      </c>
      <c r="D528" s="8">
        <f>B527/100/12+(C528-1)</f>
        <v/>
      </c>
      <c r="E528" s="8">
        <f>E527*(1+D528)</f>
        <v/>
      </c>
    </row>
    <row r="529">
      <c r="A529" s="8" t="inlineStr">
        <is>
          <t>1962-08-01</t>
        </is>
      </c>
      <c r="B529" s="6" t="n">
        <v>5.06</v>
      </c>
      <c r="C529" s="8">
        <f>-PV(B529/100,$B$3,B528/100,1)</f>
        <v/>
      </c>
      <c r="D529" s="8">
        <f>B528/100/12+(C529-1)</f>
        <v/>
      </c>
      <c r="E529" s="8">
        <f>E528*(1+D529)</f>
        <v/>
      </c>
    </row>
    <row r="530">
      <c r="A530" s="8" t="inlineStr">
        <is>
          <t>1962-09-01</t>
        </is>
      </c>
      <c r="B530" s="6" t="n">
        <v>5.03</v>
      </c>
      <c r="C530" s="8">
        <f>-PV(B530/100,$B$3,B529/100,1)</f>
        <v/>
      </c>
      <c r="D530" s="8">
        <f>B529/100/12+(C530-1)</f>
        <v/>
      </c>
      <c r="E530" s="8">
        <f>E529*(1+D530)</f>
        <v/>
      </c>
    </row>
    <row r="531">
      <c r="A531" s="8" t="inlineStr">
        <is>
          <t>1962-10-01</t>
        </is>
      </c>
      <c r="B531" s="6" t="n">
        <v>4.99</v>
      </c>
      <c r="C531" s="8">
        <f>-PV(B531/100,$B$3,B530/100,1)</f>
        <v/>
      </c>
      <c r="D531" s="8">
        <f>B530/100/12+(C531-1)</f>
        <v/>
      </c>
      <c r="E531" s="8">
        <f>E530*(1+D531)</f>
        <v/>
      </c>
    </row>
    <row r="532">
      <c r="A532" s="8" t="inlineStr">
        <is>
          <t>1962-11-01</t>
        </is>
      </c>
      <c r="B532" s="6" t="n">
        <v>4.96</v>
      </c>
      <c r="C532" s="8">
        <f>-PV(B532/100,$B$3,B531/100,1)</f>
        <v/>
      </c>
      <c r="D532" s="8">
        <f>B531/100/12+(C532-1)</f>
        <v/>
      </c>
      <c r="E532" s="8">
        <f>E531*(1+D532)</f>
        <v/>
      </c>
    </row>
    <row r="533">
      <c r="A533" s="8" t="inlineStr">
        <is>
          <t>1962-12-01</t>
        </is>
      </c>
      <c r="B533" s="6" t="n">
        <v>4.92</v>
      </c>
      <c r="C533" s="8">
        <f>-PV(B533/100,$B$3,B532/100,1)</f>
        <v/>
      </c>
      <c r="D533" s="8">
        <f>B532/100/12+(C533-1)</f>
        <v/>
      </c>
      <c r="E533" s="8">
        <f>E532*(1+D533)</f>
        <v/>
      </c>
    </row>
    <row r="534">
      <c r="A534" s="8" t="inlineStr">
        <is>
          <t>1963-01-01</t>
        </is>
      </c>
      <c r="B534" s="6" t="n">
        <v>4.91</v>
      </c>
      <c r="C534" s="8">
        <f>-PV(B534/100,$B$3,B533/100,1)</f>
        <v/>
      </c>
      <c r="D534" s="8">
        <f>B533/100/12+(C534-1)</f>
        <v/>
      </c>
      <c r="E534" s="8">
        <f>E533*(1+D534)</f>
        <v/>
      </c>
    </row>
    <row r="535">
      <c r="A535" s="8" t="inlineStr">
        <is>
          <t>1963-02-01</t>
        </is>
      </c>
      <c r="B535" s="6" t="n">
        <v>4.89</v>
      </c>
      <c r="C535" s="8">
        <f>-PV(B535/100,$B$3,B534/100,1)</f>
        <v/>
      </c>
      <c r="D535" s="8">
        <f>B534/100/12+(C535-1)</f>
        <v/>
      </c>
      <c r="E535" s="8">
        <f>E534*(1+D535)</f>
        <v/>
      </c>
    </row>
    <row r="536">
      <c r="A536" s="8" t="inlineStr">
        <is>
          <t>1963-03-01</t>
        </is>
      </c>
      <c r="B536" s="6" t="n">
        <v>4.88</v>
      </c>
      <c r="C536" s="8">
        <f>-PV(B536/100,$B$3,B535/100,1)</f>
        <v/>
      </c>
      <c r="D536" s="8">
        <f>B535/100/12+(C536-1)</f>
        <v/>
      </c>
      <c r="E536" s="8">
        <f>E535*(1+D536)</f>
        <v/>
      </c>
    </row>
    <row r="537">
      <c r="A537" s="8" t="inlineStr">
        <is>
          <t>1963-04-01</t>
        </is>
      </c>
      <c r="B537" s="6" t="n">
        <v>4.87</v>
      </c>
      <c r="C537" s="8">
        <f>-PV(B537/100,$B$3,B536/100,1)</f>
        <v/>
      </c>
      <c r="D537" s="8">
        <f>B536/100/12+(C537-1)</f>
        <v/>
      </c>
      <c r="E537" s="8">
        <f>E536*(1+D537)</f>
        <v/>
      </c>
    </row>
    <row r="538">
      <c r="A538" s="8" t="inlineStr">
        <is>
          <t>1963-05-01</t>
        </is>
      </c>
      <c r="B538" s="6" t="n">
        <v>4.85</v>
      </c>
      <c r="C538" s="8">
        <f>-PV(B538/100,$B$3,B537/100,1)</f>
        <v/>
      </c>
      <c r="D538" s="8">
        <f>B537/100/12+(C538-1)</f>
        <v/>
      </c>
      <c r="E538" s="8">
        <f>E537*(1+D538)</f>
        <v/>
      </c>
    </row>
    <row r="539">
      <c r="A539" s="8" t="inlineStr">
        <is>
          <t>1963-06-01</t>
        </is>
      </c>
      <c r="B539" s="6" t="n">
        <v>4.84</v>
      </c>
      <c r="C539" s="8">
        <f>-PV(B539/100,$B$3,B538/100,1)</f>
        <v/>
      </c>
      <c r="D539" s="8">
        <f>B538/100/12+(C539-1)</f>
        <v/>
      </c>
      <c r="E539" s="8">
        <f>E538*(1+D539)</f>
        <v/>
      </c>
    </row>
    <row r="540">
      <c r="A540" s="8" t="inlineStr">
        <is>
          <t>1963-07-01</t>
        </is>
      </c>
      <c r="B540" s="6" t="n">
        <v>4.84</v>
      </c>
      <c r="C540" s="8">
        <f>-PV(B540/100,$B$3,B539/100,1)</f>
        <v/>
      </c>
      <c r="D540" s="8">
        <f>B539/100/12+(C540-1)</f>
        <v/>
      </c>
      <c r="E540" s="8">
        <f>E539*(1+D540)</f>
        <v/>
      </c>
    </row>
    <row r="541">
      <c r="A541" s="8" t="inlineStr">
        <is>
          <t>1963-08-01</t>
        </is>
      </c>
      <c r="B541" s="6" t="n">
        <v>4.83</v>
      </c>
      <c r="C541" s="8">
        <f>-PV(B541/100,$B$3,B540/100,1)</f>
        <v/>
      </c>
      <c r="D541" s="8">
        <f>B540/100/12+(C541-1)</f>
        <v/>
      </c>
      <c r="E541" s="8">
        <f>E540*(1+D541)</f>
        <v/>
      </c>
    </row>
    <row r="542">
      <c r="A542" s="8" t="inlineStr">
        <is>
          <t>1963-09-01</t>
        </is>
      </c>
      <c r="B542" s="6" t="n">
        <v>4.84</v>
      </c>
      <c r="C542" s="8">
        <f>-PV(B542/100,$B$3,B541/100,1)</f>
        <v/>
      </c>
      <c r="D542" s="8">
        <f>B541/100/12+(C542-1)</f>
        <v/>
      </c>
      <c r="E542" s="8">
        <f>E541*(1+D542)</f>
        <v/>
      </c>
    </row>
    <row r="543">
      <c r="A543" s="8" t="inlineStr">
        <is>
          <t>1963-10-01</t>
        </is>
      </c>
      <c r="B543" s="6" t="n">
        <v>4.83</v>
      </c>
      <c r="C543" s="8">
        <f>-PV(B543/100,$B$3,B542/100,1)</f>
        <v/>
      </c>
      <c r="D543" s="8">
        <f>B542/100/12+(C543-1)</f>
        <v/>
      </c>
      <c r="E543" s="8">
        <f>E542*(1+D543)</f>
        <v/>
      </c>
    </row>
    <row r="544">
      <c r="A544" s="8" t="inlineStr">
        <is>
          <t>1963-11-01</t>
        </is>
      </c>
      <c r="B544" s="6" t="n">
        <v>4.84</v>
      </c>
      <c r="C544" s="8">
        <f>-PV(B544/100,$B$3,B543/100,1)</f>
        <v/>
      </c>
      <c r="D544" s="8">
        <f>B543/100/12+(C544-1)</f>
        <v/>
      </c>
      <c r="E544" s="8">
        <f>E543*(1+D544)</f>
        <v/>
      </c>
    </row>
    <row r="545">
      <c r="A545" s="8" t="inlineStr">
        <is>
          <t>1963-12-01</t>
        </is>
      </c>
      <c r="B545" s="6" t="n">
        <v>4.85</v>
      </c>
      <c r="C545" s="8">
        <f>-PV(B545/100,$B$3,B544/100,1)</f>
        <v/>
      </c>
      <c r="D545" s="8">
        <f>B544/100/12+(C545-1)</f>
        <v/>
      </c>
      <c r="E545" s="8">
        <f>E544*(1+D545)</f>
        <v/>
      </c>
    </row>
    <row r="546">
      <c r="A546" s="8" t="inlineStr">
        <is>
          <t>1964-01-01</t>
        </is>
      </c>
      <c r="B546" s="6" t="n">
        <v>4.83</v>
      </c>
      <c r="C546" s="8">
        <f>-PV(B546/100,$B$3,B545/100,1)</f>
        <v/>
      </c>
      <c r="D546" s="8">
        <f>B545/100/12+(C546-1)</f>
        <v/>
      </c>
      <c r="E546" s="8">
        <f>E545*(1+D546)</f>
        <v/>
      </c>
    </row>
    <row r="547">
      <c r="A547" s="8" t="inlineStr">
        <is>
          <t>1964-02-01</t>
        </is>
      </c>
      <c r="B547" s="6" t="n">
        <v>4.83</v>
      </c>
      <c r="C547" s="8">
        <f>-PV(B547/100,$B$3,B546/100,1)</f>
        <v/>
      </c>
      <c r="D547" s="8">
        <f>B546/100/12+(C547-1)</f>
        <v/>
      </c>
      <c r="E547" s="8">
        <f>E546*(1+D547)</f>
        <v/>
      </c>
    </row>
    <row r="548">
      <c r="A548" s="8" t="inlineStr">
        <is>
          <t>1964-03-01</t>
        </is>
      </c>
      <c r="B548" s="6" t="n">
        <v>4.83</v>
      </c>
      <c r="C548" s="8">
        <f>-PV(B548/100,$B$3,B547/100,1)</f>
        <v/>
      </c>
      <c r="D548" s="8">
        <f>B547/100/12+(C548-1)</f>
        <v/>
      </c>
      <c r="E548" s="8">
        <f>E547*(1+D548)</f>
        <v/>
      </c>
    </row>
    <row r="549">
      <c r="A549" s="8" t="inlineStr">
        <is>
          <t>1964-04-01</t>
        </is>
      </c>
      <c r="B549" s="6" t="n">
        <v>4.85</v>
      </c>
      <c r="C549" s="8">
        <f>-PV(B549/100,$B$3,B548/100,1)</f>
        <v/>
      </c>
      <c r="D549" s="8">
        <f>B548/100/12+(C549-1)</f>
        <v/>
      </c>
      <c r="E549" s="8">
        <f>E548*(1+D549)</f>
        <v/>
      </c>
    </row>
    <row r="550">
      <c r="A550" s="8" t="inlineStr">
        <is>
          <t>1964-05-01</t>
        </is>
      </c>
      <c r="B550" s="6" t="n">
        <v>4.85</v>
      </c>
      <c r="C550" s="8">
        <f>-PV(B550/100,$B$3,B549/100,1)</f>
        <v/>
      </c>
      <c r="D550" s="8">
        <f>B549/100/12+(C550-1)</f>
        <v/>
      </c>
      <c r="E550" s="8">
        <f>E549*(1+D550)</f>
        <v/>
      </c>
    </row>
    <row r="551">
      <c r="A551" s="8" t="inlineStr">
        <is>
          <t>1964-06-01</t>
        </is>
      </c>
      <c r="B551" s="6" t="n">
        <v>4.85</v>
      </c>
      <c r="C551" s="8">
        <f>-PV(B551/100,$B$3,B550/100,1)</f>
        <v/>
      </c>
      <c r="D551" s="8">
        <f>B550/100/12+(C551-1)</f>
        <v/>
      </c>
      <c r="E551" s="8">
        <f>E550*(1+D551)</f>
        <v/>
      </c>
    </row>
    <row r="552">
      <c r="A552" s="8" t="inlineStr">
        <is>
          <t>1964-07-01</t>
        </is>
      </c>
      <c r="B552" s="6" t="n">
        <v>4.83</v>
      </c>
      <c r="C552" s="8">
        <f>-PV(B552/100,$B$3,B551/100,1)</f>
        <v/>
      </c>
      <c r="D552" s="8">
        <f>B551/100/12+(C552-1)</f>
        <v/>
      </c>
      <c r="E552" s="8">
        <f>E551*(1+D552)</f>
        <v/>
      </c>
    </row>
    <row r="553">
      <c r="A553" s="8" t="inlineStr">
        <is>
          <t>1964-08-01</t>
        </is>
      </c>
      <c r="B553" s="6" t="n">
        <v>4.82</v>
      </c>
      <c r="C553" s="8">
        <f>-PV(B553/100,$B$3,B552/100,1)</f>
        <v/>
      </c>
      <c r="D553" s="8">
        <f>B552/100/12+(C553-1)</f>
        <v/>
      </c>
      <c r="E553" s="8">
        <f>E552*(1+D553)</f>
        <v/>
      </c>
    </row>
    <row r="554">
      <c r="A554" s="8" t="inlineStr">
        <is>
          <t>1964-09-01</t>
        </is>
      </c>
      <c r="B554" s="6" t="n">
        <v>4.82</v>
      </c>
      <c r="C554" s="8">
        <f>-PV(B554/100,$B$3,B553/100,1)</f>
        <v/>
      </c>
      <c r="D554" s="8">
        <f>B553/100/12+(C554-1)</f>
        <v/>
      </c>
      <c r="E554" s="8">
        <f>E553*(1+D554)</f>
        <v/>
      </c>
    </row>
    <row r="555">
      <c r="A555" s="8" t="inlineStr">
        <is>
          <t>1964-10-01</t>
        </is>
      </c>
      <c r="B555" s="6" t="n">
        <v>4.81</v>
      </c>
      <c r="C555" s="8">
        <f>-PV(B555/100,$B$3,B554/100,1)</f>
        <v/>
      </c>
      <c r="D555" s="8">
        <f>B554/100/12+(C555-1)</f>
        <v/>
      </c>
      <c r="E555" s="8">
        <f>E554*(1+D555)</f>
        <v/>
      </c>
    </row>
    <row r="556">
      <c r="A556" s="8" t="inlineStr">
        <is>
          <t>1964-11-01</t>
        </is>
      </c>
      <c r="B556" s="6" t="n">
        <v>4.81</v>
      </c>
      <c r="C556" s="8">
        <f>-PV(B556/100,$B$3,B555/100,1)</f>
        <v/>
      </c>
      <c r="D556" s="8">
        <f>B555/100/12+(C556-1)</f>
        <v/>
      </c>
      <c r="E556" s="8">
        <f>E555*(1+D556)</f>
        <v/>
      </c>
    </row>
    <row r="557">
      <c r="A557" s="8" t="inlineStr">
        <is>
          <t>1964-12-01</t>
        </is>
      </c>
      <c r="B557" s="6" t="n">
        <v>4.81</v>
      </c>
      <c r="C557" s="8">
        <f>-PV(B557/100,$B$3,B556/100,1)</f>
        <v/>
      </c>
      <c r="D557" s="8">
        <f>B556/100/12+(C557-1)</f>
        <v/>
      </c>
      <c r="E557" s="8">
        <f>E556*(1+D557)</f>
        <v/>
      </c>
    </row>
    <row r="558">
      <c r="A558" s="8" t="inlineStr">
        <is>
          <t>1965-01-01</t>
        </is>
      </c>
      <c r="B558" s="6" t="n">
        <v>4.8</v>
      </c>
      <c r="C558" s="8">
        <f>-PV(B558/100,$B$3,B557/100,1)</f>
        <v/>
      </c>
      <c r="D558" s="8">
        <f>B557/100/12+(C558-1)</f>
        <v/>
      </c>
      <c r="E558" s="8">
        <f>E557*(1+D558)</f>
        <v/>
      </c>
    </row>
    <row r="559">
      <c r="A559" s="8" t="inlineStr">
        <is>
          <t>1965-02-01</t>
        </is>
      </c>
      <c r="B559" s="6" t="n">
        <v>4.78</v>
      </c>
      <c r="C559" s="8">
        <f>-PV(B559/100,$B$3,B558/100,1)</f>
        <v/>
      </c>
      <c r="D559" s="8">
        <f>B558/100/12+(C559-1)</f>
        <v/>
      </c>
      <c r="E559" s="8">
        <f>E558*(1+D559)</f>
        <v/>
      </c>
    </row>
    <row r="560">
      <c r="A560" s="8" t="inlineStr">
        <is>
          <t>1965-03-01</t>
        </is>
      </c>
      <c r="B560" s="6" t="n">
        <v>4.78</v>
      </c>
      <c r="C560" s="8">
        <f>-PV(B560/100,$B$3,B559/100,1)</f>
        <v/>
      </c>
      <c r="D560" s="8">
        <f>B559/100/12+(C560-1)</f>
        <v/>
      </c>
      <c r="E560" s="8">
        <f>E559*(1+D560)</f>
        <v/>
      </c>
    </row>
    <row r="561">
      <c r="A561" s="8" t="inlineStr">
        <is>
          <t>1965-04-01</t>
        </is>
      </c>
      <c r="B561" s="6" t="n">
        <v>4.8</v>
      </c>
      <c r="C561" s="8">
        <f>-PV(B561/100,$B$3,B560/100,1)</f>
        <v/>
      </c>
      <c r="D561" s="8">
        <f>B560/100/12+(C561-1)</f>
        <v/>
      </c>
      <c r="E561" s="8">
        <f>E560*(1+D561)</f>
        <v/>
      </c>
    </row>
    <row r="562">
      <c r="A562" s="8" t="inlineStr">
        <is>
          <t>1965-05-01</t>
        </is>
      </c>
      <c r="B562" s="6" t="n">
        <v>4.81</v>
      </c>
      <c r="C562" s="8">
        <f>-PV(B562/100,$B$3,B561/100,1)</f>
        <v/>
      </c>
      <c r="D562" s="8">
        <f>B561/100/12+(C562-1)</f>
        <v/>
      </c>
      <c r="E562" s="8">
        <f>E561*(1+D562)</f>
        <v/>
      </c>
    </row>
    <row r="563">
      <c r="A563" s="8" t="inlineStr">
        <is>
          <t>1965-06-01</t>
        </is>
      </c>
      <c r="B563" s="6" t="n">
        <v>4.85</v>
      </c>
      <c r="C563" s="8">
        <f>-PV(B563/100,$B$3,B562/100,1)</f>
        <v/>
      </c>
      <c r="D563" s="8">
        <f>B562/100/12+(C563-1)</f>
        <v/>
      </c>
      <c r="E563" s="8">
        <f>E562*(1+D563)</f>
        <v/>
      </c>
    </row>
    <row r="564">
      <c r="A564" s="8" t="inlineStr">
        <is>
          <t>1965-07-01</t>
        </is>
      </c>
      <c r="B564" s="6" t="n">
        <v>4.88</v>
      </c>
      <c r="C564" s="8">
        <f>-PV(B564/100,$B$3,B563/100,1)</f>
        <v/>
      </c>
      <c r="D564" s="8">
        <f>B563/100/12+(C564-1)</f>
        <v/>
      </c>
      <c r="E564" s="8">
        <f>E563*(1+D564)</f>
        <v/>
      </c>
    </row>
    <row r="565">
      <c r="A565" s="8" t="inlineStr">
        <is>
          <t>1965-08-01</t>
        </is>
      </c>
      <c r="B565" s="6" t="n">
        <v>4.88</v>
      </c>
      <c r="C565" s="8">
        <f>-PV(B565/100,$B$3,B564/100,1)</f>
        <v/>
      </c>
      <c r="D565" s="8">
        <f>B564/100/12+(C565-1)</f>
        <v/>
      </c>
      <c r="E565" s="8">
        <f>E564*(1+D565)</f>
        <v/>
      </c>
    </row>
    <row r="566">
      <c r="A566" s="8" t="inlineStr">
        <is>
          <t>1965-09-01</t>
        </is>
      </c>
      <c r="B566" s="6" t="n">
        <v>4.91</v>
      </c>
      <c r="C566" s="8">
        <f>-PV(B566/100,$B$3,B565/100,1)</f>
        <v/>
      </c>
      <c r="D566" s="8">
        <f>B565/100/12+(C566-1)</f>
        <v/>
      </c>
      <c r="E566" s="8">
        <f>E565*(1+D566)</f>
        <v/>
      </c>
    </row>
    <row r="567">
      <c r="A567" s="8" t="inlineStr">
        <is>
          <t>1965-10-01</t>
        </is>
      </c>
      <c r="B567" s="6" t="n">
        <v>4.93</v>
      </c>
      <c r="C567" s="8">
        <f>-PV(B567/100,$B$3,B566/100,1)</f>
        <v/>
      </c>
      <c r="D567" s="8">
        <f>B566/100/12+(C567-1)</f>
        <v/>
      </c>
      <c r="E567" s="8">
        <f>E566*(1+D567)</f>
        <v/>
      </c>
    </row>
    <row r="568">
      <c r="A568" s="8" t="inlineStr">
        <is>
          <t>1965-11-01</t>
        </is>
      </c>
      <c r="B568" s="6" t="n">
        <v>4.95</v>
      </c>
      <c r="C568" s="8">
        <f>-PV(B568/100,$B$3,B567/100,1)</f>
        <v/>
      </c>
      <c r="D568" s="8">
        <f>B567/100/12+(C568-1)</f>
        <v/>
      </c>
      <c r="E568" s="8">
        <f>E567*(1+D568)</f>
        <v/>
      </c>
    </row>
    <row r="569">
      <c r="A569" s="8" t="inlineStr">
        <is>
          <t>1965-12-01</t>
        </is>
      </c>
      <c r="B569" s="6" t="n">
        <v>5.02</v>
      </c>
      <c r="C569" s="8">
        <f>-PV(B569/100,$B$3,B568/100,1)</f>
        <v/>
      </c>
      <c r="D569" s="8">
        <f>B568/100/12+(C569-1)</f>
        <v/>
      </c>
      <c r="E569" s="8">
        <f>E568*(1+D569)</f>
        <v/>
      </c>
    </row>
    <row r="570">
      <c r="A570" s="8" t="inlineStr">
        <is>
          <t>1966-01-01</t>
        </is>
      </c>
      <c r="B570" s="6" t="n">
        <v>5.06</v>
      </c>
      <c r="C570" s="8">
        <f>-PV(B570/100,$B$3,B569/100,1)</f>
        <v/>
      </c>
      <c r="D570" s="8">
        <f>B569/100/12+(C570-1)</f>
        <v/>
      </c>
      <c r="E570" s="8">
        <f>E569*(1+D570)</f>
        <v/>
      </c>
    </row>
    <row r="571">
      <c r="A571" s="8" t="inlineStr">
        <is>
          <t>1966-02-01</t>
        </is>
      </c>
      <c r="B571" s="6" t="n">
        <v>5.12</v>
      </c>
      <c r="C571" s="8">
        <f>-PV(B571/100,$B$3,B570/100,1)</f>
        <v/>
      </c>
      <c r="D571" s="8">
        <f>B570/100/12+(C571-1)</f>
        <v/>
      </c>
      <c r="E571" s="8">
        <f>E570*(1+D571)</f>
        <v/>
      </c>
    </row>
    <row r="572">
      <c r="A572" s="8" t="inlineStr">
        <is>
          <t>1966-03-01</t>
        </is>
      </c>
      <c r="B572" s="6" t="n">
        <v>5.32</v>
      </c>
      <c r="C572" s="8">
        <f>-PV(B572/100,$B$3,B571/100,1)</f>
        <v/>
      </c>
      <c r="D572" s="8">
        <f>B571/100/12+(C572-1)</f>
        <v/>
      </c>
      <c r="E572" s="8">
        <f>E571*(1+D572)</f>
        <v/>
      </c>
    </row>
    <row r="573">
      <c r="A573" s="8" t="inlineStr">
        <is>
          <t>1966-04-01</t>
        </is>
      </c>
      <c r="B573" s="6" t="n">
        <v>5.41</v>
      </c>
      <c r="C573" s="8">
        <f>-PV(B573/100,$B$3,B572/100,1)</f>
        <v/>
      </c>
      <c r="D573" s="8">
        <f>B572/100/12+(C573-1)</f>
        <v/>
      </c>
      <c r="E573" s="8">
        <f>E572*(1+D573)</f>
        <v/>
      </c>
    </row>
    <row r="574">
      <c r="A574" s="8" t="inlineStr">
        <is>
          <t>1966-05-01</t>
        </is>
      </c>
      <c r="B574" s="6" t="n">
        <v>5.48</v>
      </c>
      <c r="C574" s="8">
        <f>-PV(B574/100,$B$3,B573/100,1)</f>
        <v/>
      </c>
      <c r="D574" s="8">
        <f>B573/100/12+(C574-1)</f>
        <v/>
      </c>
      <c r="E574" s="8">
        <f>E573*(1+D574)</f>
        <v/>
      </c>
    </row>
    <row r="575">
      <c r="A575" s="8" t="inlineStr">
        <is>
          <t>1966-06-01</t>
        </is>
      </c>
      <c r="B575" s="6" t="n">
        <v>5.58</v>
      </c>
      <c r="C575" s="8">
        <f>-PV(B575/100,$B$3,B574/100,1)</f>
        <v/>
      </c>
      <c r="D575" s="8">
        <f>B574/100/12+(C575-1)</f>
        <v/>
      </c>
      <c r="E575" s="8">
        <f>E574*(1+D575)</f>
        <v/>
      </c>
    </row>
    <row r="576">
      <c r="A576" s="8" t="inlineStr">
        <is>
          <t>1966-07-01</t>
        </is>
      </c>
      <c r="B576" s="6" t="n">
        <v>5.68</v>
      </c>
      <c r="C576" s="8">
        <f>-PV(B576/100,$B$3,B575/100,1)</f>
        <v/>
      </c>
      <c r="D576" s="8">
        <f>B575/100/12+(C576-1)</f>
        <v/>
      </c>
      <c r="E576" s="8">
        <f>E575*(1+D576)</f>
        <v/>
      </c>
    </row>
    <row r="577">
      <c r="A577" s="8" t="inlineStr">
        <is>
          <t>1966-08-01</t>
        </is>
      </c>
      <c r="B577" s="6" t="n">
        <v>5.83</v>
      </c>
      <c r="C577" s="8">
        <f>-PV(B577/100,$B$3,B576/100,1)</f>
        <v/>
      </c>
      <c r="D577" s="8">
        <f>B576/100/12+(C577-1)</f>
        <v/>
      </c>
      <c r="E577" s="8">
        <f>E576*(1+D577)</f>
        <v/>
      </c>
    </row>
    <row r="578">
      <c r="A578" s="8" t="inlineStr">
        <is>
          <t>1966-09-01</t>
        </is>
      </c>
      <c r="B578" s="6" t="n">
        <v>6.09</v>
      </c>
      <c r="C578" s="8">
        <f>-PV(B578/100,$B$3,B577/100,1)</f>
        <v/>
      </c>
      <c r="D578" s="8">
        <f>B577/100/12+(C578-1)</f>
        <v/>
      </c>
      <c r="E578" s="8">
        <f>E577*(1+D578)</f>
        <v/>
      </c>
    </row>
    <row r="579">
      <c r="A579" s="8" t="inlineStr">
        <is>
          <t>1966-10-01</t>
        </is>
      </c>
      <c r="B579" s="6" t="n">
        <v>6.1</v>
      </c>
      <c r="C579" s="8">
        <f>-PV(B579/100,$B$3,B578/100,1)</f>
        <v/>
      </c>
      <c r="D579" s="8">
        <f>B578/100/12+(C579-1)</f>
        <v/>
      </c>
      <c r="E579" s="8">
        <f>E578*(1+D579)</f>
        <v/>
      </c>
    </row>
    <row r="580">
      <c r="A580" s="8" t="inlineStr">
        <is>
          <t>1966-11-01</t>
        </is>
      </c>
      <c r="B580" s="6" t="n">
        <v>6.13</v>
      </c>
      <c r="C580" s="8">
        <f>-PV(B580/100,$B$3,B579/100,1)</f>
        <v/>
      </c>
      <c r="D580" s="8">
        <f>B579/100/12+(C580-1)</f>
        <v/>
      </c>
      <c r="E580" s="8">
        <f>E579*(1+D580)</f>
        <v/>
      </c>
    </row>
    <row r="581">
      <c r="A581" s="8" t="inlineStr">
        <is>
          <t>1966-12-01</t>
        </is>
      </c>
      <c r="B581" s="6" t="n">
        <v>6.18</v>
      </c>
      <c r="C581" s="8">
        <f>-PV(B581/100,$B$3,B580/100,1)</f>
        <v/>
      </c>
      <c r="D581" s="8">
        <f>B580/100/12+(C581-1)</f>
        <v/>
      </c>
      <c r="E581" s="8">
        <f>E580*(1+D581)</f>
        <v/>
      </c>
    </row>
    <row r="582">
      <c r="A582" s="8" t="inlineStr">
        <is>
          <t>1967-01-01</t>
        </is>
      </c>
      <c r="B582" s="6" t="n">
        <v>5.97</v>
      </c>
      <c r="C582" s="8">
        <f>-PV(B582/100,$B$3,B581/100,1)</f>
        <v/>
      </c>
      <c r="D582" s="8">
        <f>B581/100/12+(C582-1)</f>
        <v/>
      </c>
      <c r="E582" s="8">
        <f>E581*(1+D582)</f>
        <v/>
      </c>
    </row>
    <row r="583">
      <c r="A583" s="8" t="inlineStr">
        <is>
          <t>1967-02-01</t>
        </is>
      </c>
      <c r="B583" s="6" t="n">
        <v>5.82</v>
      </c>
      <c r="C583" s="8">
        <f>-PV(B583/100,$B$3,B582/100,1)</f>
        <v/>
      </c>
      <c r="D583" s="8">
        <f>B582/100/12+(C583-1)</f>
        <v/>
      </c>
      <c r="E583" s="8">
        <f>E582*(1+D583)</f>
        <v/>
      </c>
    </row>
    <row r="584">
      <c r="A584" s="8" t="inlineStr">
        <is>
          <t>1967-03-01</t>
        </is>
      </c>
      <c r="B584" s="6" t="n">
        <v>5.85</v>
      </c>
      <c r="C584" s="8">
        <f>-PV(B584/100,$B$3,B583/100,1)</f>
        <v/>
      </c>
      <c r="D584" s="8">
        <f>B583/100/12+(C584-1)</f>
        <v/>
      </c>
      <c r="E584" s="8">
        <f>E583*(1+D584)</f>
        <v/>
      </c>
    </row>
    <row r="585">
      <c r="A585" s="8" t="inlineStr">
        <is>
          <t>1967-04-01</t>
        </is>
      </c>
      <c r="B585" s="6" t="n">
        <v>5.83</v>
      </c>
      <c r="C585" s="8">
        <f>-PV(B585/100,$B$3,B584/100,1)</f>
        <v/>
      </c>
      <c r="D585" s="8">
        <f>B584/100/12+(C585-1)</f>
        <v/>
      </c>
      <c r="E585" s="8">
        <f>E584*(1+D585)</f>
        <v/>
      </c>
    </row>
    <row r="586">
      <c r="A586" s="8" t="inlineStr">
        <is>
          <t>1967-05-01</t>
        </is>
      </c>
      <c r="B586" s="6" t="n">
        <v>5.96</v>
      </c>
      <c r="C586" s="8">
        <f>-PV(B586/100,$B$3,B585/100,1)</f>
        <v/>
      </c>
      <c r="D586" s="8">
        <f>B585/100/12+(C586-1)</f>
        <v/>
      </c>
      <c r="E586" s="8">
        <f>E585*(1+D586)</f>
        <v/>
      </c>
    </row>
    <row r="587">
      <c r="A587" s="8" t="inlineStr">
        <is>
          <t>1967-06-01</t>
        </is>
      </c>
      <c r="B587" s="6" t="n">
        <v>6.15</v>
      </c>
      <c r="C587" s="8">
        <f>-PV(B587/100,$B$3,B586/100,1)</f>
        <v/>
      </c>
      <c r="D587" s="8">
        <f>B586/100/12+(C587-1)</f>
        <v/>
      </c>
      <c r="E587" s="8">
        <f>E586*(1+D587)</f>
        <v/>
      </c>
    </row>
    <row r="588">
      <c r="A588" s="8" t="inlineStr">
        <is>
          <t>1967-07-01</t>
        </is>
      </c>
      <c r="B588" s="6" t="n">
        <v>6.26</v>
      </c>
      <c r="C588" s="8">
        <f>-PV(B588/100,$B$3,B587/100,1)</f>
        <v/>
      </c>
      <c r="D588" s="8">
        <f>B587/100/12+(C588-1)</f>
        <v/>
      </c>
      <c r="E588" s="8">
        <f>E587*(1+D588)</f>
        <v/>
      </c>
    </row>
    <row r="589">
      <c r="A589" s="8" t="inlineStr">
        <is>
          <t>1967-08-01</t>
        </is>
      </c>
      <c r="B589" s="6" t="n">
        <v>6.33</v>
      </c>
      <c r="C589" s="8">
        <f>-PV(B589/100,$B$3,B588/100,1)</f>
        <v/>
      </c>
      <c r="D589" s="8">
        <f>B588/100/12+(C589-1)</f>
        <v/>
      </c>
      <c r="E589" s="8">
        <f>E588*(1+D589)</f>
        <v/>
      </c>
    </row>
    <row r="590">
      <c r="A590" s="8" t="inlineStr">
        <is>
          <t>1967-09-01</t>
        </is>
      </c>
      <c r="B590" s="6" t="n">
        <v>6.4</v>
      </c>
      <c r="C590" s="8">
        <f>-PV(B590/100,$B$3,B589/100,1)</f>
        <v/>
      </c>
      <c r="D590" s="8">
        <f>B589/100/12+(C590-1)</f>
        <v/>
      </c>
      <c r="E590" s="8">
        <f>E589*(1+D590)</f>
        <v/>
      </c>
    </row>
    <row r="591">
      <c r="A591" s="8" t="inlineStr">
        <is>
          <t>1967-10-01</t>
        </is>
      </c>
      <c r="B591" s="6" t="n">
        <v>6.52</v>
      </c>
      <c r="C591" s="8">
        <f>-PV(B591/100,$B$3,B590/100,1)</f>
        <v/>
      </c>
      <c r="D591" s="8">
        <f>B590/100/12+(C591-1)</f>
        <v/>
      </c>
      <c r="E591" s="8">
        <f>E590*(1+D591)</f>
        <v/>
      </c>
    </row>
    <row r="592">
      <c r="A592" s="8" t="inlineStr">
        <is>
          <t>1967-11-01</t>
        </is>
      </c>
      <c r="B592" s="6" t="n">
        <v>6.72</v>
      </c>
      <c r="C592" s="8">
        <f>-PV(B592/100,$B$3,B591/100,1)</f>
        <v/>
      </c>
      <c r="D592" s="8">
        <f>B591/100/12+(C592-1)</f>
        <v/>
      </c>
      <c r="E592" s="8">
        <f>E591*(1+D592)</f>
        <v/>
      </c>
    </row>
    <row r="593">
      <c r="A593" s="8" t="inlineStr">
        <is>
          <t>1967-12-01</t>
        </is>
      </c>
      <c r="B593" s="6" t="n">
        <v>6.93</v>
      </c>
      <c r="C593" s="8">
        <f>-PV(B593/100,$B$3,B592/100,1)</f>
        <v/>
      </c>
      <c r="D593" s="8">
        <f>B592/100/12+(C593-1)</f>
        <v/>
      </c>
      <c r="E593" s="8">
        <f>E592*(1+D593)</f>
        <v/>
      </c>
    </row>
    <row r="594">
      <c r="A594" s="8" t="inlineStr">
        <is>
          <t>1968-01-01</t>
        </is>
      </c>
      <c r="B594" s="6" t="n">
        <v>6.84</v>
      </c>
      <c r="C594" s="8">
        <f>-PV(B594/100,$B$3,B593/100,1)</f>
        <v/>
      </c>
      <c r="D594" s="8">
        <f>B593/100/12+(C594-1)</f>
        <v/>
      </c>
      <c r="E594" s="8">
        <f>E593*(1+D594)</f>
        <v/>
      </c>
    </row>
    <row r="595">
      <c r="A595" s="8" t="inlineStr">
        <is>
          <t>1968-02-01</t>
        </is>
      </c>
      <c r="B595" s="6" t="n">
        <v>6.8</v>
      </c>
      <c r="C595" s="8">
        <f>-PV(B595/100,$B$3,B594/100,1)</f>
        <v/>
      </c>
      <c r="D595" s="8">
        <f>B594/100/12+(C595-1)</f>
        <v/>
      </c>
      <c r="E595" s="8">
        <f>E594*(1+D595)</f>
        <v/>
      </c>
    </row>
    <row r="596">
      <c r="A596" s="8" t="inlineStr">
        <is>
          <t>1968-03-01</t>
        </is>
      </c>
      <c r="B596" s="6" t="n">
        <v>6.85</v>
      </c>
      <c r="C596" s="8">
        <f>-PV(B596/100,$B$3,B595/100,1)</f>
        <v/>
      </c>
      <c r="D596" s="8">
        <f>B595/100/12+(C596-1)</f>
        <v/>
      </c>
      <c r="E596" s="8">
        <f>E595*(1+D596)</f>
        <v/>
      </c>
    </row>
    <row r="597">
      <c r="A597" s="8" t="inlineStr">
        <is>
          <t>1968-04-01</t>
        </is>
      </c>
      <c r="B597" s="6" t="n">
        <v>6.97</v>
      </c>
      <c r="C597" s="8">
        <f>-PV(B597/100,$B$3,B596/100,1)</f>
        <v/>
      </c>
      <c r="D597" s="8">
        <f>B596/100/12+(C597-1)</f>
        <v/>
      </c>
      <c r="E597" s="8">
        <f>E596*(1+D597)</f>
        <v/>
      </c>
    </row>
    <row r="598">
      <c r="A598" s="8" t="inlineStr">
        <is>
          <t>1968-05-01</t>
        </is>
      </c>
      <c r="B598" s="6" t="n">
        <v>7.03</v>
      </c>
      <c r="C598" s="8">
        <f>-PV(B598/100,$B$3,B597/100,1)</f>
        <v/>
      </c>
      <c r="D598" s="8">
        <f>B597/100/12+(C598-1)</f>
        <v/>
      </c>
      <c r="E598" s="8">
        <f>E597*(1+D598)</f>
        <v/>
      </c>
    </row>
    <row r="599">
      <c r="A599" s="8" t="inlineStr">
        <is>
          <t>1968-06-01</t>
        </is>
      </c>
      <c r="B599" s="6" t="n">
        <v>7.07</v>
      </c>
      <c r="C599" s="8">
        <f>-PV(B599/100,$B$3,B598/100,1)</f>
        <v/>
      </c>
      <c r="D599" s="8">
        <f>B598/100/12+(C599-1)</f>
        <v/>
      </c>
      <c r="E599" s="8">
        <f>E598*(1+D599)</f>
        <v/>
      </c>
    </row>
    <row r="600">
      <c r="A600" s="8" t="inlineStr">
        <is>
          <t>1968-07-01</t>
        </is>
      </c>
      <c r="B600" s="6" t="n">
        <v>6.98</v>
      </c>
      <c r="C600" s="8">
        <f>-PV(B600/100,$B$3,B599/100,1)</f>
        <v/>
      </c>
      <c r="D600" s="8">
        <f>B599/100/12+(C600-1)</f>
        <v/>
      </c>
      <c r="E600" s="8">
        <f>E599*(1+D600)</f>
        <v/>
      </c>
    </row>
    <row r="601">
      <c r="A601" s="8" t="inlineStr">
        <is>
          <t>1968-08-01</t>
        </is>
      </c>
      <c r="B601" s="6" t="n">
        <v>6.82</v>
      </c>
      <c r="C601" s="8">
        <f>-PV(B601/100,$B$3,B600/100,1)</f>
        <v/>
      </c>
      <c r="D601" s="8">
        <f>B600/100/12+(C601-1)</f>
        <v/>
      </c>
      <c r="E601" s="8">
        <f>E600*(1+D601)</f>
        <v/>
      </c>
    </row>
    <row r="602">
      <c r="A602" s="8" t="inlineStr">
        <is>
          <t>1968-09-01</t>
        </is>
      </c>
      <c r="B602" s="6" t="n">
        <v>6.79</v>
      </c>
      <c r="C602" s="8">
        <f>-PV(B602/100,$B$3,B601/100,1)</f>
        <v/>
      </c>
      <c r="D602" s="8">
        <f>B601/100/12+(C602-1)</f>
        <v/>
      </c>
      <c r="E602" s="8">
        <f>E601*(1+D602)</f>
        <v/>
      </c>
    </row>
    <row r="603">
      <c r="A603" s="8" t="inlineStr">
        <is>
          <t>1968-10-01</t>
        </is>
      </c>
      <c r="B603" s="6" t="n">
        <v>6.84</v>
      </c>
      <c r="C603" s="8">
        <f>-PV(B603/100,$B$3,B602/100,1)</f>
        <v/>
      </c>
      <c r="D603" s="8">
        <f>B602/100/12+(C603-1)</f>
        <v/>
      </c>
      <c r="E603" s="8">
        <f>E602*(1+D603)</f>
        <v/>
      </c>
    </row>
    <row r="604">
      <c r="A604" s="8" t="inlineStr">
        <is>
          <t>1968-11-01</t>
        </is>
      </c>
      <c r="B604" s="6" t="n">
        <v>7.01</v>
      </c>
      <c r="C604" s="8">
        <f>-PV(B604/100,$B$3,B603/100,1)</f>
        <v/>
      </c>
      <c r="D604" s="8">
        <f>B603/100/12+(C604-1)</f>
        <v/>
      </c>
      <c r="E604" s="8">
        <f>E603*(1+D604)</f>
        <v/>
      </c>
    </row>
    <row r="605">
      <c r="A605" s="8" t="inlineStr">
        <is>
          <t>1968-12-01</t>
        </is>
      </c>
      <c r="B605" s="6" t="n">
        <v>7.23</v>
      </c>
      <c r="C605" s="8">
        <f>-PV(B605/100,$B$3,B604/100,1)</f>
        <v/>
      </c>
      <c r="D605" s="8">
        <f>B604/100/12+(C605-1)</f>
        <v/>
      </c>
      <c r="E605" s="8">
        <f>E604*(1+D605)</f>
        <v/>
      </c>
    </row>
    <row r="606">
      <c r="A606" s="8" t="inlineStr">
        <is>
          <t>1969-01-01</t>
        </is>
      </c>
      <c r="B606" s="6" t="n">
        <v>7.32</v>
      </c>
      <c r="C606" s="8">
        <f>-PV(B606/100,$B$3,B605/100,1)</f>
        <v/>
      </c>
      <c r="D606" s="8">
        <f>B605/100/12+(C606-1)</f>
        <v/>
      </c>
      <c r="E606" s="8">
        <f>E605*(1+D606)</f>
        <v/>
      </c>
    </row>
    <row r="607">
      <c r="A607" s="8" t="inlineStr">
        <is>
          <t>1969-02-01</t>
        </is>
      </c>
      <c r="B607" s="6" t="n">
        <v>7.3</v>
      </c>
      <c r="C607" s="8">
        <f>-PV(B607/100,$B$3,B606/100,1)</f>
        <v/>
      </c>
      <c r="D607" s="8">
        <f>B606/100/12+(C607-1)</f>
        <v/>
      </c>
      <c r="E607" s="8">
        <f>E606*(1+D607)</f>
        <v/>
      </c>
    </row>
    <row r="608">
      <c r="A608" s="8" t="inlineStr">
        <is>
          <t>1969-03-01</t>
        </is>
      </c>
      <c r="B608" s="6" t="n">
        <v>7.51</v>
      </c>
      <c r="C608" s="8">
        <f>-PV(B608/100,$B$3,B607/100,1)</f>
        <v/>
      </c>
      <c r="D608" s="8">
        <f>B607/100/12+(C608-1)</f>
        <v/>
      </c>
      <c r="E608" s="8">
        <f>E607*(1+D608)</f>
        <v/>
      </c>
    </row>
    <row r="609">
      <c r="A609" s="8" t="inlineStr">
        <is>
          <t>1969-04-01</t>
        </is>
      </c>
      <c r="B609" s="6" t="n">
        <v>7.54</v>
      </c>
      <c r="C609" s="8">
        <f>-PV(B609/100,$B$3,B608/100,1)</f>
        <v/>
      </c>
      <c r="D609" s="8">
        <f>B608/100/12+(C609-1)</f>
        <v/>
      </c>
      <c r="E609" s="8">
        <f>E608*(1+D609)</f>
        <v/>
      </c>
    </row>
    <row r="610">
      <c r="A610" s="8" t="inlineStr">
        <is>
          <t>1969-05-01</t>
        </is>
      </c>
      <c r="B610" s="6" t="n">
        <v>7.52</v>
      </c>
      <c r="C610" s="8">
        <f>-PV(B610/100,$B$3,B609/100,1)</f>
        <v/>
      </c>
      <c r="D610" s="8">
        <f>B609/100/12+(C610-1)</f>
        <v/>
      </c>
      <c r="E610" s="8">
        <f>E609*(1+D610)</f>
        <v/>
      </c>
    </row>
    <row r="611">
      <c r="A611" s="8" t="inlineStr">
        <is>
          <t>1969-06-01</t>
        </is>
      </c>
      <c r="B611" s="6" t="n">
        <v>7.7</v>
      </c>
      <c r="C611" s="8">
        <f>-PV(B611/100,$B$3,B610/100,1)</f>
        <v/>
      </c>
      <c r="D611" s="8">
        <f>B610/100/12+(C611-1)</f>
        <v/>
      </c>
      <c r="E611" s="8">
        <f>E610*(1+D611)</f>
        <v/>
      </c>
    </row>
    <row r="612">
      <c r="A612" s="8" t="inlineStr">
        <is>
          <t>1969-07-01</t>
        </is>
      </c>
      <c r="B612" s="6" t="n">
        <v>7.84</v>
      </c>
      <c r="C612" s="8">
        <f>-PV(B612/100,$B$3,B611/100,1)</f>
        <v/>
      </c>
      <c r="D612" s="8">
        <f>B611/100/12+(C612-1)</f>
        <v/>
      </c>
      <c r="E612" s="8">
        <f>E611*(1+D612)</f>
        <v/>
      </c>
    </row>
    <row r="613">
      <c r="A613" s="8" t="inlineStr">
        <is>
          <t>1969-08-01</t>
        </is>
      </c>
      <c r="B613" s="6" t="n">
        <v>7.86</v>
      </c>
      <c r="C613" s="8">
        <f>-PV(B613/100,$B$3,B612/100,1)</f>
        <v/>
      </c>
      <c r="D613" s="8">
        <f>B612/100/12+(C613-1)</f>
        <v/>
      </c>
      <c r="E613" s="8">
        <f>E612*(1+D613)</f>
        <v/>
      </c>
    </row>
    <row r="614">
      <c r="A614" s="8" t="inlineStr">
        <is>
          <t>1969-09-01</t>
        </is>
      </c>
      <c r="B614" s="6" t="n">
        <v>8.050000000000001</v>
      </c>
      <c r="C614" s="8">
        <f>-PV(B614/100,$B$3,B613/100,1)</f>
        <v/>
      </c>
      <c r="D614" s="8">
        <f>B613/100/12+(C614-1)</f>
        <v/>
      </c>
      <c r="E614" s="8">
        <f>E613*(1+D614)</f>
        <v/>
      </c>
    </row>
    <row r="615">
      <c r="A615" s="8" t="inlineStr">
        <is>
          <t>1969-10-01</t>
        </is>
      </c>
      <c r="B615" s="6" t="n">
        <v>8.220000000000001</v>
      </c>
      <c r="C615" s="8">
        <f>-PV(B615/100,$B$3,B614/100,1)</f>
        <v/>
      </c>
      <c r="D615" s="8">
        <f>B614/100/12+(C615-1)</f>
        <v/>
      </c>
      <c r="E615" s="8">
        <f>E614*(1+D615)</f>
        <v/>
      </c>
    </row>
    <row r="616">
      <c r="A616" s="8" t="inlineStr">
        <is>
          <t>1969-11-01</t>
        </is>
      </c>
      <c r="B616" s="6" t="n">
        <v>8.25</v>
      </c>
      <c r="C616" s="8">
        <f>-PV(B616/100,$B$3,B615/100,1)</f>
        <v/>
      </c>
      <c r="D616" s="8">
        <f>B615/100/12+(C616-1)</f>
        <v/>
      </c>
      <c r="E616" s="8">
        <f>E615*(1+D616)</f>
        <v/>
      </c>
    </row>
    <row r="617">
      <c r="A617" s="8" t="inlineStr">
        <is>
          <t>1969-12-01</t>
        </is>
      </c>
      <c r="B617" s="6" t="n">
        <v>8.65</v>
      </c>
      <c r="C617" s="8">
        <f>-PV(B617/100,$B$3,B616/100,1)</f>
        <v/>
      </c>
      <c r="D617" s="8">
        <f>B616/100/12+(C617-1)</f>
        <v/>
      </c>
      <c r="E617" s="8">
        <f>E616*(1+D617)</f>
        <v/>
      </c>
    </row>
    <row r="618">
      <c r="A618" s="8" t="inlineStr">
        <is>
          <t>1970-01-01</t>
        </is>
      </c>
      <c r="B618" s="6" t="n">
        <v>8.859999999999999</v>
      </c>
      <c r="C618" s="8">
        <f>-PV(B618/100,$B$3,B617/100,1)</f>
        <v/>
      </c>
      <c r="D618" s="8">
        <f>B617/100/12+(C618-1)</f>
        <v/>
      </c>
      <c r="E618" s="8">
        <f>E617*(1+D618)</f>
        <v/>
      </c>
    </row>
    <row r="619">
      <c r="A619" s="8" t="inlineStr">
        <is>
          <t>1970-02-01</t>
        </is>
      </c>
      <c r="B619" s="6" t="n">
        <v>8.779999999999999</v>
      </c>
      <c r="C619" s="8">
        <f>-PV(B619/100,$B$3,B618/100,1)</f>
        <v/>
      </c>
      <c r="D619" s="8">
        <f>B618/100/12+(C619-1)</f>
        <v/>
      </c>
      <c r="E619" s="8">
        <f>E618*(1+D619)</f>
        <v/>
      </c>
    </row>
    <row r="620">
      <c r="A620" s="8" t="inlineStr">
        <is>
          <t>1970-03-01</t>
        </is>
      </c>
      <c r="B620" s="6" t="n">
        <v>8.630000000000001</v>
      </c>
      <c r="C620" s="8">
        <f>-PV(B620/100,$B$3,B619/100,1)</f>
        <v/>
      </c>
      <c r="D620" s="8">
        <f>B619/100/12+(C620-1)</f>
        <v/>
      </c>
      <c r="E620" s="8">
        <f>E619*(1+D620)</f>
        <v/>
      </c>
    </row>
    <row r="621">
      <c r="A621" s="8" t="inlineStr">
        <is>
          <t>1970-04-01</t>
        </is>
      </c>
      <c r="B621" s="6" t="n">
        <v>8.699999999999999</v>
      </c>
      <c r="C621" s="8">
        <f>-PV(B621/100,$B$3,B620/100,1)</f>
        <v/>
      </c>
      <c r="D621" s="8">
        <f>B620/100/12+(C621-1)</f>
        <v/>
      </c>
      <c r="E621" s="8">
        <f>E620*(1+D621)</f>
        <v/>
      </c>
    </row>
    <row r="622">
      <c r="A622" s="8" t="inlineStr">
        <is>
          <t>1970-05-01</t>
        </is>
      </c>
      <c r="B622" s="6" t="n">
        <v>8.98</v>
      </c>
      <c r="C622" s="8">
        <f>-PV(B622/100,$B$3,B621/100,1)</f>
        <v/>
      </c>
      <c r="D622" s="8">
        <f>B621/100/12+(C622-1)</f>
        <v/>
      </c>
      <c r="E622" s="8">
        <f>E621*(1+D622)</f>
        <v/>
      </c>
    </row>
    <row r="623">
      <c r="A623" s="8" t="inlineStr">
        <is>
          <t>1970-06-01</t>
        </is>
      </c>
      <c r="B623" s="6" t="n">
        <v>9.25</v>
      </c>
      <c r="C623" s="8">
        <f>-PV(B623/100,$B$3,B622/100,1)</f>
        <v/>
      </c>
      <c r="D623" s="8">
        <f>B622/100/12+(C623-1)</f>
        <v/>
      </c>
      <c r="E623" s="8">
        <f>E622*(1+D623)</f>
        <v/>
      </c>
    </row>
    <row r="624">
      <c r="A624" s="8" t="inlineStr">
        <is>
          <t>1970-07-01</t>
        </is>
      </c>
      <c r="B624" s="6" t="n">
        <v>9.4</v>
      </c>
      <c r="C624" s="8">
        <f>-PV(B624/100,$B$3,B623/100,1)</f>
        <v/>
      </c>
      <c r="D624" s="8">
        <f>B623/100/12+(C624-1)</f>
        <v/>
      </c>
      <c r="E624" s="8">
        <f>E623*(1+D624)</f>
        <v/>
      </c>
    </row>
    <row r="625">
      <c r="A625" s="8" t="inlineStr">
        <is>
          <t>1970-08-01</t>
        </is>
      </c>
      <c r="B625" s="6" t="n">
        <v>9.44</v>
      </c>
      <c r="C625" s="8">
        <f>-PV(B625/100,$B$3,B624/100,1)</f>
        <v/>
      </c>
      <c r="D625" s="8">
        <f>B624/100/12+(C625-1)</f>
        <v/>
      </c>
      <c r="E625" s="8">
        <f>E624*(1+D625)</f>
        <v/>
      </c>
    </row>
    <row r="626">
      <c r="A626" s="8" t="inlineStr">
        <is>
          <t>1970-09-01</t>
        </is>
      </c>
      <c r="B626" s="6" t="n">
        <v>9.390000000000001</v>
      </c>
      <c r="C626" s="8">
        <f>-PV(B626/100,$B$3,B625/100,1)</f>
        <v/>
      </c>
      <c r="D626" s="8">
        <f>B625/100/12+(C626-1)</f>
        <v/>
      </c>
      <c r="E626" s="8">
        <f>E625*(1+D626)</f>
        <v/>
      </c>
    </row>
    <row r="627">
      <c r="A627" s="8" t="inlineStr">
        <is>
          <t>1970-10-01</t>
        </is>
      </c>
      <c r="B627" s="6" t="n">
        <v>9.33</v>
      </c>
      <c r="C627" s="8">
        <f>-PV(B627/100,$B$3,B626/100,1)</f>
        <v/>
      </c>
      <c r="D627" s="8">
        <f>B626/100/12+(C627-1)</f>
        <v/>
      </c>
      <c r="E627" s="8">
        <f>E626*(1+D627)</f>
        <v/>
      </c>
    </row>
    <row r="628">
      <c r="A628" s="8" t="inlineStr">
        <is>
          <t>1970-11-01</t>
        </is>
      </c>
      <c r="B628" s="6" t="n">
        <v>9.380000000000001</v>
      </c>
      <c r="C628" s="8">
        <f>-PV(B628/100,$B$3,B627/100,1)</f>
        <v/>
      </c>
      <c r="D628" s="8">
        <f>B627/100/12+(C628-1)</f>
        <v/>
      </c>
      <c r="E628" s="8">
        <f>E627*(1+D628)</f>
        <v/>
      </c>
    </row>
    <row r="629">
      <c r="A629" s="8" t="inlineStr">
        <is>
          <t>1970-12-01</t>
        </is>
      </c>
      <c r="B629" s="6" t="n">
        <v>9.119999999999999</v>
      </c>
      <c r="C629" s="8">
        <f>-PV(B629/100,$B$3,B628/100,1)</f>
        <v/>
      </c>
      <c r="D629" s="8">
        <f>B628/100/12+(C629-1)</f>
        <v/>
      </c>
      <c r="E629" s="8">
        <f>E628*(1+D629)</f>
        <v/>
      </c>
    </row>
    <row r="630">
      <c r="A630" s="8" t="inlineStr">
        <is>
          <t>1971-01-01</t>
        </is>
      </c>
      <c r="B630" s="6" t="n">
        <v>8.74</v>
      </c>
      <c r="C630" s="8">
        <f>-PV(B630/100,$B$3,B629/100,1)</f>
        <v/>
      </c>
      <c r="D630" s="8">
        <f>B629/100/12+(C630-1)</f>
        <v/>
      </c>
      <c r="E630" s="8">
        <f>E629*(1+D630)</f>
        <v/>
      </c>
    </row>
    <row r="631">
      <c r="A631" s="8" t="inlineStr">
        <is>
          <t>1971-02-01</t>
        </is>
      </c>
      <c r="B631" s="6" t="n">
        <v>8.390000000000001</v>
      </c>
      <c r="C631" s="8">
        <f>-PV(B631/100,$B$3,B630/100,1)</f>
        <v/>
      </c>
      <c r="D631" s="8">
        <f>B630/100/12+(C631-1)</f>
        <v/>
      </c>
      <c r="E631" s="8">
        <f>E630*(1+D631)</f>
        <v/>
      </c>
    </row>
    <row r="632">
      <c r="A632" s="8" t="inlineStr">
        <is>
          <t>1971-03-01</t>
        </is>
      </c>
      <c r="B632" s="6" t="n">
        <v>8.460000000000001</v>
      </c>
      <c r="C632" s="8">
        <f>-PV(B632/100,$B$3,B631/100,1)</f>
        <v/>
      </c>
      <c r="D632" s="8">
        <f>B631/100/12+(C632-1)</f>
        <v/>
      </c>
      <c r="E632" s="8">
        <f>E631*(1+D632)</f>
        <v/>
      </c>
    </row>
    <row r="633">
      <c r="A633" s="8" t="inlineStr">
        <is>
          <t>1971-04-01</t>
        </is>
      </c>
      <c r="B633" s="6" t="n">
        <v>8.449999999999999</v>
      </c>
      <c r="C633" s="8">
        <f>-PV(B633/100,$B$3,B632/100,1)</f>
        <v/>
      </c>
      <c r="D633" s="8">
        <f>B632/100/12+(C633-1)</f>
        <v/>
      </c>
      <c r="E633" s="8">
        <f>E632*(1+D633)</f>
        <v/>
      </c>
    </row>
    <row r="634">
      <c r="A634" s="8" t="inlineStr">
        <is>
          <t>1971-05-01</t>
        </is>
      </c>
      <c r="B634" s="6" t="n">
        <v>8.619999999999999</v>
      </c>
      <c r="C634" s="8">
        <f>-PV(B634/100,$B$3,B633/100,1)</f>
        <v/>
      </c>
      <c r="D634" s="8">
        <f>B633/100/12+(C634-1)</f>
        <v/>
      </c>
      <c r="E634" s="8">
        <f>E633*(1+D634)</f>
        <v/>
      </c>
    </row>
    <row r="635">
      <c r="A635" s="8" t="inlineStr">
        <is>
          <t>1971-06-01</t>
        </is>
      </c>
      <c r="B635" s="6" t="n">
        <v>8.75</v>
      </c>
      <c r="C635" s="8">
        <f>-PV(B635/100,$B$3,B634/100,1)</f>
        <v/>
      </c>
      <c r="D635" s="8">
        <f>B634/100/12+(C635-1)</f>
        <v/>
      </c>
      <c r="E635" s="8">
        <f>E634*(1+D635)</f>
        <v/>
      </c>
    </row>
    <row r="636">
      <c r="A636" s="8" t="inlineStr">
        <is>
          <t>1971-07-01</t>
        </is>
      </c>
      <c r="B636" s="6" t="n">
        <v>8.76</v>
      </c>
      <c r="C636" s="8">
        <f>-PV(B636/100,$B$3,B635/100,1)</f>
        <v/>
      </c>
      <c r="D636" s="8">
        <f>B635/100/12+(C636-1)</f>
        <v/>
      </c>
      <c r="E636" s="8">
        <f>E635*(1+D636)</f>
        <v/>
      </c>
    </row>
    <row r="637">
      <c r="A637" s="8" t="inlineStr">
        <is>
          <t>1971-08-01</t>
        </is>
      </c>
      <c r="B637" s="6" t="n">
        <v>8.76</v>
      </c>
      <c r="C637" s="8">
        <f>-PV(B637/100,$B$3,B636/100,1)</f>
        <v/>
      </c>
      <c r="D637" s="8">
        <f>B636/100/12+(C637-1)</f>
        <v/>
      </c>
      <c r="E637" s="8">
        <f>E636*(1+D637)</f>
        <v/>
      </c>
    </row>
    <row r="638">
      <c r="A638" s="8" t="inlineStr">
        <is>
          <t>1971-09-01</t>
        </is>
      </c>
      <c r="B638" s="6" t="n">
        <v>8.59</v>
      </c>
      <c r="C638" s="8">
        <f>-PV(B638/100,$B$3,B637/100,1)</f>
        <v/>
      </c>
      <c r="D638" s="8">
        <f>B637/100/12+(C638-1)</f>
        <v/>
      </c>
      <c r="E638" s="8">
        <f>E637*(1+D638)</f>
        <v/>
      </c>
    </row>
    <row r="639">
      <c r="A639" s="8" t="inlineStr">
        <is>
          <t>1971-10-01</t>
        </is>
      </c>
      <c r="B639" s="6" t="n">
        <v>8.48</v>
      </c>
      <c r="C639" s="8">
        <f>-PV(B639/100,$B$3,B638/100,1)</f>
        <v/>
      </c>
      <c r="D639" s="8">
        <f>B638/100/12+(C639-1)</f>
        <v/>
      </c>
      <c r="E639" s="8">
        <f>E638*(1+D639)</f>
        <v/>
      </c>
    </row>
    <row r="640">
      <c r="A640" s="8" t="inlineStr">
        <is>
          <t>1971-11-01</t>
        </is>
      </c>
      <c r="B640" s="6" t="n">
        <v>8.380000000000001</v>
      </c>
      <c r="C640" s="8">
        <f>-PV(B640/100,$B$3,B639/100,1)</f>
        <v/>
      </c>
      <c r="D640" s="8">
        <f>B639/100/12+(C640-1)</f>
        <v/>
      </c>
      <c r="E640" s="8">
        <f>E639*(1+D640)</f>
        <v/>
      </c>
    </row>
    <row r="641">
      <c r="A641" s="8" t="inlineStr">
        <is>
          <t>1971-12-01</t>
        </is>
      </c>
      <c r="B641" s="6" t="n">
        <v>8.380000000000001</v>
      </c>
      <c r="C641" s="8">
        <f>-PV(B641/100,$B$3,B640/100,1)</f>
        <v/>
      </c>
      <c r="D641" s="8">
        <f>B640/100/12+(C641-1)</f>
        <v/>
      </c>
      <c r="E641" s="8">
        <f>E640*(1+D641)</f>
        <v/>
      </c>
    </row>
    <row r="642">
      <c r="A642" s="8" t="inlineStr">
        <is>
          <t>1972-01-01</t>
        </is>
      </c>
      <c r="B642" s="6" t="n">
        <v>8.23</v>
      </c>
      <c r="C642" s="8">
        <f>-PV(B642/100,$B$3,B641/100,1)</f>
        <v/>
      </c>
      <c r="D642" s="8">
        <f>B641/100/12+(C642-1)</f>
        <v/>
      </c>
      <c r="E642" s="8">
        <f>E641*(1+D642)</f>
        <v/>
      </c>
    </row>
    <row r="643">
      <c r="A643" s="8" t="inlineStr">
        <is>
          <t>1972-02-01</t>
        </is>
      </c>
      <c r="B643" s="6" t="n">
        <v>8.23</v>
      </c>
      <c r="C643" s="8">
        <f>-PV(B643/100,$B$3,B642/100,1)</f>
        <v/>
      </c>
      <c r="D643" s="8">
        <f>B642/100/12+(C643-1)</f>
        <v/>
      </c>
      <c r="E643" s="8">
        <f>E642*(1+D643)</f>
        <v/>
      </c>
    </row>
    <row r="644">
      <c r="A644" s="8" t="inlineStr">
        <is>
          <t>1972-03-01</t>
        </is>
      </c>
      <c r="B644" s="6" t="n">
        <v>8.24</v>
      </c>
      <c r="C644" s="8">
        <f>-PV(B644/100,$B$3,B643/100,1)</f>
        <v/>
      </c>
      <c r="D644" s="8">
        <f>B643/100/12+(C644-1)</f>
        <v/>
      </c>
      <c r="E644" s="8">
        <f>E643*(1+D644)</f>
        <v/>
      </c>
    </row>
    <row r="645">
      <c r="A645" s="8" t="inlineStr">
        <is>
          <t>1972-04-01</t>
        </is>
      </c>
      <c r="B645" s="6" t="n">
        <v>8.24</v>
      </c>
      <c r="C645" s="8">
        <f>-PV(B645/100,$B$3,B644/100,1)</f>
        <v/>
      </c>
      <c r="D645" s="8">
        <f>B644/100/12+(C645-1)</f>
        <v/>
      </c>
      <c r="E645" s="8">
        <f>E644*(1+D645)</f>
        <v/>
      </c>
    </row>
    <row r="646">
      <c r="A646" s="8" t="inlineStr">
        <is>
          <t>1972-05-01</t>
        </is>
      </c>
      <c r="B646" s="6" t="n">
        <v>8.23</v>
      </c>
      <c r="C646" s="8">
        <f>-PV(B646/100,$B$3,B645/100,1)</f>
        <v/>
      </c>
      <c r="D646" s="8">
        <f>B645/100/12+(C646-1)</f>
        <v/>
      </c>
      <c r="E646" s="8">
        <f>E645*(1+D646)</f>
        <v/>
      </c>
    </row>
    <row r="647">
      <c r="A647" s="8" t="inlineStr">
        <is>
          <t>1972-06-01</t>
        </is>
      </c>
      <c r="B647" s="6" t="n">
        <v>8.199999999999999</v>
      </c>
      <c r="C647" s="8">
        <f>-PV(B647/100,$B$3,B646/100,1)</f>
        <v/>
      </c>
      <c r="D647" s="8">
        <f>B646/100/12+(C647-1)</f>
        <v/>
      </c>
      <c r="E647" s="8">
        <f>E646*(1+D647)</f>
        <v/>
      </c>
    </row>
    <row r="648">
      <c r="A648" s="8" t="inlineStr">
        <is>
          <t>1972-07-01</t>
        </is>
      </c>
      <c r="B648" s="6" t="n">
        <v>8.23</v>
      </c>
      <c r="C648" s="8">
        <f>-PV(B648/100,$B$3,B647/100,1)</f>
        <v/>
      </c>
      <c r="D648" s="8">
        <f>B647/100/12+(C648-1)</f>
        <v/>
      </c>
      <c r="E648" s="8">
        <f>E647*(1+D648)</f>
        <v/>
      </c>
    </row>
    <row r="649">
      <c r="A649" s="8" t="inlineStr">
        <is>
          <t>1972-08-01</t>
        </is>
      </c>
      <c r="B649" s="6" t="n">
        <v>8.19</v>
      </c>
      <c r="C649" s="8">
        <f>-PV(B649/100,$B$3,B648/100,1)</f>
        <v/>
      </c>
      <c r="D649" s="8">
        <f>B648/100/12+(C649-1)</f>
        <v/>
      </c>
      <c r="E649" s="8">
        <f>E648*(1+D649)</f>
        <v/>
      </c>
    </row>
    <row r="650">
      <c r="A650" s="8" t="inlineStr">
        <is>
          <t>1972-09-01</t>
        </is>
      </c>
      <c r="B650" s="6" t="n">
        <v>8.09</v>
      </c>
      <c r="C650" s="8">
        <f>-PV(B650/100,$B$3,B649/100,1)</f>
        <v/>
      </c>
      <c r="D650" s="8">
        <f>B649/100/12+(C650-1)</f>
        <v/>
      </c>
      <c r="E650" s="8">
        <f>E649*(1+D650)</f>
        <v/>
      </c>
    </row>
    <row r="651">
      <c r="A651" s="8" t="inlineStr">
        <is>
          <t>1972-10-01</t>
        </is>
      </c>
      <c r="B651" s="6" t="n">
        <v>8.06</v>
      </c>
      <c r="C651" s="8">
        <f>-PV(B651/100,$B$3,B650/100,1)</f>
        <v/>
      </c>
      <c r="D651" s="8">
        <f>B650/100/12+(C651-1)</f>
        <v/>
      </c>
      <c r="E651" s="8">
        <f>E650*(1+D651)</f>
        <v/>
      </c>
    </row>
    <row r="652">
      <c r="A652" s="8" t="inlineStr">
        <is>
          <t>1972-11-01</t>
        </is>
      </c>
      <c r="B652" s="6" t="n">
        <v>7.99</v>
      </c>
      <c r="C652" s="8">
        <f>-PV(B652/100,$B$3,B651/100,1)</f>
        <v/>
      </c>
      <c r="D652" s="8">
        <f>B651/100/12+(C652-1)</f>
        <v/>
      </c>
      <c r="E652" s="8">
        <f>E651*(1+D652)</f>
        <v/>
      </c>
    </row>
    <row r="653">
      <c r="A653" s="8" t="inlineStr">
        <is>
          <t>1972-12-01</t>
        </is>
      </c>
      <c r="B653" s="6" t="n">
        <v>7.93</v>
      </c>
      <c r="C653" s="8">
        <f>-PV(B653/100,$B$3,B652/100,1)</f>
        <v/>
      </c>
      <c r="D653" s="8">
        <f>B652/100/12+(C653-1)</f>
        <v/>
      </c>
      <c r="E653" s="8">
        <f>E652*(1+D653)</f>
        <v/>
      </c>
    </row>
    <row r="654">
      <c r="A654" s="8" t="inlineStr">
        <is>
          <t>1973-01-01</t>
        </is>
      </c>
      <c r="B654" s="6" t="n">
        <v>7.9</v>
      </c>
      <c r="C654" s="8">
        <f>-PV(B654/100,$B$3,B653/100,1)</f>
        <v/>
      </c>
      <c r="D654" s="8">
        <f>B653/100/12+(C654-1)</f>
        <v/>
      </c>
      <c r="E654" s="8">
        <f>E653*(1+D654)</f>
        <v/>
      </c>
    </row>
    <row r="655">
      <c r="A655" s="8" t="inlineStr">
        <is>
          <t>1973-02-01</t>
        </is>
      </c>
      <c r="B655" s="6" t="n">
        <v>7.97</v>
      </c>
      <c r="C655" s="8">
        <f>-PV(B655/100,$B$3,B654/100,1)</f>
        <v/>
      </c>
      <c r="D655" s="8">
        <f>B654/100/12+(C655-1)</f>
        <v/>
      </c>
      <c r="E655" s="8">
        <f>E654*(1+D655)</f>
        <v/>
      </c>
    </row>
    <row r="656">
      <c r="A656" s="8" t="inlineStr">
        <is>
          <t>1973-03-01</t>
        </is>
      </c>
      <c r="B656" s="6" t="n">
        <v>8.029999999999999</v>
      </c>
      <c r="C656" s="8">
        <f>-PV(B656/100,$B$3,B655/100,1)</f>
        <v/>
      </c>
      <c r="D656" s="8">
        <f>B655/100/12+(C656-1)</f>
        <v/>
      </c>
      <c r="E656" s="8">
        <f>E655*(1+D656)</f>
        <v/>
      </c>
    </row>
    <row r="657">
      <c r="A657" s="8" t="inlineStr">
        <is>
          <t>1973-04-01</t>
        </is>
      </c>
      <c r="B657" s="6" t="n">
        <v>8.09</v>
      </c>
      <c r="C657" s="8">
        <f>-PV(B657/100,$B$3,B656/100,1)</f>
        <v/>
      </c>
      <c r="D657" s="8">
        <f>B656/100/12+(C657-1)</f>
        <v/>
      </c>
      <c r="E657" s="8">
        <f>E656*(1+D657)</f>
        <v/>
      </c>
    </row>
    <row r="658">
      <c r="A658" s="8" t="inlineStr">
        <is>
          <t>1973-05-01</t>
        </is>
      </c>
      <c r="B658" s="6" t="n">
        <v>8.06</v>
      </c>
      <c r="C658" s="8">
        <f>-PV(B658/100,$B$3,B657/100,1)</f>
        <v/>
      </c>
      <c r="D658" s="8">
        <f>B657/100/12+(C658-1)</f>
        <v/>
      </c>
      <c r="E658" s="8">
        <f>E657*(1+D658)</f>
        <v/>
      </c>
    </row>
    <row r="659">
      <c r="A659" s="8" t="inlineStr">
        <is>
          <t>1973-06-01</t>
        </is>
      </c>
      <c r="B659" s="6" t="n">
        <v>8.130000000000001</v>
      </c>
      <c r="C659" s="8">
        <f>-PV(B659/100,$B$3,B658/100,1)</f>
        <v/>
      </c>
      <c r="D659" s="8">
        <f>B658/100/12+(C659-1)</f>
        <v/>
      </c>
      <c r="E659" s="8">
        <f>E658*(1+D659)</f>
        <v/>
      </c>
    </row>
    <row r="660">
      <c r="A660" s="8" t="inlineStr">
        <is>
          <t>1973-07-01</t>
        </is>
      </c>
      <c r="B660" s="6" t="n">
        <v>8.24</v>
      </c>
      <c r="C660" s="8">
        <f>-PV(B660/100,$B$3,B659/100,1)</f>
        <v/>
      </c>
      <c r="D660" s="8">
        <f>B659/100/12+(C660-1)</f>
        <v/>
      </c>
      <c r="E660" s="8">
        <f>E659*(1+D660)</f>
        <v/>
      </c>
    </row>
    <row r="661">
      <c r="A661" s="8" t="inlineStr">
        <is>
          <t>1973-08-01</t>
        </is>
      </c>
      <c r="B661" s="6" t="n">
        <v>8.529999999999999</v>
      </c>
      <c r="C661" s="8">
        <f>-PV(B661/100,$B$3,B660/100,1)</f>
        <v/>
      </c>
      <c r="D661" s="8">
        <f>B660/100/12+(C661-1)</f>
        <v/>
      </c>
      <c r="E661" s="8">
        <f>E660*(1+D661)</f>
        <v/>
      </c>
    </row>
    <row r="662">
      <c r="A662" s="8" t="inlineStr">
        <is>
          <t>1973-09-01</t>
        </is>
      </c>
      <c r="B662" s="6" t="n">
        <v>8.630000000000001</v>
      </c>
      <c r="C662" s="8">
        <f>-PV(B662/100,$B$3,B661/100,1)</f>
        <v/>
      </c>
      <c r="D662" s="8">
        <f>B661/100/12+(C662-1)</f>
        <v/>
      </c>
      <c r="E662" s="8">
        <f>E661*(1+D662)</f>
        <v/>
      </c>
    </row>
    <row r="663">
      <c r="A663" s="8" t="inlineStr">
        <is>
          <t>1973-10-01</t>
        </is>
      </c>
      <c r="B663" s="6" t="n">
        <v>8.41</v>
      </c>
      <c r="C663" s="8">
        <f>-PV(B663/100,$B$3,B662/100,1)</f>
        <v/>
      </c>
      <c r="D663" s="8">
        <f>B662/100/12+(C663-1)</f>
        <v/>
      </c>
      <c r="E663" s="8">
        <f>E662*(1+D663)</f>
        <v/>
      </c>
    </row>
    <row r="664">
      <c r="A664" s="8" t="inlineStr">
        <is>
          <t>1973-11-01</t>
        </is>
      </c>
      <c r="B664" s="6" t="n">
        <v>8.42</v>
      </c>
      <c r="C664" s="8">
        <f>-PV(B664/100,$B$3,B663/100,1)</f>
        <v/>
      </c>
      <c r="D664" s="8">
        <f>B663/100/12+(C664-1)</f>
        <v/>
      </c>
      <c r="E664" s="8">
        <f>E663*(1+D664)</f>
        <v/>
      </c>
    </row>
    <row r="665">
      <c r="A665" s="8" t="inlineStr">
        <is>
          <t>1973-12-01</t>
        </is>
      </c>
      <c r="B665" s="6" t="n">
        <v>8.48</v>
      </c>
      <c r="C665" s="8">
        <f>-PV(B665/100,$B$3,B664/100,1)</f>
        <v/>
      </c>
      <c r="D665" s="8">
        <f>B664/100/12+(C665-1)</f>
        <v/>
      </c>
      <c r="E665" s="8">
        <f>E664*(1+D665)</f>
        <v/>
      </c>
    </row>
    <row r="666">
      <c r="A666" s="8" t="inlineStr">
        <is>
          <t>1974-01-01</t>
        </is>
      </c>
      <c r="B666" s="6" t="n">
        <v>8.48</v>
      </c>
      <c r="C666" s="8">
        <f>-PV(B666/100,$B$3,B665/100,1)</f>
        <v/>
      </c>
      <c r="D666" s="8">
        <f>B665/100/12+(C666-1)</f>
        <v/>
      </c>
      <c r="E666" s="8">
        <f>E665*(1+D666)</f>
        <v/>
      </c>
    </row>
    <row r="667">
      <c r="A667" s="8" t="inlineStr">
        <is>
          <t>1974-02-01</t>
        </is>
      </c>
      <c r="B667" s="6" t="n">
        <v>8.529999999999999</v>
      </c>
      <c r="C667" s="8">
        <f>-PV(B667/100,$B$3,B666/100,1)</f>
        <v/>
      </c>
      <c r="D667" s="8">
        <f>B666/100/12+(C667-1)</f>
        <v/>
      </c>
      <c r="E667" s="8">
        <f>E666*(1+D667)</f>
        <v/>
      </c>
    </row>
    <row r="668">
      <c r="A668" s="8" t="inlineStr">
        <is>
          <t>1974-03-01</t>
        </is>
      </c>
      <c r="B668" s="6" t="n">
        <v>8.619999999999999</v>
      </c>
      <c r="C668" s="8">
        <f>-PV(B668/100,$B$3,B667/100,1)</f>
        <v/>
      </c>
      <c r="D668" s="8">
        <f>B667/100/12+(C668-1)</f>
        <v/>
      </c>
      <c r="E668" s="8">
        <f>E667*(1+D668)</f>
        <v/>
      </c>
    </row>
    <row r="669">
      <c r="A669" s="8" t="inlineStr">
        <is>
          <t>1974-04-01</t>
        </is>
      </c>
      <c r="B669" s="6" t="n">
        <v>8.869999999999999</v>
      </c>
      <c r="C669" s="8">
        <f>-PV(B669/100,$B$3,B668/100,1)</f>
        <v/>
      </c>
      <c r="D669" s="8">
        <f>B668/100/12+(C669-1)</f>
        <v/>
      </c>
      <c r="E669" s="8">
        <f>E668*(1+D669)</f>
        <v/>
      </c>
    </row>
    <row r="670">
      <c r="A670" s="8" t="inlineStr">
        <is>
          <t>1974-05-01</t>
        </is>
      </c>
      <c r="B670" s="6" t="n">
        <v>9.050000000000001</v>
      </c>
      <c r="C670" s="8">
        <f>-PV(B670/100,$B$3,B669/100,1)</f>
        <v/>
      </c>
      <c r="D670" s="8">
        <f>B669/100/12+(C670-1)</f>
        <v/>
      </c>
      <c r="E670" s="8">
        <f>E669*(1+D670)</f>
        <v/>
      </c>
    </row>
    <row r="671">
      <c r="A671" s="8" t="inlineStr">
        <is>
          <t>1974-06-01</t>
        </is>
      </c>
      <c r="B671" s="6" t="n">
        <v>9.27</v>
      </c>
      <c r="C671" s="8">
        <f>-PV(B671/100,$B$3,B670/100,1)</f>
        <v/>
      </c>
      <c r="D671" s="8">
        <f>B670/100/12+(C671-1)</f>
        <v/>
      </c>
      <c r="E671" s="8">
        <f>E670*(1+D671)</f>
        <v/>
      </c>
    </row>
    <row r="672">
      <c r="A672" s="8" t="inlineStr">
        <is>
          <t>1974-07-01</t>
        </is>
      </c>
      <c r="B672" s="6" t="n">
        <v>9.48</v>
      </c>
      <c r="C672" s="8">
        <f>-PV(B672/100,$B$3,B671/100,1)</f>
        <v/>
      </c>
      <c r="D672" s="8">
        <f>B671/100/12+(C672-1)</f>
        <v/>
      </c>
      <c r="E672" s="8">
        <f>E671*(1+D672)</f>
        <v/>
      </c>
    </row>
    <row r="673">
      <c r="A673" s="8" t="inlineStr">
        <is>
          <t>1974-08-01</t>
        </is>
      </c>
      <c r="B673" s="6" t="n">
        <v>9.77</v>
      </c>
      <c r="C673" s="8">
        <f>-PV(B673/100,$B$3,B672/100,1)</f>
        <v/>
      </c>
      <c r="D673" s="8">
        <f>B672/100/12+(C673-1)</f>
        <v/>
      </c>
      <c r="E673" s="8">
        <f>E672*(1+D673)</f>
        <v/>
      </c>
    </row>
    <row r="674">
      <c r="A674" s="8" t="inlineStr">
        <is>
          <t>1974-09-01</t>
        </is>
      </c>
      <c r="B674" s="6" t="n">
        <v>10.18</v>
      </c>
      <c r="C674" s="8">
        <f>-PV(B674/100,$B$3,B673/100,1)</f>
        <v/>
      </c>
      <c r="D674" s="8">
        <f>B673/100/12+(C674-1)</f>
        <v/>
      </c>
      <c r="E674" s="8">
        <f>E673*(1+D674)</f>
        <v/>
      </c>
    </row>
    <row r="675">
      <c r="A675" s="8" t="inlineStr">
        <is>
          <t>1974-10-01</t>
        </is>
      </c>
      <c r="B675" s="6" t="n">
        <v>10.48</v>
      </c>
      <c r="C675" s="8">
        <f>-PV(B675/100,$B$3,B674/100,1)</f>
        <v/>
      </c>
      <c r="D675" s="8">
        <f>B674/100/12+(C675-1)</f>
        <v/>
      </c>
      <c r="E675" s="8">
        <f>E674*(1+D675)</f>
        <v/>
      </c>
    </row>
    <row r="676">
      <c r="A676" s="8" t="inlineStr">
        <is>
          <t>1974-11-01</t>
        </is>
      </c>
      <c r="B676" s="6" t="n">
        <v>10.6</v>
      </c>
      <c r="C676" s="8">
        <f>-PV(B676/100,$B$3,B675/100,1)</f>
        <v/>
      </c>
      <c r="D676" s="8">
        <f>B675/100/12+(C676-1)</f>
        <v/>
      </c>
      <c r="E676" s="8">
        <f>E675*(1+D676)</f>
        <v/>
      </c>
    </row>
    <row r="677">
      <c r="A677" s="8" t="inlineStr">
        <is>
          <t>1974-12-01</t>
        </is>
      </c>
      <c r="B677" s="6" t="n">
        <v>10.63</v>
      </c>
      <c r="C677" s="8">
        <f>-PV(B677/100,$B$3,B676/100,1)</f>
        <v/>
      </c>
      <c r="D677" s="8">
        <f>B676/100/12+(C677-1)</f>
        <v/>
      </c>
      <c r="E677" s="8">
        <f>E676*(1+D677)</f>
        <v/>
      </c>
    </row>
    <row r="678">
      <c r="A678" s="8" t="inlineStr">
        <is>
          <t>1975-01-01</t>
        </is>
      </c>
      <c r="B678" s="6" t="n">
        <v>10.81</v>
      </c>
      <c r="C678" s="8">
        <f>-PV(B678/100,$B$3,B677/100,1)</f>
        <v/>
      </c>
      <c r="D678" s="8">
        <f>B677/100/12+(C678-1)</f>
        <v/>
      </c>
      <c r="E678" s="8">
        <f>E677*(1+D678)</f>
        <v/>
      </c>
    </row>
    <row r="679">
      <c r="A679" s="8" t="inlineStr">
        <is>
          <t>1975-02-01</t>
        </is>
      </c>
      <c r="B679" s="6" t="n">
        <v>10.65</v>
      </c>
      <c r="C679" s="8">
        <f>-PV(B679/100,$B$3,B678/100,1)</f>
        <v/>
      </c>
      <c r="D679" s="8">
        <f>B678/100/12+(C679-1)</f>
        <v/>
      </c>
      <c r="E679" s="8">
        <f>E678*(1+D679)</f>
        <v/>
      </c>
    </row>
    <row r="680">
      <c r="A680" s="8" t="inlineStr">
        <is>
          <t>1975-03-01</t>
        </is>
      </c>
      <c r="B680" s="6" t="n">
        <v>10.48</v>
      </c>
      <c r="C680" s="8">
        <f>-PV(B680/100,$B$3,B679/100,1)</f>
        <v/>
      </c>
      <c r="D680" s="8">
        <f>B679/100/12+(C680-1)</f>
        <v/>
      </c>
      <c r="E680" s="8">
        <f>E679*(1+D680)</f>
        <v/>
      </c>
    </row>
    <row r="681">
      <c r="A681" s="8" t="inlineStr">
        <is>
          <t>1975-04-01</t>
        </is>
      </c>
      <c r="B681" s="6" t="n">
        <v>10.58</v>
      </c>
      <c r="C681" s="8">
        <f>-PV(B681/100,$B$3,B680/100,1)</f>
        <v/>
      </c>
      <c r="D681" s="8">
        <f>B680/100/12+(C681-1)</f>
        <v/>
      </c>
      <c r="E681" s="8">
        <f>E680*(1+D681)</f>
        <v/>
      </c>
    </row>
    <row r="682">
      <c r="A682" s="8" t="inlineStr">
        <is>
          <t>1975-05-01</t>
        </is>
      </c>
      <c r="B682" s="6" t="n">
        <v>10.69</v>
      </c>
      <c r="C682" s="8">
        <f>-PV(B682/100,$B$3,B681/100,1)</f>
        <v/>
      </c>
      <c r="D682" s="8">
        <f>B681/100/12+(C682-1)</f>
        <v/>
      </c>
      <c r="E682" s="8">
        <f>E681*(1+D682)</f>
        <v/>
      </c>
    </row>
    <row r="683">
      <c r="A683" s="8" t="inlineStr">
        <is>
          <t>1975-06-01</t>
        </is>
      </c>
      <c r="B683" s="6" t="n">
        <v>10.62</v>
      </c>
      <c r="C683" s="8">
        <f>-PV(B683/100,$B$3,B682/100,1)</f>
        <v/>
      </c>
      <c r="D683" s="8">
        <f>B682/100/12+(C683-1)</f>
        <v/>
      </c>
      <c r="E683" s="8">
        <f>E682*(1+D683)</f>
        <v/>
      </c>
    </row>
    <row r="684">
      <c r="A684" s="8" t="inlineStr">
        <is>
          <t>1975-07-01</t>
        </is>
      </c>
      <c r="B684" s="6" t="n">
        <v>10.55</v>
      </c>
      <c r="C684" s="8">
        <f>-PV(B684/100,$B$3,B683/100,1)</f>
        <v/>
      </c>
      <c r="D684" s="8">
        <f>B683/100/12+(C684-1)</f>
        <v/>
      </c>
      <c r="E684" s="8">
        <f>E683*(1+D684)</f>
        <v/>
      </c>
    </row>
    <row r="685">
      <c r="A685" s="8" t="inlineStr">
        <is>
          <t>1975-08-01</t>
        </is>
      </c>
      <c r="B685" s="6" t="n">
        <v>10.59</v>
      </c>
      <c r="C685" s="8">
        <f>-PV(B685/100,$B$3,B684/100,1)</f>
        <v/>
      </c>
      <c r="D685" s="8">
        <f>B684/100/12+(C685-1)</f>
        <v/>
      </c>
      <c r="E685" s="8">
        <f>E684*(1+D685)</f>
        <v/>
      </c>
    </row>
    <row r="686">
      <c r="A686" s="8" t="inlineStr">
        <is>
          <t>1975-09-01</t>
        </is>
      </c>
      <c r="B686" s="6" t="n">
        <v>10.61</v>
      </c>
      <c r="C686" s="8">
        <f>-PV(B686/100,$B$3,B685/100,1)</f>
        <v/>
      </c>
      <c r="D686" s="8">
        <f>B685/100/12+(C686-1)</f>
        <v/>
      </c>
      <c r="E686" s="8">
        <f>E685*(1+D686)</f>
        <v/>
      </c>
    </row>
    <row r="687">
      <c r="A687" s="8" t="inlineStr">
        <is>
          <t>1975-10-01</t>
        </is>
      </c>
      <c r="B687" s="6" t="n">
        <v>10.62</v>
      </c>
      <c r="C687" s="8">
        <f>-PV(B687/100,$B$3,B686/100,1)</f>
        <v/>
      </c>
      <c r="D687" s="8">
        <f>B686/100/12+(C687-1)</f>
        <v/>
      </c>
      <c r="E687" s="8">
        <f>E686*(1+D687)</f>
        <v/>
      </c>
    </row>
    <row r="688">
      <c r="A688" s="8" t="inlineStr">
        <is>
          <t>1975-11-01</t>
        </is>
      </c>
      <c r="B688" s="6" t="n">
        <v>10.56</v>
      </c>
      <c r="C688" s="8">
        <f>-PV(B688/100,$B$3,B687/100,1)</f>
        <v/>
      </c>
      <c r="D688" s="8">
        <f>B687/100/12+(C688-1)</f>
        <v/>
      </c>
      <c r="E688" s="8">
        <f>E687*(1+D688)</f>
        <v/>
      </c>
    </row>
    <row r="689">
      <c r="A689" s="8" t="inlineStr">
        <is>
          <t>1975-12-01</t>
        </is>
      </c>
      <c r="B689" s="6" t="n">
        <v>10.56</v>
      </c>
      <c r="C689" s="8">
        <f>-PV(B689/100,$B$3,B688/100,1)</f>
        <v/>
      </c>
      <c r="D689" s="8">
        <f>B688/100/12+(C689-1)</f>
        <v/>
      </c>
      <c r="E689" s="8">
        <f>E688*(1+D689)</f>
        <v/>
      </c>
    </row>
    <row r="690">
      <c r="A690" s="8" t="inlineStr">
        <is>
          <t>1976-01-01</t>
        </is>
      </c>
      <c r="B690" s="6" t="n">
        <v>10.41</v>
      </c>
      <c r="C690" s="8">
        <f>-PV(B690/100,$B$3,B689/100,1)</f>
        <v/>
      </c>
      <c r="D690" s="8">
        <f>B689/100/12+(C690-1)</f>
        <v/>
      </c>
      <c r="E690" s="8">
        <f>E689*(1+D690)</f>
        <v/>
      </c>
    </row>
    <row r="691">
      <c r="A691" s="8" t="inlineStr">
        <is>
          <t>1976-02-01</t>
        </is>
      </c>
      <c r="B691" s="6" t="n">
        <v>10.24</v>
      </c>
      <c r="C691" s="8">
        <f>-PV(B691/100,$B$3,B690/100,1)</f>
        <v/>
      </c>
      <c r="D691" s="8">
        <f>B690/100/12+(C691-1)</f>
        <v/>
      </c>
      <c r="E691" s="8">
        <f>E690*(1+D691)</f>
        <v/>
      </c>
    </row>
    <row r="692">
      <c r="A692" s="8" t="inlineStr">
        <is>
          <t>1976-03-01</t>
        </is>
      </c>
      <c r="B692" s="6" t="n">
        <v>10.12</v>
      </c>
      <c r="C692" s="8">
        <f>-PV(B692/100,$B$3,B691/100,1)</f>
        <v/>
      </c>
      <c r="D692" s="8">
        <f>B691/100/12+(C692-1)</f>
        <v/>
      </c>
      <c r="E692" s="8">
        <f>E691*(1+D692)</f>
        <v/>
      </c>
    </row>
    <row r="693">
      <c r="A693" s="8" t="inlineStr">
        <is>
          <t>1976-04-01</t>
        </is>
      </c>
      <c r="B693" s="6" t="n">
        <v>9.94</v>
      </c>
      <c r="C693" s="8">
        <f>-PV(B693/100,$B$3,B692/100,1)</f>
        <v/>
      </c>
      <c r="D693" s="8">
        <f>B692/100/12+(C693-1)</f>
        <v/>
      </c>
      <c r="E693" s="8">
        <f>E692*(1+D693)</f>
        <v/>
      </c>
    </row>
    <row r="694">
      <c r="A694" s="8" t="inlineStr">
        <is>
          <t>1976-05-01</t>
        </is>
      </c>
      <c r="B694" s="6" t="n">
        <v>9.859999999999999</v>
      </c>
      <c r="C694" s="8">
        <f>-PV(B694/100,$B$3,B693/100,1)</f>
        <v/>
      </c>
      <c r="D694" s="8">
        <f>B693/100/12+(C694-1)</f>
        <v/>
      </c>
      <c r="E694" s="8">
        <f>E693*(1+D694)</f>
        <v/>
      </c>
    </row>
    <row r="695">
      <c r="A695" s="8" t="inlineStr">
        <is>
          <t>1976-06-01</t>
        </is>
      </c>
      <c r="B695" s="6" t="n">
        <v>9.890000000000001</v>
      </c>
      <c r="C695" s="8">
        <f>-PV(B695/100,$B$3,B694/100,1)</f>
        <v/>
      </c>
      <c r="D695" s="8">
        <f>B694/100/12+(C695-1)</f>
        <v/>
      </c>
      <c r="E695" s="8">
        <f>E694*(1+D695)</f>
        <v/>
      </c>
    </row>
    <row r="696">
      <c r="A696" s="8" t="inlineStr">
        <is>
          <t>1976-07-01</t>
        </is>
      </c>
      <c r="B696" s="6" t="n">
        <v>9.82</v>
      </c>
      <c r="C696" s="8">
        <f>-PV(B696/100,$B$3,B695/100,1)</f>
        <v/>
      </c>
      <c r="D696" s="8">
        <f>B695/100/12+(C696-1)</f>
        <v/>
      </c>
      <c r="E696" s="8">
        <f>E695*(1+D696)</f>
        <v/>
      </c>
    </row>
    <row r="697">
      <c r="A697" s="8" t="inlineStr">
        <is>
          <t>1976-08-01</t>
        </is>
      </c>
      <c r="B697" s="6" t="n">
        <v>9.640000000000001</v>
      </c>
      <c r="C697" s="8">
        <f>-PV(B697/100,$B$3,B696/100,1)</f>
        <v/>
      </c>
      <c r="D697" s="8">
        <f>B696/100/12+(C697-1)</f>
        <v/>
      </c>
      <c r="E697" s="8">
        <f>E696*(1+D697)</f>
        <v/>
      </c>
    </row>
    <row r="698">
      <c r="A698" s="8" t="inlineStr">
        <is>
          <t>1976-09-01</t>
        </is>
      </c>
      <c r="B698" s="6" t="n">
        <v>9.4</v>
      </c>
      <c r="C698" s="8">
        <f>-PV(B698/100,$B$3,B697/100,1)</f>
        <v/>
      </c>
      <c r="D698" s="8">
        <f>B697/100/12+(C698-1)</f>
        <v/>
      </c>
      <c r="E698" s="8">
        <f>E697*(1+D698)</f>
        <v/>
      </c>
    </row>
    <row r="699">
      <c r="A699" s="8" t="inlineStr">
        <is>
          <t>1976-10-01</t>
        </is>
      </c>
      <c r="B699" s="6" t="n">
        <v>9.289999999999999</v>
      </c>
      <c r="C699" s="8">
        <f>-PV(B699/100,$B$3,B698/100,1)</f>
        <v/>
      </c>
      <c r="D699" s="8">
        <f>B698/100/12+(C699-1)</f>
        <v/>
      </c>
      <c r="E699" s="8">
        <f>E698*(1+D699)</f>
        <v/>
      </c>
    </row>
    <row r="700">
      <c r="A700" s="8" t="inlineStr">
        <is>
          <t>1976-11-01</t>
        </is>
      </c>
      <c r="B700" s="6" t="n">
        <v>9.23</v>
      </c>
      <c r="C700" s="8">
        <f>-PV(B700/100,$B$3,B699/100,1)</f>
        <v/>
      </c>
      <c r="D700" s="8">
        <f>B699/100/12+(C700-1)</f>
        <v/>
      </c>
      <c r="E700" s="8">
        <f>E699*(1+D700)</f>
        <v/>
      </c>
    </row>
    <row r="701">
      <c r="A701" s="8" t="inlineStr">
        <is>
          <t>1976-12-01</t>
        </is>
      </c>
      <c r="B701" s="6" t="n">
        <v>9.119999999999999</v>
      </c>
      <c r="C701" s="8">
        <f>-PV(B701/100,$B$3,B700/100,1)</f>
        <v/>
      </c>
      <c r="D701" s="8">
        <f>B700/100/12+(C701-1)</f>
        <v/>
      </c>
      <c r="E701" s="8">
        <f>E700*(1+D701)</f>
        <v/>
      </c>
    </row>
    <row r="702">
      <c r="A702" s="8" t="inlineStr">
        <is>
          <t>1977-01-01</t>
        </is>
      </c>
      <c r="B702" s="6" t="n">
        <v>9.08</v>
      </c>
      <c r="C702" s="8">
        <f>-PV(B702/100,$B$3,B701/100,1)</f>
        <v/>
      </c>
      <c r="D702" s="8">
        <f>B701/100/12+(C702-1)</f>
        <v/>
      </c>
      <c r="E702" s="8">
        <f>E701*(1+D702)</f>
        <v/>
      </c>
    </row>
    <row r="703">
      <c r="A703" s="8" t="inlineStr">
        <is>
          <t>1977-02-01</t>
        </is>
      </c>
      <c r="B703" s="6" t="n">
        <v>9.119999999999999</v>
      </c>
      <c r="C703" s="8">
        <f>-PV(B703/100,$B$3,B702/100,1)</f>
        <v/>
      </c>
      <c r="D703" s="8">
        <f>B702/100/12+(C703-1)</f>
        <v/>
      </c>
      <c r="E703" s="8">
        <f>E702*(1+D703)</f>
        <v/>
      </c>
    </row>
    <row r="704">
      <c r="A704" s="8" t="inlineStr">
        <is>
          <t>1977-03-01</t>
        </is>
      </c>
      <c r="B704" s="6" t="n">
        <v>9.119999999999999</v>
      </c>
      <c r="C704" s="8">
        <f>-PV(B704/100,$B$3,B703/100,1)</f>
        <v/>
      </c>
      <c r="D704" s="8">
        <f>B703/100/12+(C704-1)</f>
        <v/>
      </c>
      <c r="E704" s="8">
        <f>E703*(1+D704)</f>
        <v/>
      </c>
    </row>
    <row r="705">
      <c r="A705" s="8" t="inlineStr">
        <is>
          <t>1977-04-01</t>
        </is>
      </c>
      <c r="B705" s="6" t="n">
        <v>9.07</v>
      </c>
      <c r="C705" s="8">
        <f>-PV(B705/100,$B$3,B704/100,1)</f>
        <v/>
      </c>
      <c r="D705" s="8">
        <f>B704/100/12+(C705-1)</f>
        <v/>
      </c>
      <c r="E705" s="8">
        <f>E704*(1+D705)</f>
        <v/>
      </c>
    </row>
    <row r="706">
      <c r="A706" s="8" t="inlineStr">
        <is>
          <t>1977-05-01</t>
        </is>
      </c>
      <c r="B706" s="6" t="n">
        <v>9.01</v>
      </c>
      <c r="C706" s="8">
        <f>-PV(B706/100,$B$3,B705/100,1)</f>
        <v/>
      </c>
      <c r="D706" s="8">
        <f>B705/100/12+(C706-1)</f>
        <v/>
      </c>
      <c r="E706" s="8">
        <f>E705*(1+D706)</f>
        <v/>
      </c>
    </row>
    <row r="707">
      <c r="A707" s="8" t="inlineStr">
        <is>
          <t>1977-06-01</t>
        </is>
      </c>
      <c r="B707" s="6" t="n">
        <v>8.91</v>
      </c>
      <c r="C707" s="8">
        <f>-PV(B707/100,$B$3,B706/100,1)</f>
        <v/>
      </c>
      <c r="D707" s="8">
        <f>B706/100/12+(C707-1)</f>
        <v/>
      </c>
      <c r="E707" s="8">
        <f>E706*(1+D707)</f>
        <v/>
      </c>
    </row>
    <row r="708">
      <c r="A708" s="8" t="inlineStr">
        <is>
          <t>1977-07-01</t>
        </is>
      </c>
      <c r="B708" s="6" t="n">
        <v>8.869999999999999</v>
      </c>
      <c r="C708" s="8">
        <f>-PV(B708/100,$B$3,B707/100,1)</f>
        <v/>
      </c>
      <c r="D708" s="8">
        <f>B707/100/12+(C708-1)</f>
        <v/>
      </c>
      <c r="E708" s="8">
        <f>E707*(1+D708)</f>
        <v/>
      </c>
    </row>
    <row r="709">
      <c r="A709" s="8" t="inlineStr">
        <is>
          <t>1977-08-01</t>
        </is>
      </c>
      <c r="B709" s="6" t="n">
        <v>8.82</v>
      </c>
      <c r="C709" s="8">
        <f>-PV(B709/100,$B$3,B708/100,1)</f>
        <v/>
      </c>
      <c r="D709" s="8">
        <f>B708/100/12+(C709-1)</f>
        <v/>
      </c>
      <c r="E709" s="8">
        <f>E708*(1+D709)</f>
        <v/>
      </c>
    </row>
    <row r="710">
      <c r="A710" s="8" t="inlineStr">
        <is>
          <t>1977-09-01</t>
        </is>
      </c>
      <c r="B710" s="6" t="n">
        <v>8.800000000000001</v>
      </c>
      <c r="C710" s="8">
        <f>-PV(B710/100,$B$3,B709/100,1)</f>
        <v/>
      </c>
      <c r="D710" s="8">
        <f>B709/100/12+(C710-1)</f>
        <v/>
      </c>
      <c r="E710" s="8">
        <f>E709*(1+D710)</f>
        <v/>
      </c>
    </row>
    <row r="711">
      <c r="A711" s="8" t="inlineStr">
        <is>
          <t>1977-10-01</t>
        </is>
      </c>
      <c r="B711" s="6" t="n">
        <v>8.890000000000001</v>
      </c>
      <c r="C711" s="8">
        <f>-PV(B711/100,$B$3,B710/100,1)</f>
        <v/>
      </c>
      <c r="D711" s="8">
        <f>B710/100/12+(C711-1)</f>
        <v/>
      </c>
      <c r="E711" s="8">
        <f>E710*(1+D711)</f>
        <v/>
      </c>
    </row>
    <row r="712">
      <c r="A712" s="8" t="inlineStr">
        <is>
          <t>1977-11-01</t>
        </is>
      </c>
      <c r="B712" s="6" t="n">
        <v>8.949999999999999</v>
      </c>
      <c r="C712" s="8">
        <f>-PV(B712/100,$B$3,B711/100,1)</f>
        <v/>
      </c>
      <c r="D712" s="8">
        <f>B711/100/12+(C712-1)</f>
        <v/>
      </c>
      <c r="E712" s="8">
        <f>E711*(1+D712)</f>
        <v/>
      </c>
    </row>
    <row r="713">
      <c r="A713" s="8" t="inlineStr">
        <is>
          <t>1977-12-01</t>
        </is>
      </c>
      <c r="B713" s="6" t="n">
        <v>8.99</v>
      </c>
      <c r="C713" s="8">
        <f>-PV(B713/100,$B$3,B712/100,1)</f>
        <v/>
      </c>
      <c r="D713" s="8">
        <f>B712/100/12+(C713-1)</f>
        <v/>
      </c>
      <c r="E713" s="8">
        <f>E712*(1+D713)</f>
        <v/>
      </c>
    </row>
    <row r="714">
      <c r="A714" s="8" t="inlineStr">
        <is>
          <t>1978-01-01</t>
        </is>
      </c>
      <c r="B714" s="6" t="n">
        <v>9.17</v>
      </c>
      <c r="C714" s="8">
        <f>-PV(B714/100,$B$3,B713/100,1)</f>
        <v/>
      </c>
      <c r="D714" s="8">
        <f>B713/100/12+(C714-1)</f>
        <v/>
      </c>
      <c r="E714" s="8">
        <f>E713*(1+D714)</f>
        <v/>
      </c>
    </row>
    <row r="715">
      <c r="A715" s="8" t="inlineStr">
        <is>
          <t>1978-02-01</t>
        </is>
      </c>
      <c r="B715" s="6" t="n">
        <v>9.199999999999999</v>
      </c>
      <c r="C715" s="8">
        <f>-PV(B715/100,$B$3,B714/100,1)</f>
        <v/>
      </c>
      <c r="D715" s="8">
        <f>B714/100/12+(C715-1)</f>
        <v/>
      </c>
      <c r="E715" s="8">
        <f>E714*(1+D715)</f>
        <v/>
      </c>
    </row>
    <row r="716">
      <c r="A716" s="8" t="inlineStr">
        <is>
          <t>1978-03-01</t>
        </is>
      </c>
      <c r="B716" s="6" t="n">
        <v>9.220000000000001</v>
      </c>
      <c r="C716" s="8">
        <f>-PV(B716/100,$B$3,B715/100,1)</f>
        <v/>
      </c>
      <c r="D716" s="8">
        <f>B715/100/12+(C716-1)</f>
        <v/>
      </c>
      <c r="E716" s="8">
        <f>E715*(1+D716)</f>
        <v/>
      </c>
    </row>
    <row r="717">
      <c r="A717" s="8" t="inlineStr">
        <is>
          <t>1978-04-01</t>
        </is>
      </c>
      <c r="B717" s="6" t="n">
        <v>9.32</v>
      </c>
      <c r="C717" s="8">
        <f>-PV(B717/100,$B$3,B716/100,1)</f>
        <v/>
      </c>
      <c r="D717" s="8">
        <f>B716/100/12+(C717-1)</f>
        <v/>
      </c>
      <c r="E717" s="8">
        <f>E716*(1+D717)</f>
        <v/>
      </c>
    </row>
    <row r="718">
      <c r="A718" s="8" t="inlineStr">
        <is>
          <t>1978-05-01</t>
        </is>
      </c>
      <c r="B718" s="6" t="n">
        <v>9.49</v>
      </c>
      <c r="C718" s="8">
        <f>-PV(B718/100,$B$3,B717/100,1)</f>
        <v/>
      </c>
      <c r="D718" s="8">
        <f>B717/100/12+(C718-1)</f>
        <v/>
      </c>
      <c r="E718" s="8">
        <f>E717*(1+D718)</f>
        <v/>
      </c>
    </row>
    <row r="719">
      <c r="A719" s="8" t="inlineStr">
        <is>
          <t>1978-06-01</t>
        </is>
      </c>
      <c r="B719" s="6" t="n">
        <v>9.6</v>
      </c>
      <c r="C719" s="8">
        <f>-PV(B719/100,$B$3,B718/100,1)</f>
        <v/>
      </c>
      <c r="D719" s="8">
        <f>B718/100/12+(C719-1)</f>
        <v/>
      </c>
      <c r="E719" s="8">
        <f>E718*(1+D719)</f>
        <v/>
      </c>
    </row>
    <row r="720">
      <c r="A720" s="8" t="inlineStr">
        <is>
          <t>1978-07-01</t>
        </is>
      </c>
      <c r="B720" s="6" t="n">
        <v>9.6</v>
      </c>
      <c r="C720" s="8">
        <f>-PV(B720/100,$B$3,B719/100,1)</f>
        <v/>
      </c>
      <c r="D720" s="8">
        <f>B719/100/12+(C720-1)</f>
        <v/>
      </c>
      <c r="E720" s="8">
        <f>E719*(1+D720)</f>
        <v/>
      </c>
    </row>
    <row r="721">
      <c r="A721" s="8" t="inlineStr">
        <is>
          <t>1978-08-01</t>
        </is>
      </c>
      <c r="B721" s="6" t="n">
        <v>9.48</v>
      </c>
      <c r="C721" s="8">
        <f>-PV(B721/100,$B$3,B720/100,1)</f>
        <v/>
      </c>
      <c r="D721" s="8">
        <f>B720/100/12+(C721-1)</f>
        <v/>
      </c>
      <c r="E721" s="8">
        <f>E720*(1+D721)</f>
        <v/>
      </c>
    </row>
    <row r="722">
      <c r="A722" s="8" t="inlineStr">
        <is>
          <t>1978-09-01</t>
        </is>
      </c>
      <c r="B722" s="6" t="n">
        <v>9.42</v>
      </c>
      <c r="C722" s="8">
        <f>-PV(B722/100,$B$3,B721/100,1)</f>
        <v/>
      </c>
      <c r="D722" s="8">
        <f>B721/100/12+(C722-1)</f>
        <v/>
      </c>
      <c r="E722" s="8">
        <f>E721*(1+D722)</f>
        <v/>
      </c>
    </row>
    <row r="723">
      <c r="A723" s="8" t="inlineStr">
        <is>
          <t>1978-10-01</t>
        </is>
      </c>
      <c r="B723" s="6" t="n">
        <v>9.59</v>
      </c>
      <c r="C723" s="8">
        <f>-PV(B723/100,$B$3,B722/100,1)</f>
        <v/>
      </c>
      <c r="D723" s="8">
        <f>B722/100/12+(C723-1)</f>
        <v/>
      </c>
      <c r="E723" s="8">
        <f>E722*(1+D723)</f>
        <v/>
      </c>
    </row>
    <row r="724">
      <c r="A724" s="8" t="inlineStr">
        <is>
          <t>1978-11-01</t>
        </is>
      </c>
      <c r="B724" s="6" t="n">
        <v>9.83</v>
      </c>
      <c r="C724" s="8">
        <f>-PV(B724/100,$B$3,B723/100,1)</f>
        <v/>
      </c>
      <c r="D724" s="8">
        <f>B723/100/12+(C724-1)</f>
        <v/>
      </c>
      <c r="E724" s="8">
        <f>E723*(1+D724)</f>
        <v/>
      </c>
    </row>
    <row r="725">
      <c r="A725" s="8" t="inlineStr">
        <is>
          <t>1978-12-01</t>
        </is>
      </c>
      <c r="B725" s="6" t="n">
        <v>9.94</v>
      </c>
      <c r="C725" s="8">
        <f>-PV(B725/100,$B$3,B724/100,1)</f>
        <v/>
      </c>
      <c r="D725" s="8">
        <f>B724/100/12+(C725-1)</f>
        <v/>
      </c>
      <c r="E725" s="8">
        <f>E724*(1+D725)</f>
        <v/>
      </c>
    </row>
    <row r="726">
      <c r="A726" s="8" t="inlineStr">
        <is>
          <t>1979-01-01</t>
        </is>
      </c>
      <c r="B726" s="6" t="n">
        <v>10.13</v>
      </c>
      <c r="C726" s="8">
        <f>-PV(B726/100,$B$3,B725/100,1)</f>
        <v/>
      </c>
      <c r="D726" s="8">
        <f>B725/100/12+(C726-1)</f>
        <v/>
      </c>
      <c r="E726" s="8">
        <f>E725*(1+D726)</f>
        <v/>
      </c>
    </row>
    <row r="727">
      <c r="A727" s="8" t="inlineStr">
        <is>
          <t>1979-02-01</t>
        </is>
      </c>
      <c r="B727" s="6" t="n">
        <v>10.08</v>
      </c>
      <c r="C727" s="8">
        <f>-PV(B727/100,$B$3,B726/100,1)</f>
        <v/>
      </c>
      <c r="D727" s="8">
        <f>B726/100/12+(C727-1)</f>
        <v/>
      </c>
      <c r="E727" s="8">
        <f>E726*(1+D727)</f>
        <v/>
      </c>
    </row>
    <row r="728">
      <c r="A728" s="8" t="inlineStr">
        <is>
          <t>1979-03-01</t>
        </is>
      </c>
      <c r="B728" s="6" t="n">
        <v>10.26</v>
      </c>
      <c r="C728" s="8">
        <f>-PV(B728/100,$B$3,B727/100,1)</f>
        <v/>
      </c>
      <c r="D728" s="8">
        <f>B727/100/12+(C728-1)</f>
        <v/>
      </c>
      <c r="E728" s="8">
        <f>E727*(1+D728)</f>
        <v/>
      </c>
    </row>
    <row r="729">
      <c r="A729" s="8" t="inlineStr">
        <is>
          <t>1979-04-01</t>
        </is>
      </c>
      <c r="B729" s="6" t="n">
        <v>10.33</v>
      </c>
      <c r="C729" s="8">
        <f>-PV(B729/100,$B$3,B728/100,1)</f>
        <v/>
      </c>
      <c r="D729" s="8">
        <f>B728/100/12+(C729-1)</f>
        <v/>
      </c>
      <c r="E729" s="8">
        <f>E728*(1+D729)</f>
        <v/>
      </c>
    </row>
    <row r="730">
      <c r="A730" s="8" t="inlineStr">
        <is>
          <t>1979-05-01</t>
        </is>
      </c>
      <c r="B730" s="6" t="n">
        <v>10.47</v>
      </c>
      <c r="C730" s="8">
        <f>-PV(B730/100,$B$3,B729/100,1)</f>
        <v/>
      </c>
      <c r="D730" s="8">
        <f>B729/100/12+(C730-1)</f>
        <v/>
      </c>
      <c r="E730" s="8">
        <f>E729*(1+D730)</f>
        <v/>
      </c>
    </row>
    <row r="731">
      <c r="A731" s="8" t="inlineStr">
        <is>
          <t>1979-06-01</t>
        </is>
      </c>
      <c r="B731" s="6" t="n">
        <v>10.38</v>
      </c>
      <c r="C731" s="8">
        <f>-PV(B731/100,$B$3,B730/100,1)</f>
        <v/>
      </c>
      <c r="D731" s="8">
        <f>B730/100/12+(C731-1)</f>
        <v/>
      </c>
      <c r="E731" s="8">
        <f>E730*(1+D731)</f>
        <v/>
      </c>
    </row>
    <row r="732">
      <c r="A732" s="8" t="inlineStr">
        <is>
          <t>1979-07-01</t>
        </is>
      </c>
      <c r="B732" s="6" t="n">
        <v>10.29</v>
      </c>
      <c r="C732" s="8">
        <f>-PV(B732/100,$B$3,B731/100,1)</f>
        <v/>
      </c>
      <c r="D732" s="8">
        <f>B731/100/12+(C732-1)</f>
        <v/>
      </c>
      <c r="E732" s="8">
        <f>E731*(1+D732)</f>
        <v/>
      </c>
    </row>
    <row r="733">
      <c r="A733" s="8" t="inlineStr">
        <is>
          <t>1979-08-01</t>
        </is>
      </c>
      <c r="B733" s="6" t="n">
        <v>10.35</v>
      </c>
      <c r="C733" s="8">
        <f>-PV(B733/100,$B$3,B732/100,1)</f>
        <v/>
      </c>
      <c r="D733" s="8">
        <f>B732/100/12+(C733-1)</f>
        <v/>
      </c>
      <c r="E733" s="8">
        <f>E732*(1+D733)</f>
        <v/>
      </c>
    </row>
    <row r="734">
      <c r="A734" s="8" t="inlineStr">
        <is>
          <t>1979-09-01</t>
        </is>
      </c>
      <c r="B734" s="6" t="n">
        <v>10.54</v>
      </c>
      <c r="C734" s="8">
        <f>-PV(B734/100,$B$3,B733/100,1)</f>
        <v/>
      </c>
      <c r="D734" s="8">
        <f>B733/100/12+(C734-1)</f>
        <v/>
      </c>
      <c r="E734" s="8">
        <f>E733*(1+D734)</f>
        <v/>
      </c>
    </row>
    <row r="735">
      <c r="A735" s="8" t="inlineStr">
        <is>
          <t>1979-10-01</t>
        </is>
      </c>
      <c r="B735" s="6" t="n">
        <v>11.4</v>
      </c>
      <c r="C735" s="8">
        <f>-PV(B735/100,$B$3,B734/100,1)</f>
        <v/>
      </c>
      <c r="D735" s="8">
        <f>B734/100/12+(C735-1)</f>
        <v/>
      </c>
      <c r="E735" s="8">
        <f>E734*(1+D735)</f>
        <v/>
      </c>
    </row>
    <row r="736">
      <c r="A736" s="8" t="inlineStr">
        <is>
          <t>1979-11-01</t>
        </is>
      </c>
      <c r="B736" s="6" t="n">
        <v>11.99</v>
      </c>
      <c r="C736" s="8">
        <f>-PV(B736/100,$B$3,B735/100,1)</f>
        <v/>
      </c>
      <c r="D736" s="8">
        <f>B735/100/12+(C736-1)</f>
        <v/>
      </c>
      <c r="E736" s="8">
        <f>E735*(1+D736)</f>
        <v/>
      </c>
    </row>
    <row r="737">
      <c r="A737" s="8" t="inlineStr">
        <is>
          <t>1979-12-01</t>
        </is>
      </c>
      <c r="B737" s="6" t="n">
        <v>12.06</v>
      </c>
      <c r="C737" s="8">
        <f>-PV(B737/100,$B$3,B736/100,1)</f>
        <v/>
      </c>
      <c r="D737" s="8">
        <f>B736/100/12+(C737-1)</f>
        <v/>
      </c>
      <c r="E737" s="8">
        <f>E736*(1+D737)</f>
        <v/>
      </c>
    </row>
    <row r="738">
      <c r="A738" s="8" t="inlineStr">
        <is>
          <t>1980-01-01</t>
        </is>
      </c>
      <c r="B738" s="6" t="n">
        <v>12.42</v>
      </c>
      <c r="C738" s="8">
        <f>-PV(B738/100,$B$3,B737/100,1)</f>
        <v/>
      </c>
      <c r="D738" s="8">
        <f>B737/100/12+(C738-1)</f>
        <v/>
      </c>
      <c r="E738" s="8">
        <f>E737*(1+D738)</f>
        <v/>
      </c>
    </row>
    <row r="739">
      <c r="A739" s="8" t="inlineStr">
        <is>
          <t>1980-02-01</t>
        </is>
      </c>
      <c r="B739" s="6" t="n">
        <v>13.57</v>
      </c>
      <c r="C739" s="8">
        <f>-PV(B739/100,$B$3,B738/100,1)</f>
        <v/>
      </c>
      <c r="D739" s="8">
        <f>B738/100/12+(C739-1)</f>
        <v/>
      </c>
      <c r="E739" s="8">
        <f>E738*(1+D739)</f>
        <v/>
      </c>
    </row>
    <row r="740">
      <c r="A740" s="8" t="inlineStr">
        <is>
          <t>1980-03-01</t>
        </is>
      </c>
      <c r="B740" s="6" t="n">
        <v>14.45</v>
      </c>
      <c r="C740" s="8">
        <f>-PV(B740/100,$B$3,B739/100,1)</f>
        <v/>
      </c>
      <c r="D740" s="8">
        <f>B739/100/12+(C740-1)</f>
        <v/>
      </c>
      <c r="E740" s="8">
        <f>E739*(1+D740)</f>
        <v/>
      </c>
    </row>
    <row r="741">
      <c r="A741" s="8" t="inlineStr">
        <is>
          <t>1980-04-01</t>
        </is>
      </c>
      <c r="B741" s="6" t="n">
        <v>14.19</v>
      </c>
      <c r="C741" s="8">
        <f>-PV(B741/100,$B$3,B740/100,1)</f>
        <v/>
      </c>
      <c r="D741" s="8">
        <f>B740/100/12+(C741-1)</f>
        <v/>
      </c>
      <c r="E741" s="8">
        <f>E740*(1+D741)</f>
        <v/>
      </c>
    </row>
    <row r="742">
      <c r="A742" s="8" t="inlineStr">
        <is>
          <t>1980-05-01</t>
        </is>
      </c>
      <c r="B742" s="6" t="n">
        <v>13.17</v>
      </c>
      <c r="C742" s="8">
        <f>-PV(B742/100,$B$3,B741/100,1)</f>
        <v/>
      </c>
      <c r="D742" s="8">
        <f>B741/100/12+(C742-1)</f>
        <v/>
      </c>
      <c r="E742" s="8">
        <f>E741*(1+D742)</f>
        <v/>
      </c>
    </row>
    <row r="743">
      <c r="A743" s="8" t="inlineStr">
        <is>
          <t>1980-06-01</t>
        </is>
      </c>
      <c r="B743" s="6" t="n">
        <v>12.71</v>
      </c>
      <c r="C743" s="8">
        <f>-PV(B743/100,$B$3,B742/100,1)</f>
        <v/>
      </c>
      <c r="D743" s="8">
        <f>B742/100/12+(C743-1)</f>
        <v/>
      </c>
      <c r="E743" s="8">
        <f>E742*(1+D743)</f>
        <v/>
      </c>
    </row>
    <row r="744">
      <c r="A744" s="8" t="inlineStr">
        <is>
          <t>1980-07-01</t>
        </is>
      </c>
      <c r="B744" s="6" t="n">
        <v>12.65</v>
      </c>
      <c r="C744" s="8">
        <f>-PV(B744/100,$B$3,B743/100,1)</f>
        <v/>
      </c>
      <c r="D744" s="8">
        <f>B743/100/12+(C744-1)</f>
        <v/>
      </c>
      <c r="E744" s="8">
        <f>E743*(1+D744)</f>
        <v/>
      </c>
    </row>
    <row r="745">
      <c r="A745" s="8" t="inlineStr">
        <is>
          <t>1980-08-01</t>
        </is>
      </c>
      <c r="B745" s="6" t="n">
        <v>13.15</v>
      </c>
      <c r="C745" s="8">
        <f>-PV(B745/100,$B$3,B744/100,1)</f>
        <v/>
      </c>
      <c r="D745" s="8">
        <f>B744/100/12+(C745-1)</f>
        <v/>
      </c>
      <c r="E745" s="8">
        <f>E744*(1+D745)</f>
        <v/>
      </c>
    </row>
    <row r="746">
      <c r="A746" s="8" t="inlineStr">
        <is>
          <t>1980-09-01</t>
        </is>
      </c>
      <c r="B746" s="6" t="n">
        <v>13.7</v>
      </c>
      <c r="C746" s="8">
        <f>-PV(B746/100,$B$3,B745/100,1)</f>
        <v/>
      </c>
      <c r="D746" s="8">
        <f>B745/100/12+(C746-1)</f>
        <v/>
      </c>
      <c r="E746" s="8">
        <f>E745*(1+D746)</f>
        <v/>
      </c>
    </row>
    <row r="747">
      <c r="A747" s="8" t="inlineStr">
        <is>
          <t>1980-10-01</t>
        </is>
      </c>
      <c r="B747" s="6" t="n">
        <v>14.23</v>
      </c>
      <c r="C747" s="8">
        <f>-PV(B747/100,$B$3,B746/100,1)</f>
        <v/>
      </c>
      <c r="D747" s="8">
        <f>B746/100/12+(C747-1)</f>
        <v/>
      </c>
      <c r="E747" s="8">
        <f>E746*(1+D747)</f>
        <v/>
      </c>
    </row>
    <row r="748">
      <c r="A748" s="8" t="inlineStr">
        <is>
          <t>1980-11-01</t>
        </is>
      </c>
      <c r="B748" s="6" t="n">
        <v>14.64</v>
      </c>
      <c r="C748" s="8">
        <f>-PV(B748/100,$B$3,B747/100,1)</f>
        <v/>
      </c>
      <c r="D748" s="8">
        <f>B747/100/12+(C748-1)</f>
        <v/>
      </c>
      <c r="E748" s="8">
        <f>E747*(1+D748)</f>
        <v/>
      </c>
    </row>
    <row r="749">
      <c r="A749" s="8" t="inlineStr">
        <is>
          <t>1980-12-01</t>
        </is>
      </c>
      <c r="B749" s="6" t="n">
        <v>15.14</v>
      </c>
      <c r="C749" s="8">
        <f>-PV(B749/100,$B$3,B748/100,1)</f>
        <v/>
      </c>
      <c r="D749" s="8">
        <f>B748/100/12+(C749-1)</f>
        <v/>
      </c>
      <c r="E749" s="8">
        <f>E748*(1+D749)</f>
        <v/>
      </c>
    </row>
    <row r="750">
      <c r="A750" s="8" t="inlineStr">
        <is>
          <t>1981-01-01</t>
        </is>
      </c>
      <c r="B750" s="6" t="n">
        <v>15.03</v>
      </c>
      <c r="C750" s="8">
        <f>-PV(B750/100,$B$3,B749/100,1)</f>
        <v/>
      </c>
      <c r="D750" s="8">
        <f>B749/100/12+(C750-1)</f>
        <v/>
      </c>
      <c r="E750" s="8">
        <f>E749*(1+D750)</f>
        <v/>
      </c>
    </row>
    <row r="751">
      <c r="A751" s="8" t="inlineStr">
        <is>
          <t>1981-02-01</t>
        </is>
      </c>
      <c r="B751" s="6" t="n">
        <v>15.37</v>
      </c>
      <c r="C751" s="8">
        <f>-PV(B751/100,$B$3,B750/100,1)</f>
        <v/>
      </c>
      <c r="D751" s="8">
        <f>B750/100/12+(C751-1)</f>
        <v/>
      </c>
      <c r="E751" s="8">
        <f>E750*(1+D751)</f>
        <v/>
      </c>
    </row>
    <row r="752">
      <c r="A752" s="8" t="inlineStr">
        <is>
          <t>1981-03-01</t>
        </is>
      </c>
      <c r="B752" s="6" t="n">
        <v>15.34</v>
      </c>
      <c r="C752" s="8">
        <f>-PV(B752/100,$B$3,B751/100,1)</f>
        <v/>
      </c>
      <c r="D752" s="8">
        <f>B751/100/12+(C752-1)</f>
        <v/>
      </c>
      <c r="E752" s="8">
        <f>E751*(1+D752)</f>
        <v/>
      </c>
    </row>
    <row r="753">
      <c r="A753" s="8" t="inlineStr">
        <is>
          <t>1981-04-01</t>
        </is>
      </c>
      <c r="B753" s="6" t="n">
        <v>15.56</v>
      </c>
      <c r="C753" s="8">
        <f>-PV(B753/100,$B$3,B752/100,1)</f>
        <v/>
      </c>
      <c r="D753" s="8">
        <f>B752/100/12+(C753-1)</f>
        <v/>
      </c>
      <c r="E753" s="8">
        <f>E752*(1+D753)</f>
        <v/>
      </c>
    </row>
    <row r="754">
      <c r="A754" s="8" t="inlineStr">
        <is>
          <t>1981-05-01</t>
        </is>
      </c>
      <c r="B754" s="6" t="n">
        <v>15.95</v>
      </c>
      <c r="C754" s="8">
        <f>-PV(B754/100,$B$3,B753/100,1)</f>
        <v/>
      </c>
      <c r="D754" s="8">
        <f>B753/100/12+(C754-1)</f>
        <v/>
      </c>
      <c r="E754" s="8">
        <f>E753*(1+D754)</f>
        <v/>
      </c>
    </row>
    <row r="755">
      <c r="A755" s="8" t="inlineStr">
        <is>
          <t>1981-06-01</t>
        </is>
      </c>
      <c r="B755" s="6" t="n">
        <v>15.8</v>
      </c>
      <c r="C755" s="8">
        <f>-PV(B755/100,$B$3,B754/100,1)</f>
        <v/>
      </c>
      <c r="D755" s="8">
        <f>B754/100/12+(C755-1)</f>
        <v/>
      </c>
      <c r="E755" s="8">
        <f>E754*(1+D755)</f>
        <v/>
      </c>
    </row>
    <row r="756">
      <c r="A756" s="8" t="inlineStr">
        <is>
          <t>1981-07-01</t>
        </is>
      </c>
      <c r="B756" s="6" t="n">
        <v>16.17</v>
      </c>
      <c r="C756" s="8">
        <f>-PV(B756/100,$B$3,B755/100,1)</f>
        <v/>
      </c>
      <c r="D756" s="8">
        <f>B755/100/12+(C756-1)</f>
        <v/>
      </c>
      <c r="E756" s="8">
        <f>E755*(1+D756)</f>
        <v/>
      </c>
    </row>
    <row r="757">
      <c r="A757" s="8" t="inlineStr">
        <is>
          <t>1981-08-01</t>
        </is>
      </c>
      <c r="B757" s="6" t="n">
        <v>16.34</v>
      </c>
      <c r="C757" s="8">
        <f>-PV(B757/100,$B$3,B756/100,1)</f>
        <v/>
      </c>
      <c r="D757" s="8">
        <f>B756/100/12+(C757-1)</f>
        <v/>
      </c>
      <c r="E757" s="8">
        <f>E756*(1+D757)</f>
        <v/>
      </c>
    </row>
    <row r="758">
      <c r="A758" s="8" t="inlineStr">
        <is>
          <t>1981-09-01</t>
        </is>
      </c>
      <c r="B758" s="6" t="n">
        <v>16.92</v>
      </c>
      <c r="C758" s="8">
        <f>-PV(B758/100,$B$3,B757/100,1)</f>
        <v/>
      </c>
      <c r="D758" s="8">
        <f>B757/100/12+(C758-1)</f>
        <v/>
      </c>
      <c r="E758" s="8">
        <f>E757*(1+D758)</f>
        <v/>
      </c>
    </row>
    <row r="759">
      <c r="A759" s="8" t="inlineStr">
        <is>
          <t>1981-10-01</t>
        </is>
      </c>
      <c r="B759" s="6" t="n">
        <v>17.11</v>
      </c>
      <c r="C759" s="8">
        <f>-PV(B759/100,$B$3,B758/100,1)</f>
        <v/>
      </c>
      <c r="D759" s="8">
        <f>B758/100/12+(C759-1)</f>
        <v/>
      </c>
      <c r="E759" s="8">
        <f>E758*(1+D759)</f>
        <v/>
      </c>
    </row>
    <row r="760">
      <c r="A760" s="8" t="inlineStr">
        <is>
          <t>1981-11-01</t>
        </is>
      </c>
      <c r="B760" s="6" t="n">
        <v>16.39</v>
      </c>
      <c r="C760" s="8">
        <f>-PV(B760/100,$B$3,B759/100,1)</f>
        <v/>
      </c>
      <c r="D760" s="8">
        <f>B759/100/12+(C760-1)</f>
        <v/>
      </c>
      <c r="E760" s="8">
        <f>E759*(1+D760)</f>
        <v/>
      </c>
    </row>
    <row r="761">
      <c r="A761" s="8" t="inlineStr">
        <is>
          <t>1981-12-01</t>
        </is>
      </c>
      <c r="B761" s="6" t="n">
        <v>16.55</v>
      </c>
      <c r="C761" s="8">
        <f>-PV(B761/100,$B$3,B760/100,1)</f>
        <v/>
      </c>
      <c r="D761" s="8">
        <f>B760/100/12+(C761-1)</f>
        <v/>
      </c>
      <c r="E761" s="8">
        <f>E760*(1+D761)</f>
        <v/>
      </c>
    </row>
    <row r="762">
      <c r="A762" s="8" t="inlineStr">
        <is>
          <t>1982-01-01</t>
        </is>
      </c>
      <c r="B762" s="6" t="n">
        <v>17.1</v>
      </c>
      <c r="C762" s="8">
        <f>-PV(B762/100,$B$3,B761/100,1)</f>
        <v/>
      </c>
      <c r="D762" s="8">
        <f>B761/100/12+(C762-1)</f>
        <v/>
      </c>
      <c r="E762" s="8">
        <f>E761*(1+D762)</f>
        <v/>
      </c>
    </row>
    <row r="763">
      <c r="A763" s="8" t="inlineStr">
        <is>
          <t>1982-02-01</t>
        </is>
      </c>
      <c r="B763" s="6" t="n">
        <v>17.18</v>
      </c>
      <c r="C763" s="8">
        <f>-PV(B763/100,$B$3,B762/100,1)</f>
        <v/>
      </c>
      <c r="D763" s="8">
        <f>B762/100/12+(C763-1)</f>
        <v/>
      </c>
      <c r="E763" s="8">
        <f>E762*(1+D763)</f>
        <v/>
      </c>
    </row>
    <row r="764">
      <c r="A764" s="8" t="inlineStr">
        <is>
          <t>1982-03-01</t>
        </is>
      </c>
      <c r="B764" s="6" t="n">
        <v>16.82</v>
      </c>
      <c r="C764" s="8">
        <f>-PV(B764/100,$B$3,B763/100,1)</f>
        <v/>
      </c>
      <c r="D764" s="8">
        <f>B763/100/12+(C764-1)</f>
        <v/>
      </c>
      <c r="E764" s="8">
        <f>E763*(1+D764)</f>
        <v/>
      </c>
    </row>
    <row r="765">
      <c r="A765" s="8" t="inlineStr">
        <is>
          <t>1982-04-01</t>
        </is>
      </c>
      <c r="B765" s="6" t="n">
        <v>16.78</v>
      </c>
      <c r="C765" s="8">
        <f>-PV(B765/100,$B$3,B764/100,1)</f>
        <v/>
      </c>
      <c r="D765" s="8">
        <f>B764/100/12+(C765-1)</f>
        <v/>
      </c>
      <c r="E765" s="8">
        <f>E764*(1+D765)</f>
        <v/>
      </c>
    </row>
    <row r="766">
      <c r="A766" s="8" t="inlineStr">
        <is>
          <t>1982-05-01</t>
        </is>
      </c>
      <c r="B766" s="6" t="n">
        <v>16.64</v>
      </c>
      <c r="C766" s="8">
        <f>-PV(B766/100,$B$3,B765/100,1)</f>
        <v/>
      </c>
      <c r="D766" s="8">
        <f>B765/100/12+(C766-1)</f>
        <v/>
      </c>
      <c r="E766" s="8">
        <f>E765*(1+D766)</f>
        <v/>
      </c>
    </row>
    <row r="767">
      <c r="A767" s="8" t="inlineStr">
        <is>
          <t>1982-06-01</t>
        </is>
      </c>
      <c r="B767" s="6" t="n">
        <v>16.92</v>
      </c>
      <c r="C767" s="8">
        <f>-PV(B767/100,$B$3,B766/100,1)</f>
        <v/>
      </c>
      <c r="D767" s="8">
        <f>B766/100/12+(C767-1)</f>
        <v/>
      </c>
      <c r="E767" s="8">
        <f>E766*(1+D767)</f>
        <v/>
      </c>
    </row>
    <row r="768">
      <c r="A768" s="8" t="inlineStr">
        <is>
          <t>1982-07-01</t>
        </is>
      </c>
      <c r="B768" s="6" t="n">
        <v>16.8</v>
      </c>
      <c r="C768" s="8">
        <f>-PV(B768/100,$B$3,B767/100,1)</f>
        <v/>
      </c>
      <c r="D768" s="8">
        <f>B767/100/12+(C768-1)</f>
        <v/>
      </c>
      <c r="E768" s="8">
        <f>E767*(1+D768)</f>
        <v/>
      </c>
    </row>
    <row r="769">
      <c r="A769" s="8" t="inlineStr">
        <is>
          <t>1982-08-01</t>
        </is>
      </c>
      <c r="B769" s="6" t="n">
        <v>16.32</v>
      </c>
      <c r="C769" s="8">
        <f>-PV(B769/100,$B$3,B768/100,1)</f>
        <v/>
      </c>
      <c r="D769" s="8">
        <f>B768/100/12+(C769-1)</f>
        <v/>
      </c>
      <c r="E769" s="8">
        <f>E768*(1+D769)</f>
        <v/>
      </c>
    </row>
    <row r="770">
      <c r="A770" s="8" t="inlineStr">
        <is>
          <t>1982-09-01</t>
        </is>
      </c>
      <c r="B770" s="6" t="n">
        <v>15.63</v>
      </c>
      <c r="C770" s="8">
        <f>-PV(B770/100,$B$3,B769/100,1)</f>
        <v/>
      </c>
      <c r="D770" s="8">
        <f>B769/100/12+(C770-1)</f>
        <v/>
      </c>
      <c r="E770" s="8">
        <f>E769*(1+D770)</f>
        <v/>
      </c>
    </row>
    <row r="771">
      <c r="A771" s="8" t="inlineStr">
        <is>
          <t>1982-10-01</t>
        </is>
      </c>
      <c r="B771" s="6" t="n">
        <v>14.73</v>
      </c>
      <c r="C771" s="8">
        <f>-PV(B771/100,$B$3,B770/100,1)</f>
        <v/>
      </c>
      <c r="D771" s="8">
        <f>B770/100/12+(C771-1)</f>
        <v/>
      </c>
      <c r="E771" s="8">
        <f>E770*(1+D771)</f>
        <v/>
      </c>
    </row>
    <row r="772">
      <c r="A772" s="8" t="inlineStr">
        <is>
          <t>1982-11-01</t>
        </is>
      </c>
      <c r="B772" s="6" t="n">
        <v>14.3</v>
      </c>
      <c r="C772" s="8">
        <f>-PV(B772/100,$B$3,B771/100,1)</f>
        <v/>
      </c>
      <c r="D772" s="8">
        <f>B771/100/12+(C772-1)</f>
        <v/>
      </c>
      <c r="E772" s="8">
        <f>E771*(1+D772)</f>
        <v/>
      </c>
    </row>
    <row r="773">
      <c r="A773" s="8" t="inlineStr">
        <is>
          <t>1982-12-01</t>
        </is>
      </c>
      <c r="B773" s="6" t="n">
        <v>14.14</v>
      </c>
      <c r="C773" s="8">
        <f>-PV(B773/100,$B$3,B772/100,1)</f>
        <v/>
      </c>
      <c r="D773" s="8">
        <f>B772/100/12+(C773-1)</f>
        <v/>
      </c>
      <c r="E773" s="8">
        <f>E772*(1+D773)</f>
        <v/>
      </c>
    </row>
    <row r="774">
      <c r="A774" s="8" t="inlineStr">
        <is>
          <t>1983-01-01</t>
        </is>
      </c>
      <c r="B774" s="6" t="n">
        <v>13.94</v>
      </c>
      <c r="C774" s="8">
        <f>-PV(B774/100,$B$3,B773/100,1)</f>
        <v/>
      </c>
      <c r="D774" s="8">
        <f>B773/100/12+(C774-1)</f>
        <v/>
      </c>
      <c r="E774" s="8">
        <f>E773*(1+D774)</f>
        <v/>
      </c>
    </row>
    <row r="775">
      <c r="A775" s="8" t="inlineStr">
        <is>
          <t>1983-02-01</t>
        </is>
      </c>
      <c r="B775" s="6" t="n">
        <v>13.95</v>
      </c>
      <c r="C775" s="8">
        <f>-PV(B775/100,$B$3,B774/100,1)</f>
        <v/>
      </c>
      <c r="D775" s="8">
        <f>B774/100/12+(C775-1)</f>
        <v/>
      </c>
      <c r="E775" s="8">
        <f>E774*(1+D775)</f>
        <v/>
      </c>
    </row>
    <row r="776">
      <c r="A776" s="8" t="inlineStr">
        <is>
          <t>1983-03-01</t>
        </is>
      </c>
      <c r="B776" s="6" t="n">
        <v>13.61</v>
      </c>
      <c r="C776" s="8">
        <f>-PV(B776/100,$B$3,B775/100,1)</f>
        <v/>
      </c>
      <c r="D776" s="8">
        <f>B775/100/12+(C776-1)</f>
        <v/>
      </c>
      <c r="E776" s="8">
        <f>E775*(1+D776)</f>
        <v/>
      </c>
    </row>
    <row r="777">
      <c r="A777" s="8" t="inlineStr">
        <is>
          <t>1983-04-01</t>
        </is>
      </c>
      <c r="B777" s="6" t="n">
        <v>13.29</v>
      </c>
      <c r="C777" s="8">
        <f>-PV(B777/100,$B$3,B776/100,1)</f>
        <v/>
      </c>
      <c r="D777" s="8">
        <f>B776/100/12+(C777-1)</f>
        <v/>
      </c>
      <c r="E777" s="8">
        <f>E776*(1+D777)</f>
        <v/>
      </c>
    </row>
    <row r="778">
      <c r="A778" s="8" t="inlineStr">
        <is>
          <t>1983-05-01</t>
        </is>
      </c>
      <c r="B778" s="6" t="n">
        <v>13.09</v>
      </c>
      <c r="C778" s="8">
        <f>-PV(B778/100,$B$3,B777/100,1)</f>
        <v/>
      </c>
      <c r="D778" s="8">
        <f>B777/100/12+(C778-1)</f>
        <v/>
      </c>
      <c r="E778" s="8">
        <f>E777*(1+D778)</f>
        <v/>
      </c>
    </row>
    <row r="779">
      <c r="A779" s="8" t="inlineStr">
        <is>
          <t>1983-06-01</t>
        </is>
      </c>
      <c r="B779" s="6" t="n">
        <v>13.37</v>
      </c>
      <c r="C779" s="8">
        <f>-PV(B779/100,$B$3,B778/100,1)</f>
        <v/>
      </c>
      <c r="D779" s="8">
        <f>B778/100/12+(C779-1)</f>
        <v/>
      </c>
      <c r="E779" s="8">
        <f>E778*(1+D779)</f>
        <v/>
      </c>
    </row>
    <row r="780">
      <c r="A780" s="8" t="inlineStr">
        <is>
          <t>1983-07-01</t>
        </is>
      </c>
      <c r="B780" s="6" t="n">
        <v>13.39</v>
      </c>
      <c r="C780" s="8">
        <f>-PV(B780/100,$B$3,B779/100,1)</f>
        <v/>
      </c>
      <c r="D780" s="8">
        <f>B779/100/12+(C780-1)</f>
        <v/>
      </c>
      <c r="E780" s="8">
        <f>E779*(1+D780)</f>
        <v/>
      </c>
    </row>
    <row r="781">
      <c r="A781" s="8" t="inlineStr">
        <is>
          <t>1983-08-01</t>
        </is>
      </c>
      <c r="B781" s="6" t="n">
        <v>13.64</v>
      </c>
      <c r="C781" s="8">
        <f>-PV(B781/100,$B$3,B780/100,1)</f>
        <v/>
      </c>
      <c r="D781" s="8">
        <f>B780/100/12+(C781-1)</f>
        <v/>
      </c>
      <c r="E781" s="8">
        <f>E780*(1+D781)</f>
        <v/>
      </c>
    </row>
    <row r="782">
      <c r="A782" s="8" t="inlineStr">
        <is>
          <t>1983-09-01</t>
        </is>
      </c>
      <c r="B782" s="6" t="n">
        <v>13.55</v>
      </c>
      <c r="C782" s="8">
        <f>-PV(B782/100,$B$3,B781/100,1)</f>
        <v/>
      </c>
      <c r="D782" s="8">
        <f>B781/100/12+(C782-1)</f>
        <v/>
      </c>
      <c r="E782" s="8">
        <f>E781*(1+D782)</f>
        <v/>
      </c>
    </row>
    <row r="783">
      <c r="A783" s="8" t="inlineStr">
        <is>
          <t>1983-10-01</t>
        </is>
      </c>
      <c r="B783" s="6" t="n">
        <v>13.46</v>
      </c>
      <c r="C783" s="8">
        <f>-PV(B783/100,$B$3,B782/100,1)</f>
        <v/>
      </c>
      <c r="D783" s="8">
        <f>B782/100/12+(C783-1)</f>
        <v/>
      </c>
      <c r="E783" s="8">
        <f>E782*(1+D783)</f>
        <v/>
      </c>
    </row>
    <row r="784">
      <c r="A784" s="8" t="inlineStr">
        <is>
          <t>1983-11-01</t>
        </is>
      </c>
      <c r="B784" s="6" t="n">
        <v>13.61</v>
      </c>
      <c r="C784" s="8">
        <f>-PV(B784/100,$B$3,B783/100,1)</f>
        <v/>
      </c>
      <c r="D784" s="8">
        <f>B783/100/12+(C784-1)</f>
        <v/>
      </c>
      <c r="E784" s="8">
        <f>E783*(1+D784)</f>
        <v/>
      </c>
    </row>
    <row r="785">
      <c r="A785" s="8" t="inlineStr">
        <is>
          <t>1983-12-01</t>
        </is>
      </c>
      <c r="B785" s="6" t="n">
        <v>13.75</v>
      </c>
      <c r="C785" s="8">
        <f>-PV(B785/100,$B$3,B784/100,1)</f>
        <v/>
      </c>
      <c r="D785" s="8">
        <f>B784/100/12+(C785-1)</f>
        <v/>
      </c>
      <c r="E785" s="8">
        <f>E784*(1+D785)</f>
        <v/>
      </c>
    </row>
    <row r="786">
      <c r="A786" s="8" t="inlineStr">
        <is>
          <t>1984-01-01</t>
        </is>
      </c>
      <c r="B786" s="6" t="n">
        <v>13.65</v>
      </c>
      <c r="C786" s="8">
        <f>-PV(B786/100,$B$3,B785/100,1)</f>
        <v/>
      </c>
      <c r="D786" s="8">
        <f>B785/100/12+(C786-1)</f>
        <v/>
      </c>
      <c r="E786" s="8">
        <f>E785*(1+D786)</f>
        <v/>
      </c>
    </row>
    <row r="787">
      <c r="A787" s="8" t="inlineStr">
        <is>
          <t>1984-02-01</t>
        </is>
      </c>
      <c r="B787" s="6" t="n">
        <v>13.59</v>
      </c>
      <c r="C787" s="8">
        <f>-PV(B787/100,$B$3,B786/100,1)</f>
        <v/>
      </c>
      <c r="D787" s="8">
        <f>B786/100/12+(C787-1)</f>
        <v/>
      </c>
      <c r="E787" s="8">
        <f>E786*(1+D787)</f>
        <v/>
      </c>
    </row>
    <row r="788">
      <c r="A788" s="8" t="inlineStr">
        <is>
          <t>1984-03-01</t>
        </is>
      </c>
      <c r="B788" s="6" t="n">
        <v>13.99</v>
      </c>
      <c r="C788" s="8">
        <f>-PV(B788/100,$B$3,B787/100,1)</f>
        <v/>
      </c>
      <c r="D788" s="8">
        <f>B787/100/12+(C788-1)</f>
        <v/>
      </c>
      <c r="E788" s="8">
        <f>E787*(1+D788)</f>
        <v/>
      </c>
    </row>
    <row r="789">
      <c r="A789" s="8" t="inlineStr">
        <is>
          <t>1984-04-01</t>
        </is>
      </c>
      <c r="B789" s="6" t="n">
        <v>14.31</v>
      </c>
      <c r="C789" s="8">
        <f>-PV(B789/100,$B$3,B788/100,1)</f>
        <v/>
      </c>
      <c r="D789" s="8">
        <f>B788/100/12+(C789-1)</f>
        <v/>
      </c>
      <c r="E789" s="8">
        <f>E788*(1+D789)</f>
        <v/>
      </c>
    </row>
    <row r="790">
      <c r="A790" s="8" t="inlineStr">
        <is>
          <t>1984-05-01</t>
        </is>
      </c>
      <c r="B790" s="6" t="n">
        <v>14.74</v>
      </c>
      <c r="C790" s="8">
        <f>-PV(B790/100,$B$3,B789/100,1)</f>
        <v/>
      </c>
      <c r="D790" s="8">
        <f>B789/100/12+(C790-1)</f>
        <v/>
      </c>
      <c r="E790" s="8">
        <f>E789*(1+D790)</f>
        <v/>
      </c>
    </row>
    <row r="791">
      <c r="A791" s="8" t="inlineStr">
        <is>
          <t>1984-06-01</t>
        </is>
      </c>
      <c r="B791" s="6" t="n">
        <v>15.05</v>
      </c>
      <c r="C791" s="8">
        <f>-PV(B791/100,$B$3,B790/100,1)</f>
        <v/>
      </c>
      <c r="D791" s="8">
        <f>B790/100/12+(C791-1)</f>
        <v/>
      </c>
      <c r="E791" s="8">
        <f>E790*(1+D791)</f>
        <v/>
      </c>
    </row>
    <row r="792">
      <c r="A792" s="8" t="inlineStr">
        <is>
          <t>1984-07-01</t>
        </is>
      </c>
      <c r="B792" s="6" t="n">
        <v>15.15</v>
      </c>
      <c r="C792" s="8">
        <f>-PV(B792/100,$B$3,B791/100,1)</f>
        <v/>
      </c>
      <c r="D792" s="8">
        <f>B791/100/12+(C792-1)</f>
        <v/>
      </c>
      <c r="E792" s="8">
        <f>E791*(1+D792)</f>
        <v/>
      </c>
    </row>
    <row r="793">
      <c r="A793" s="8" t="inlineStr">
        <is>
          <t>1984-08-01</t>
        </is>
      </c>
      <c r="B793" s="6" t="n">
        <v>14.63</v>
      </c>
      <c r="C793" s="8">
        <f>-PV(B793/100,$B$3,B792/100,1)</f>
        <v/>
      </c>
      <c r="D793" s="8">
        <f>B792/100/12+(C793-1)</f>
        <v/>
      </c>
      <c r="E793" s="8">
        <f>E792*(1+D793)</f>
        <v/>
      </c>
    </row>
    <row r="794">
      <c r="A794" s="8" t="inlineStr">
        <is>
          <t>1984-09-01</t>
        </is>
      </c>
      <c r="B794" s="6" t="n">
        <v>14.35</v>
      </c>
      <c r="C794" s="8">
        <f>-PV(B794/100,$B$3,B793/100,1)</f>
        <v/>
      </c>
      <c r="D794" s="8">
        <f>B793/100/12+(C794-1)</f>
        <v/>
      </c>
      <c r="E794" s="8">
        <f>E793*(1+D794)</f>
        <v/>
      </c>
    </row>
    <row r="795">
      <c r="A795" s="8" t="inlineStr">
        <is>
          <t>1984-10-01</t>
        </is>
      </c>
      <c r="B795" s="6" t="n">
        <v>13.94</v>
      </c>
      <c r="C795" s="8">
        <f>-PV(B795/100,$B$3,B794/100,1)</f>
        <v/>
      </c>
      <c r="D795" s="8">
        <f>B794/100/12+(C795-1)</f>
        <v/>
      </c>
      <c r="E795" s="8">
        <f>E794*(1+D795)</f>
        <v/>
      </c>
    </row>
    <row r="796">
      <c r="A796" s="8" t="inlineStr">
        <is>
          <t>1984-11-01</t>
        </is>
      </c>
      <c r="B796" s="6" t="n">
        <v>13.48</v>
      </c>
      <c r="C796" s="8">
        <f>-PV(B796/100,$B$3,B795/100,1)</f>
        <v/>
      </c>
      <c r="D796" s="8">
        <f>B795/100/12+(C796-1)</f>
        <v/>
      </c>
      <c r="E796" s="8">
        <f>E795*(1+D796)</f>
        <v/>
      </c>
    </row>
    <row r="797">
      <c r="A797" s="8" t="inlineStr">
        <is>
          <t>1984-12-01</t>
        </is>
      </c>
      <c r="B797" s="6" t="n">
        <v>13.4</v>
      </c>
      <c r="C797" s="8">
        <f>-PV(B797/100,$B$3,B796/100,1)</f>
        <v/>
      </c>
      <c r="D797" s="8">
        <f>B796/100/12+(C797-1)</f>
        <v/>
      </c>
      <c r="E797" s="8">
        <f>E796*(1+D797)</f>
        <v/>
      </c>
    </row>
    <row r="798">
      <c r="A798" s="8" t="inlineStr">
        <is>
          <t>1985-01-01</t>
        </is>
      </c>
      <c r="B798" s="6" t="n">
        <v>13.26</v>
      </c>
      <c r="C798" s="8">
        <f>-PV(B798/100,$B$3,B797/100,1)</f>
        <v/>
      </c>
      <c r="D798" s="8">
        <f>B797/100/12+(C798-1)</f>
        <v/>
      </c>
      <c r="E798" s="8">
        <f>E797*(1+D798)</f>
        <v/>
      </c>
    </row>
    <row r="799">
      <c r="A799" s="8" t="inlineStr">
        <is>
          <t>1985-02-01</t>
        </is>
      </c>
      <c r="B799" s="6" t="n">
        <v>13.23</v>
      </c>
      <c r="C799" s="8">
        <f>-PV(B799/100,$B$3,B798/100,1)</f>
        <v/>
      </c>
      <c r="D799" s="8">
        <f>B798/100/12+(C799-1)</f>
        <v/>
      </c>
      <c r="E799" s="8">
        <f>E798*(1+D799)</f>
        <v/>
      </c>
    </row>
    <row r="800">
      <c r="A800" s="8" t="inlineStr">
        <is>
          <t>1985-03-01</t>
        </is>
      </c>
      <c r="B800" s="6" t="n">
        <v>13.69</v>
      </c>
      <c r="C800" s="8">
        <f>-PV(B800/100,$B$3,B799/100,1)</f>
        <v/>
      </c>
      <c r="D800" s="8">
        <f>B799/100/12+(C800-1)</f>
        <v/>
      </c>
      <c r="E800" s="8">
        <f>E799*(1+D800)</f>
        <v/>
      </c>
    </row>
    <row r="801">
      <c r="A801" s="8" t="inlineStr">
        <is>
          <t>1985-04-01</t>
        </is>
      </c>
      <c r="B801" s="6" t="n">
        <v>13.51</v>
      </c>
      <c r="C801" s="8">
        <f>-PV(B801/100,$B$3,B800/100,1)</f>
        <v/>
      </c>
      <c r="D801" s="8">
        <f>B800/100/12+(C801-1)</f>
        <v/>
      </c>
      <c r="E801" s="8">
        <f>E800*(1+D801)</f>
        <v/>
      </c>
    </row>
    <row r="802">
      <c r="A802" s="8" t="inlineStr">
        <is>
          <t>1985-05-01</t>
        </is>
      </c>
      <c r="B802" s="6" t="n">
        <v>13.15</v>
      </c>
      <c r="C802" s="8">
        <f>-PV(B802/100,$B$3,B801/100,1)</f>
        <v/>
      </c>
      <c r="D802" s="8">
        <f>B801/100/12+(C802-1)</f>
        <v/>
      </c>
      <c r="E802" s="8">
        <f>E801*(1+D802)</f>
        <v/>
      </c>
    </row>
    <row r="803">
      <c r="A803" s="8" t="inlineStr">
        <is>
          <t>1985-06-01</t>
        </is>
      </c>
      <c r="B803" s="6" t="n">
        <v>12.4</v>
      </c>
      <c r="C803" s="8">
        <f>-PV(B803/100,$B$3,B802/100,1)</f>
        <v/>
      </c>
      <c r="D803" s="8">
        <f>B802/100/12+(C803-1)</f>
        <v/>
      </c>
      <c r="E803" s="8">
        <f>E802*(1+D803)</f>
        <v/>
      </c>
    </row>
    <row r="804">
      <c r="A804" s="8" t="inlineStr">
        <is>
          <t>1985-07-01</t>
        </is>
      </c>
      <c r="B804" s="6" t="n">
        <v>12.43</v>
      </c>
      <c r="C804" s="8">
        <f>-PV(B804/100,$B$3,B803/100,1)</f>
        <v/>
      </c>
      <c r="D804" s="8">
        <f>B803/100/12+(C804-1)</f>
        <v/>
      </c>
      <c r="E804" s="8">
        <f>E803*(1+D804)</f>
        <v/>
      </c>
    </row>
    <row r="805">
      <c r="A805" s="8" t="inlineStr">
        <is>
          <t>1985-08-01</t>
        </is>
      </c>
      <c r="B805" s="6" t="n">
        <v>12.5</v>
      </c>
      <c r="C805" s="8">
        <f>-PV(B805/100,$B$3,B804/100,1)</f>
        <v/>
      </c>
      <c r="D805" s="8">
        <f>B804/100/12+(C805-1)</f>
        <v/>
      </c>
      <c r="E805" s="8">
        <f>E804*(1+D805)</f>
        <v/>
      </c>
    </row>
    <row r="806">
      <c r="A806" s="8" t="inlineStr">
        <is>
          <t>1985-09-01</t>
        </is>
      </c>
      <c r="B806" s="6" t="n">
        <v>12.48</v>
      </c>
      <c r="C806" s="8">
        <f>-PV(B806/100,$B$3,B805/100,1)</f>
        <v/>
      </c>
      <c r="D806" s="8">
        <f>B805/100/12+(C806-1)</f>
        <v/>
      </c>
      <c r="E806" s="8">
        <f>E805*(1+D806)</f>
        <v/>
      </c>
    </row>
    <row r="807">
      <c r="A807" s="8" t="inlineStr">
        <is>
          <t>1985-10-01</t>
        </is>
      </c>
      <c r="B807" s="6" t="n">
        <v>12.36</v>
      </c>
      <c r="C807" s="8">
        <f>-PV(B807/100,$B$3,B806/100,1)</f>
        <v/>
      </c>
      <c r="D807" s="8">
        <f>B806/100/12+(C807-1)</f>
        <v/>
      </c>
      <c r="E807" s="8">
        <f>E806*(1+D807)</f>
        <v/>
      </c>
    </row>
    <row r="808">
      <c r="A808" s="8" t="inlineStr">
        <is>
          <t>1985-11-01</t>
        </is>
      </c>
      <c r="B808" s="6" t="n">
        <v>11.99</v>
      </c>
      <c r="C808" s="8">
        <f>-PV(B808/100,$B$3,B807/100,1)</f>
        <v/>
      </c>
      <c r="D808" s="8">
        <f>B807/100/12+(C808-1)</f>
        <v/>
      </c>
      <c r="E808" s="8">
        <f>E807*(1+D808)</f>
        <v/>
      </c>
    </row>
    <row r="809">
      <c r="A809" s="8" t="inlineStr">
        <is>
          <t>1985-12-01</t>
        </is>
      </c>
      <c r="B809" s="6" t="n">
        <v>11.58</v>
      </c>
      <c r="C809" s="8">
        <f>-PV(B809/100,$B$3,B808/100,1)</f>
        <v/>
      </c>
      <c r="D809" s="8">
        <f>B808/100/12+(C809-1)</f>
        <v/>
      </c>
      <c r="E809" s="8">
        <f>E808*(1+D809)</f>
        <v/>
      </c>
    </row>
    <row r="810">
      <c r="A810" s="8" t="inlineStr">
        <is>
          <t>1986-01-01</t>
        </is>
      </c>
      <c r="B810" s="6" t="n">
        <v>11.44</v>
      </c>
      <c r="C810" s="8">
        <f>-PV(B810/100,$B$3,B809/100,1)</f>
        <v/>
      </c>
      <c r="D810" s="8">
        <f>B809/100/12+(C810-1)</f>
        <v/>
      </c>
      <c r="E810" s="8">
        <f>E809*(1+D810)</f>
        <v/>
      </c>
    </row>
    <row r="811">
      <c r="A811" s="8" t="inlineStr">
        <is>
          <t>1986-02-01</t>
        </is>
      </c>
      <c r="B811" s="6" t="n">
        <v>11.11</v>
      </c>
      <c r="C811" s="8">
        <f>-PV(B811/100,$B$3,B810/100,1)</f>
        <v/>
      </c>
      <c r="D811" s="8">
        <f>B810/100/12+(C811-1)</f>
        <v/>
      </c>
      <c r="E811" s="8">
        <f>E810*(1+D811)</f>
        <v/>
      </c>
    </row>
    <row r="812">
      <c r="A812" s="8" t="inlineStr">
        <is>
          <t>1986-03-01</t>
        </is>
      </c>
      <c r="B812" s="6" t="n">
        <v>10.5</v>
      </c>
      <c r="C812" s="8">
        <f>-PV(B812/100,$B$3,B811/100,1)</f>
        <v/>
      </c>
      <c r="D812" s="8">
        <f>B811/100/12+(C812-1)</f>
        <v/>
      </c>
      <c r="E812" s="8">
        <f>E811*(1+D812)</f>
        <v/>
      </c>
    </row>
    <row r="813">
      <c r="A813" s="8" t="inlineStr">
        <is>
          <t>1986-04-01</t>
        </is>
      </c>
      <c r="B813" s="6" t="n">
        <v>10.19</v>
      </c>
      <c r="C813" s="8">
        <f>-PV(B813/100,$B$3,B812/100,1)</f>
        <v/>
      </c>
      <c r="D813" s="8">
        <f>B812/100/12+(C813-1)</f>
        <v/>
      </c>
      <c r="E813" s="8">
        <f>E812*(1+D813)</f>
        <v/>
      </c>
    </row>
    <row r="814">
      <c r="A814" s="8" t="inlineStr">
        <is>
          <t>1986-05-01</t>
        </is>
      </c>
      <c r="B814" s="6" t="n">
        <v>10.29</v>
      </c>
      <c r="C814" s="8">
        <f>-PV(B814/100,$B$3,B813/100,1)</f>
        <v/>
      </c>
      <c r="D814" s="8">
        <f>B813/100/12+(C814-1)</f>
        <v/>
      </c>
      <c r="E814" s="8">
        <f>E813*(1+D814)</f>
        <v/>
      </c>
    </row>
    <row r="815">
      <c r="A815" s="8" t="inlineStr">
        <is>
          <t>1986-06-01</t>
        </is>
      </c>
      <c r="B815" s="6" t="n">
        <v>10.34</v>
      </c>
      <c r="C815" s="8">
        <f>-PV(B815/100,$B$3,B814/100,1)</f>
        <v/>
      </c>
      <c r="D815" s="8">
        <f>B814/100/12+(C815-1)</f>
        <v/>
      </c>
      <c r="E815" s="8">
        <f>E814*(1+D815)</f>
        <v/>
      </c>
    </row>
    <row r="816">
      <c r="A816" s="8" t="inlineStr">
        <is>
          <t>1986-07-01</t>
        </is>
      </c>
      <c r="B816" s="6" t="n">
        <v>10.16</v>
      </c>
      <c r="C816" s="8">
        <f>-PV(B816/100,$B$3,B815/100,1)</f>
        <v/>
      </c>
      <c r="D816" s="8">
        <f>B815/100/12+(C816-1)</f>
        <v/>
      </c>
      <c r="E816" s="8">
        <f>E815*(1+D816)</f>
        <v/>
      </c>
    </row>
    <row r="817">
      <c r="A817" s="8" t="inlineStr">
        <is>
          <t>1986-08-01</t>
        </is>
      </c>
      <c r="B817" s="6" t="n">
        <v>10.18</v>
      </c>
      <c r="C817" s="8">
        <f>-PV(B817/100,$B$3,B816/100,1)</f>
        <v/>
      </c>
      <c r="D817" s="8">
        <f>B816/100/12+(C817-1)</f>
        <v/>
      </c>
      <c r="E817" s="8">
        <f>E816*(1+D817)</f>
        <v/>
      </c>
    </row>
    <row r="818">
      <c r="A818" s="8" t="inlineStr">
        <is>
          <t>1986-09-01</t>
        </is>
      </c>
      <c r="B818" s="6" t="n">
        <v>10.2</v>
      </c>
      <c r="C818" s="8">
        <f>-PV(B818/100,$B$3,B817/100,1)</f>
        <v/>
      </c>
      <c r="D818" s="8">
        <f>B817/100/12+(C818-1)</f>
        <v/>
      </c>
      <c r="E818" s="8">
        <f>E817*(1+D818)</f>
        <v/>
      </c>
    </row>
    <row r="819">
      <c r="A819" s="8" t="inlineStr">
        <is>
          <t>1986-10-01</t>
        </is>
      </c>
      <c r="B819" s="6" t="n">
        <v>10.24</v>
      </c>
      <c r="C819" s="8">
        <f>-PV(B819/100,$B$3,B818/100,1)</f>
        <v/>
      </c>
      <c r="D819" s="8">
        <f>B818/100/12+(C819-1)</f>
        <v/>
      </c>
      <c r="E819" s="8">
        <f>E818*(1+D819)</f>
        <v/>
      </c>
    </row>
    <row r="820">
      <c r="A820" s="8" t="inlineStr">
        <is>
          <t>1986-11-01</t>
        </is>
      </c>
      <c r="B820" s="6" t="n">
        <v>10.07</v>
      </c>
      <c r="C820" s="8">
        <f>-PV(B820/100,$B$3,B819/100,1)</f>
        <v/>
      </c>
      <c r="D820" s="8">
        <f>B819/100/12+(C820-1)</f>
        <v/>
      </c>
      <c r="E820" s="8">
        <f>E819*(1+D820)</f>
        <v/>
      </c>
    </row>
    <row r="821">
      <c r="A821" s="8" t="inlineStr">
        <is>
          <t>1986-12-01</t>
        </is>
      </c>
      <c r="B821" s="6" t="n">
        <v>9.970000000000001</v>
      </c>
      <c r="C821" s="8">
        <f>-PV(B821/100,$B$3,B820/100,1)</f>
        <v/>
      </c>
      <c r="D821" s="8">
        <f>B820/100/12+(C821-1)</f>
        <v/>
      </c>
      <c r="E821" s="8">
        <f>E820*(1+D821)</f>
        <v/>
      </c>
    </row>
    <row r="822">
      <c r="A822" s="8" t="inlineStr">
        <is>
          <t>1987-01-01</t>
        </is>
      </c>
      <c r="B822" s="6" t="n">
        <v>9.720000000000001</v>
      </c>
      <c r="C822" s="8">
        <f>-PV(B822/100,$B$3,B821/100,1)</f>
        <v/>
      </c>
      <c r="D822" s="8">
        <f>B821/100/12+(C822-1)</f>
        <v/>
      </c>
      <c r="E822" s="8">
        <f>E821*(1+D822)</f>
        <v/>
      </c>
    </row>
    <row r="823">
      <c r="A823" s="8" t="inlineStr">
        <is>
          <t>1987-02-01</t>
        </is>
      </c>
      <c r="B823" s="6" t="n">
        <v>9.65</v>
      </c>
      <c r="C823" s="8">
        <f>-PV(B823/100,$B$3,B822/100,1)</f>
        <v/>
      </c>
      <c r="D823" s="8">
        <f>B822/100/12+(C823-1)</f>
        <v/>
      </c>
      <c r="E823" s="8">
        <f>E822*(1+D823)</f>
        <v/>
      </c>
    </row>
    <row r="824">
      <c r="A824" s="8" t="inlineStr">
        <is>
          <t>1987-03-01</t>
        </is>
      </c>
      <c r="B824" s="6" t="n">
        <v>9.609999999999999</v>
      </c>
      <c r="C824" s="8">
        <f>-PV(B824/100,$B$3,B823/100,1)</f>
        <v/>
      </c>
      <c r="D824" s="8">
        <f>B823/100/12+(C824-1)</f>
        <v/>
      </c>
      <c r="E824" s="8">
        <f>E823*(1+D824)</f>
        <v/>
      </c>
    </row>
    <row r="825">
      <c r="A825" s="8" t="inlineStr">
        <is>
          <t>1987-04-01</t>
        </is>
      </c>
      <c r="B825" s="6" t="n">
        <v>10.04</v>
      </c>
      <c r="C825" s="8">
        <f>-PV(B825/100,$B$3,B824/100,1)</f>
        <v/>
      </c>
      <c r="D825" s="8">
        <f>B824/100/12+(C825-1)</f>
        <v/>
      </c>
      <c r="E825" s="8">
        <f>E824*(1+D825)</f>
        <v/>
      </c>
    </row>
    <row r="826">
      <c r="A826" s="8" t="inlineStr">
        <is>
          <t>1987-05-01</t>
        </is>
      </c>
      <c r="B826" s="6" t="n">
        <v>10.51</v>
      </c>
      <c r="C826" s="8">
        <f>-PV(B826/100,$B$3,B825/100,1)</f>
        <v/>
      </c>
      <c r="D826" s="8">
        <f>B825/100/12+(C826-1)</f>
        <v/>
      </c>
      <c r="E826" s="8">
        <f>E825*(1+D826)</f>
        <v/>
      </c>
    </row>
    <row r="827">
      <c r="A827" s="8" t="inlineStr">
        <is>
          <t>1987-06-01</t>
        </is>
      </c>
      <c r="B827" s="6" t="n">
        <v>10.52</v>
      </c>
      <c r="C827" s="8">
        <f>-PV(B827/100,$B$3,B826/100,1)</f>
        <v/>
      </c>
      <c r="D827" s="8">
        <f>B826/100/12+(C827-1)</f>
        <v/>
      </c>
      <c r="E827" s="8">
        <f>E826*(1+D827)</f>
        <v/>
      </c>
    </row>
    <row r="828">
      <c r="A828" s="8" t="inlineStr">
        <is>
          <t>1987-07-01</t>
        </is>
      </c>
      <c r="B828" s="6" t="n">
        <v>10.61</v>
      </c>
      <c r="C828" s="8">
        <f>-PV(B828/100,$B$3,B827/100,1)</f>
        <v/>
      </c>
      <c r="D828" s="8">
        <f>B827/100/12+(C828-1)</f>
        <v/>
      </c>
      <c r="E828" s="8">
        <f>E827*(1+D828)</f>
        <v/>
      </c>
    </row>
    <row r="829">
      <c r="A829" s="8" t="inlineStr">
        <is>
          <t>1987-08-01</t>
        </is>
      </c>
      <c r="B829" s="6" t="n">
        <v>10.8</v>
      </c>
      <c r="C829" s="8">
        <f>-PV(B829/100,$B$3,B828/100,1)</f>
        <v/>
      </c>
      <c r="D829" s="8">
        <f>B828/100/12+(C829-1)</f>
        <v/>
      </c>
      <c r="E829" s="8">
        <f>E828*(1+D829)</f>
        <v/>
      </c>
    </row>
    <row r="830">
      <c r="A830" s="8" t="inlineStr">
        <is>
          <t>1987-09-01</t>
        </is>
      </c>
      <c r="B830" s="6" t="n">
        <v>11.31</v>
      </c>
      <c r="C830" s="8">
        <f>-PV(B830/100,$B$3,B829/100,1)</f>
        <v/>
      </c>
      <c r="D830" s="8">
        <f>B829/100/12+(C830-1)</f>
        <v/>
      </c>
      <c r="E830" s="8">
        <f>E829*(1+D830)</f>
        <v/>
      </c>
    </row>
    <row r="831">
      <c r="A831" s="8" t="inlineStr">
        <is>
          <t>1987-10-01</t>
        </is>
      </c>
      <c r="B831" s="6" t="n">
        <v>11.62</v>
      </c>
      <c r="C831" s="8">
        <f>-PV(B831/100,$B$3,B830/100,1)</f>
        <v/>
      </c>
      <c r="D831" s="8">
        <f>B830/100/12+(C831-1)</f>
        <v/>
      </c>
      <c r="E831" s="8">
        <f>E830*(1+D831)</f>
        <v/>
      </c>
    </row>
    <row r="832">
      <c r="A832" s="8" t="inlineStr">
        <is>
          <t>1987-11-01</t>
        </is>
      </c>
      <c r="B832" s="6" t="n">
        <v>11.23</v>
      </c>
      <c r="C832" s="8">
        <f>-PV(B832/100,$B$3,B831/100,1)</f>
        <v/>
      </c>
      <c r="D832" s="8">
        <f>B831/100/12+(C832-1)</f>
        <v/>
      </c>
      <c r="E832" s="8">
        <f>E831*(1+D832)</f>
        <v/>
      </c>
    </row>
    <row r="833">
      <c r="A833" s="8" t="inlineStr">
        <is>
          <t>1987-12-01</t>
        </is>
      </c>
      <c r="B833" s="6" t="n">
        <v>11.29</v>
      </c>
      <c r="C833" s="8">
        <f>-PV(B833/100,$B$3,B832/100,1)</f>
        <v/>
      </c>
      <c r="D833" s="8">
        <f>B832/100/12+(C833-1)</f>
        <v/>
      </c>
      <c r="E833" s="8">
        <f>E832*(1+D833)</f>
        <v/>
      </c>
    </row>
    <row r="834">
      <c r="A834" s="8" t="inlineStr">
        <is>
          <t>1988-01-01</t>
        </is>
      </c>
      <c r="B834" s="6" t="n">
        <v>11.07</v>
      </c>
      <c r="C834" s="8">
        <f>-PV(B834/100,$B$3,B833/100,1)</f>
        <v/>
      </c>
      <c r="D834" s="8">
        <f>B833/100/12+(C834-1)</f>
        <v/>
      </c>
      <c r="E834" s="8">
        <f>E833*(1+D834)</f>
        <v/>
      </c>
    </row>
    <row r="835">
      <c r="A835" s="8" t="inlineStr">
        <is>
          <t>1988-02-01</t>
        </is>
      </c>
      <c r="B835" s="6" t="n">
        <v>10.62</v>
      </c>
      <c r="C835" s="8">
        <f>-PV(B835/100,$B$3,B834/100,1)</f>
        <v/>
      </c>
      <c r="D835" s="8">
        <f>B834/100/12+(C835-1)</f>
        <v/>
      </c>
      <c r="E835" s="8">
        <f>E834*(1+D835)</f>
        <v/>
      </c>
    </row>
    <row r="836">
      <c r="A836" s="8" t="inlineStr">
        <is>
          <t>1988-03-01</t>
        </is>
      </c>
      <c r="B836" s="6" t="n">
        <v>10.57</v>
      </c>
      <c r="C836" s="8">
        <f>-PV(B836/100,$B$3,B835/100,1)</f>
        <v/>
      </c>
      <c r="D836" s="8">
        <f>B835/100/12+(C836-1)</f>
        <v/>
      </c>
      <c r="E836" s="8">
        <f>E835*(1+D836)</f>
        <v/>
      </c>
    </row>
    <row r="837">
      <c r="A837" s="8" t="inlineStr">
        <is>
          <t>1988-04-01</t>
        </is>
      </c>
      <c r="B837" s="6" t="n">
        <v>10.9</v>
      </c>
      <c r="C837" s="8">
        <f>-PV(B837/100,$B$3,B836/100,1)</f>
        <v/>
      </c>
      <c r="D837" s="8">
        <f>B836/100/12+(C837-1)</f>
        <v/>
      </c>
      <c r="E837" s="8">
        <f>E836*(1+D837)</f>
        <v/>
      </c>
    </row>
    <row r="838">
      <c r="A838" s="8" t="inlineStr">
        <is>
          <t>1988-05-01</t>
        </is>
      </c>
      <c r="B838" s="6" t="n">
        <v>11.04</v>
      </c>
      <c r="C838" s="8">
        <f>-PV(B838/100,$B$3,B837/100,1)</f>
        <v/>
      </c>
      <c r="D838" s="8">
        <f>B837/100/12+(C838-1)</f>
        <v/>
      </c>
      <c r="E838" s="8">
        <f>E837*(1+D838)</f>
        <v/>
      </c>
    </row>
    <row r="839">
      <c r="A839" s="8" t="inlineStr">
        <is>
          <t>1988-06-01</t>
        </is>
      </c>
      <c r="B839" s="6" t="n">
        <v>11</v>
      </c>
      <c r="C839" s="8">
        <f>-PV(B839/100,$B$3,B838/100,1)</f>
        <v/>
      </c>
      <c r="D839" s="8">
        <f>B838/100/12+(C839-1)</f>
        <v/>
      </c>
      <c r="E839" s="8">
        <f>E838*(1+D839)</f>
        <v/>
      </c>
    </row>
    <row r="840">
      <c r="A840" s="8" t="inlineStr">
        <is>
          <t>1988-07-01</t>
        </is>
      </c>
      <c r="B840" s="6" t="n">
        <v>11.11</v>
      </c>
      <c r="C840" s="8">
        <f>-PV(B840/100,$B$3,B839/100,1)</f>
        <v/>
      </c>
      <c r="D840" s="8">
        <f>B839/100/12+(C840-1)</f>
        <v/>
      </c>
      <c r="E840" s="8">
        <f>E839*(1+D840)</f>
        <v/>
      </c>
    </row>
    <row r="841">
      <c r="A841" s="8" t="inlineStr">
        <is>
          <t>1988-08-01</t>
        </is>
      </c>
      <c r="B841" s="6" t="n">
        <v>11.21</v>
      </c>
      <c r="C841" s="8">
        <f>-PV(B841/100,$B$3,B840/100,1)</f>
        <v/>
      </c>
      <c r="D841" s="8">
        <f>B840/100/12+(C841-1)</f>
        <v/>
      </c>
      <c r="E841" s="8">
        <f>E840*(1+D841)</f>
        <v/>
      </c>
    </row>
    <row r="842">
      <c r="A842" s="8" t="inlineStr">
        <is>
          <t>1988-09-01</t>
        </is>
      </c>
      <c r="B842" s="6" t="n">
        <v>10.9</v>
      </c>
      <c r="C842" s="8">
        <f>-PV(B842/100,$B$3,B841/100,1)</f>
        <v/>
      </c>
      <c r="D842" s="8">
        <f>B841/100/12+(C842-1)</f>
        <v/>
      </c>
      <c r="E842" s="8">
        <f>E841*(1+D842)</f>
        <v/>
      </c>
    </row>
    <row r="843">
      <c r="A843" s="8" t="inlineStr">
        <is>
          <t>1988-10-01</t>
        </is>
      </c>
      <c r="B843" s="6" t="n">
        <v>10.41</v>
      </c>
      <c r="C843" s="8">
        <f>-PV(B843/100,$B$3,B842/100,1)</f>
        <v/>
      </c>
      <c r="D843" s="8">
        <f>B842/100/12+(C843-1)</f>
        <v/>
      </c>
      <c r="E843" s="8">
        <f>E842*(1+D843)</f>
        <v/>
      </c>
    </row>
    <row r="844">
      <c r="A844" s="8" t="inlineStr">
        <is>
          <t>1988-11-01</t>
        </is>
      </c>
      <c r="B844" s="6" t="n">
        <v>10.48</v>
      </c>
      <c r="C844" s="8">
        <f>-PV(B844/100,$B$3,B843/100,1)</f>
        <v/>
      </c>
      <c r="D844" s="8">
        <f>B843/100/12+(C844-1)</f>
        <v/>
      </c>
      <c r="E844" s="8">
        <f>E843*(1+D844)</f>
        <v/>
      </c>
    </row>
    <row r="845">
      <c r="A845" s="8" t="inlineStr">
        <is>
          <t>1988-12-01</t>
        </is>
      </c>
      <c r="B845" s="6" t="n">
        <v>10.65</v>
      </c>
      <c r="C845" s="8">
        <f>-PV(B845/100,$B$3,B844/100,1)</f>
        <v/>
      </c>
      <c r="D845" s="8">
        <f>B844/100/12+(C845-1)</f>
        <v/>
      </c>
      <c r="E845" s="8">
        <f>E844*(1+D845)</f>
        <v/>
      </c>
    </row>
    <row r="846">
      <c r="A846" s="8" t="inlineStr">
        <is>
          <t>1989-01-01</t>
        </is>
      </c>
      <c r="B846" s="6" t="n">
        <v>10.65</v>
      </c>
      <c r="C846" s="8">
        <f>-PV(B846/100,$B$3,B845/100,1)</f>
        <v/>
      </c>
      <c r="D846" s="8">
        <f>B845/100/12+(C846-1)</f>
        <v/>
      </c>
      <c r="E846" s="8">
        <f>E845*(1+D846)</f>
        <v/>
      </c>
    </row>
    <row r="847">
      <c r="A847" s="8" t="inlineStr">
        <is>
          <t>1989-02-01</t>
        </is>
      </c>
      <c r="B847" s="6" t="n">
        <v>10.61</v>
      </c>
      <c r="C847" s="8">
        <f>-PV(B847/100,$B$3,B846/100,1)</f>
        <v/>
      </c>
      <c r="D847" s="8">
        <f>B846/100/12+(C847-1)</f>
        <v/>
      </c>
      <c r="E847" s="8">
        <f>E846*(1+D847)</f>
        <v/>
      </c>
    </row>
    <row r="848">
      <c r="A848" s="8" t="inlineStr">
        <is>
          <t>1989-03-01</t>
        </is>
      </c>
      <c r="B848" s="6" t="n">
        <v>10.67</v>
      </c>
      <c r="C848" s="8">
        <f>-PV(B848/100,$B$3,B847/100,1)</f>
        <v/>
      </c>
      <c r="D848" s="8">
        <f>B847/100/12+(C848-1)</f>
        <v/>
      </c>
      <c r="E848" s="8">
        <f>E847*(1+D848)</f>
        <v/>
      </c>
    </row>
    <row r="849">
      <c r="A849" s="8" t="inlineStr">
        <is>
          <t>1989-04-01</t>
        </is>
      </c>
      <c r="B849" s="6" t="n">
        <v>10.61</v>
      </c>
      <c r="C849" s="8">
        <f>-PV(B849/100,$B$3,B848/100,1)</f>
        <v/>
      </c>
      <c r="D849" s="8">
        <f>B848/100/12+(C849-1)</f>
        <v/>
      </c>
      <c r="E849" s="8">
        <f>E848*(1+D849)</f>
        <v/>
      </c>
    </row>
    <row r="850">
      <c r="A850" s="8" t="inlineStr">
        <is>
          <t>1989-05-01</t>
        </is>
      </c>
      <c r="B850" s="6" t="n">
        <v>10.46</v>
      </c>
      <c r="C850" s="8">
        <f>-PV(B850/100,$B$3,B849/100,1)</f>
        <v/>
      </c>
      <c r="D850" s="8">
        <f>B849/100/12+(C850-1)</f>
        <v/>
      </c>
      <c r="E850" s="8">
        <f>E849*(1+D850)</f>
        <v/>
      </c>
    </row>
    <row r="851">
      <c r="A851" s="8" t="inlineStr">
        <is>
          <t>1989-06-01</t>
        </is>
      </c>
      <c r="B851" s="6" t="n">
        <v>10.03</v>
      </c>
      <c r="C851" s="8">
        <f>-PV(B851/100,$B$3,B850/100,1)</f>
        <v/>
      </c>
      <c r="D851" s="8">
        <f>B850/100/12+(C851-1)</f>
        <v/>
      </c>
      <c r="E851" s="8">
        <f>E850*(1+D851)</f>
        <v/>
      </c>
    </row>
    <row r="852">
      <c r="A852" s="8" t="inlineStr">
        <is>
          <t>1989-07-01</t>
        </is>
      </c>
      <c r="B852" s="6" t="n">
        <v>9.869999999999999</v>
      </c>
      <c r="C852" s="8">
        <f>-PV(B852/100,$B$3,B851/100,1)</f>
        <v/>
      </c>
      <c r="D852" s="8">
        <f>B851/100/12+(C852-1)</f>
        <v/>
      </c>
      <c r="E852" s="8">
        <f>E851*(1+D852)</f>
        <v/>
      </c>
    </row>
    <row r="853">
      <c r="A853" s="8" t="inlineStr">
        <is>
          <t>1989-08-01</t>
        </is>
      </c>
      <c r="B853" s="6" t="n">
        <v>9.880000000000001</v>
      </c>
      <c r="C853" s="8">
        <f>-PV(B853/100,$B$3,B852/100,1)</f>
        <v/>
      </c>
      <c r="D853" s="8">
        <f>B852/100/12+(C853-1)</f>
        <v/>
      </c>
      <c r="E853" s="8">
        <f>E852*(1+D853)</f>
        <v/>
      </c>
    </row>
    <row r="854">
      <c r="A854" s="8" t="inlineStr">
        <is>
          <t>1989-09-01</t>
        </is>
      </c>
      <c r="B854" s="6" t="n">
        <v>9.91</v>
      </c>
      <c r="C854" s="8">
        <f>-PV(B854/100,$B$3,B853/100,1)</f>
        <v/>
      </c>
      <c r="D854" s="8">
        <f>B853/100/12+(C854-1)</f>
        <v/>
      </c>
      <c r="E854" s="8">
        <f>E853*(1+D854)</f>
        <v/>
      </c>
    </row>
    <row r="855">
      <c r="A855" s="8" t="inlineStr">
        <is>
          <t>1989-10-01</t>
        </is>
      </c>
      <c r="B855" s="6" t="n">
        <v>9.81</v>
      </c>
      <c r="C855" s="8">
        <f>-PV(B855/100,$B$3,B854/100,1)</f>
        <v/>
      </c>
      <c r="D855" s="8">
        <f>B854/100/12+(C855-1)</f>
        <v/>
      </c>
      <c r="E855" s="8">
        <f>E854*(1+D855)</f>
        <v/>
      </c>
    </row>
    <row r="856">
      <c r="A856" s="8" t="inlineStr">
        <is>
          <t>1989-11-01</t>
        </is>
      </c>
      <c r="B856" s="6" t="n">
        <v>9.81</v>
      </c>
      <c r="C856" s="8">
        <f>-PV(B856/100,$B$3,B855/100,1)</f>
        <v/>
      </c>
      <c r="D856" s="8">
        <f>B855/100/12+(C856-1)</f>
        <v/>
      </c>
      <c r="E856" s="8">
        <f>E855*(1+D856)</f>
        <v/>
      </c>
    </row>
    <row r="857">
      <c r="A857" s="8" t="inlineStr">
        <is>
          <t>1989-12-01</t>
        </is>
      </c>
      <c r="B857" s="6" t="n">
        <v>9.82</v>
      </c>
      <c r="C857" s="8">
        <f>-PV(B857/100,$B$3,B856/100,1)</f>
        <v/>
      </c>
      <c r="D857" s="8">
        <f>B856/100/12+(C857-1)</f>
        <v/>
      </c>
      <c r="E857" s="8">
        <f>E856*(1+D857)</f>
        <v/>
      </c>
    </row>
    <row r="858">
      <c r="A858" s="8" t="inlineStr">
        <is>
          <t>1990-01-01</t>
        </is>
      </c>
      <c r="B858" s="6" t="n">
        <v>9.94</v>
      </c>
      <c r="C858" s="8">
        <f>-PV(B858/100,$B$3,B857/100,1)</f>
        <v/>
      </c>
      <c r="D858" s="8">
        <f>B857/100/12+(C858-1)</f>
        <v/>
      </c>
      <c r="E858" s="8">
        <f>E857*(1+D858)</f>
        <v/>
      </c>
    </row>
    <row r="859">
      <c r="A859" s="8" t="inlineStr">
        <is>
          <t>1990-02-01</t>
        </is>
      </c>
      <c r="B859" s="6" t="n">
        <v>10.14</v>
      </c>
      <c r="C859" s="8">
        <f>-PV(B859/100,$B$3,B858/100,1)</f>
        <v/>
      </c>
      <c r="D859" s="8">
        <f>B858/100/12+(C859-1)</f>
        <v/>
      </c>
      <c r="E859" s="8">
        <f>E858*(1+D859)</f>
        <v/>
      </c>
    </row>
    <row r="860">
      <c r="A860" s="8" t="inlineStr">
        <is>
          <t>1990-03-01</t>
        </is>
      </c>
      <c r="B860" s="6" t="n">
        <v>10.21</v>
      </c>
      <c r="C860" s="8">
        <f>-PV(B860/100,$B$3,B859/100,1)</f>
        <v/>
      </c>
      <c r="D860" s="8">
        <f>B859/100/12+(C860-1)</f>
        <v/>
      </c>
      <c r="E860" s="8">
        <f>E859*(1+D860)</f>
        <v/>
      </c>
    </row>
    <row r="861">
      <c r="A861" s="8" t="inlineStr">
        <is>
          <t>1990-04-01</t>
        </is>
      </c>
      <c r="B861" s="6" t="n">
        <v>10.3</v>
      </c>
      <c r="C861" s="8">
        <f>-PV(B861/100,$B$3,B860/100,1)</f>
        <v/>
      </c>
      <c r="D861" s="8">
        <f>B860/100/12+(C861-1)</f>
        <v/>
      </c>
      <c r="E861" s="8">
        <f>E860*(1+D861)</f>
        <v/>
      </c>
    </row>
    <row r="862">
      <c r="A862" s="8" t="inlineStr">
        <is>
          <t>1990-05-01</t>
        </is>
      </c>
      <c r="B862" s="6" t="n">
        <v>10.41</v>
      </c>
      <c r="C862" s="8">
        <f>-PV(B862/100,$B$3,B861/100,1)</f>
        <v/>
      </c>
      <c r="D862" s="8">
        <f>B861/100/12+(C862-1)</f>
        <v/>
      </c>
      <c r="E862" s="8">
        <f>E861*(1+D862)</f>
        <v/>
      </c>
    </row>
    <row r="863">
      <c r="A863" s="8" t="inlineStr">
        <is>
          <t>1990-06-01</t>
        </is>
      </c>
      <c r="B863" s="6" t="n">
        <v>10.22</v>
      </c>
      <c r="C863" s="8">
        <f>-PV(B863/100,$B$3,B862/100,1)</f>
        <v/>
      </c>
      <c r="D863" s="8">
        <f>B862/100/12+(C863-1)</f>
        <v/>
      </c>
      <c r="E863" s="8">
        <f>E862*(1+D863)</f>
        <v/>
      </c>
    </row>
    <row r="864">
      <c r="A864" s="8" t="inlineStr">
        <is>
          <t>1990-07-01</t>
        </is>
      </c>
      <c r="B864" s="6" t="n">
        <v>10.2</v>
      </c>
      <c r="C864" s="8">
        <f>-PV(B864/100,$B$3,B863/100,1)</f>
        <v/>
      </c>
      <c r="D864" s="8">
        <f>B863/100/12+(C864-1)</f>
        <v/>
      </c>
      <c r="E864" s="8">
        <f>E863*(1+D864)</f>
        <v/>
      </c>
    </row>
    <row r="865">
      <c r="A865" s="8" t="inlineStr">
        <is>
          <t>1990-08-01</t>
        </is>
      </c>
      <c r="B865" s="6" t="n">
        <v>10.41</v>
      </c>
      <c r="C865" s="8">
        <f>-PV(B865/100,$B$3,B864/100,1)</f>
        <v/>
      </c>
      <c r="D865" s="8">
        <f>B864/100/12+(C865-1)</f>
        <v/>
      </c>
      <c r="E865" s="8">
        <f>E864*(1+D865)</f>
        <v/>
      </c>
    </row>
    <row r="866">
      <c r="A866" s="8" t="inlineStr">
        <is>
          <t>1990-09-01</t>
        </is>
      </c>
      <c r="B866" s="6" t="n">
        <v>10.64</v>
      </c>
      <c r="C866" s="8">
        <f>-PV(B866/100,$B$3,B865/100,1)</f>
        <v/>
      </c>
      <c r="D866" s="8">
        <f>B865/100/12+(C866-1)</f>
        <v/>
      </c>
      <c r="E866" s="8">
        <f>E865*(1+D866)</f>
        <v/>
      </c>
    </row>
    <row r="867">
      <c r="A867" s="8" t="inlineStr">
        <is>
          <t>1990-10-01</t>
        </is>
      </c>
      <c r="B867" s="6" t="n">
        <v>10.74</v>
      </c>
      <c r="C867" s="8">
        <f>-PV(B867/100,$B$3,B866/100,1)</f>
        <v/>
      </c>
      <c r="D867" s="8">
        <f>B866/100/12+(C867-1)</f>
        <v/>
      </c>
      <c r="E867" s="8">
        <f>E866*(1+D867)</f>
        <v/>
      </c>
    </row>
    <row r="868">
      <c r="A868" s="8" t="inlineStr">
        <is>
          <t>1990-11-01</t>
        </is>
      </c>
      <c r="B868" s="6" t="n">
        <v>10.62</v>
      </c>
      <c r="C868" s="8">
        <f>-PV(B868/100,$B$3,B867/100,1)</f>
        <v/>
      </c>
      <c r="D868" s="8">
        <f>B867/100/12+(C868-1)</f>
        <v/>
      </c>
      <c r="E868" s="8">
        <f>E867*(1+D868)</f>
        <v/>
      </c>
    </row>
    <row r="869">
      <c r="A869" s="8" t="inlineStr">
        <is>
          <t>1990-12-01</t>
        </is>
      </c>
      <c r="B869" s="6" t="n">
        <v>10.43</v>
      </c>
      <c r="C869" s="8">
        <f>-PV(B869/100,$B$3,B868/100,1)</f>
        <v/>
      </c>
      <c r="D869" s="8">
        <f>B868/100/12+(C869-1)</f>
        <v/>
      </c>
      <c r="E869" s="8">
        <f>E868*(1+D869)</f>
        <v/>
      </c>
    </row>
    <row r="870">
      <c r="A870" s="8" t="inlineStr">
        <is>
          <t>1991-01-01</t>
        </is>
      </c>
      <c r="B870" s="6" t="n">
        <v>10.45</v>
      </c>
      <c r="C870" s="8">
        <f>-PV(B870/100,$B$3,B869/100,1)</f>
        <v/>
      </c>
      <c r="D870" s="8">
        <f>B869/100/12+(C870-1)</f>
        <v/>
      </c>
      <c r="E870" s="8">
        <f>E869*(1+D870)</f>
        <v/>
      </c>
    </row>
    <row r="871">
      <c r="A871" s="8" t="inlineStr">
        <is>
          <t>1991-02-01</t>
        </is>
      </c>
      <c r="B871" s="6" t="n">
        <v>10.07</v>
      </c>
      <c r="C871" s="8">
        <f>-PV(B871/100,$B$3,B870/100,1)</f>
        <v/>
      </c>
      <c r="D871" s="8">
        <f>B870/100/12+(C871-1)</f>
        <v/>
      </c>
      <c r="E871" s="8">
        <f>E870*(1+D871)</f>
        <v/>
      </c>
    </row>
    <row r="872">
      <c r="A872" s="8" t="inlineStr">
        <is>
          <t>1991-03-01</t>
        </is>
      </c>
      <c r="B872" s="6" t="n">
        <v>10.09</v>
      </c>
      <c r="C872" s="8">
        <f>-PV(B872/100,$B$3,B871/100,1)</f>
        <v/>
      </c>
      <c r="D872" s="8">
        <f>B871/100/12+(C872-1)</f>
        <v/>
      </c>
      <c r="E872" s="8">
        <f>E871*(1+D872)</f>
        <v/>
      </c>
    </row>
    <row r="873">
      <c r="A873" s="8" t="inlineStr">
        <is>
          <t>1991-04-01</t>
        </is>
      </c>
      <c r="B873" s="6" t="n">
        <v>9.94</v>
      </c>
      <c r="C873" s="8">
        <f>-PV(B873/100,$B$3,B872/100,1)</f>
        <v/>
      </c>
      <c r="D873" s="8">
        <f>B872/100/12+(C873-1)</f>
        <v/>
      </c>
      <c r="E873" s="8">
        <f>E872*(1+D873)</f>
        <v/>
      </c>
    </row>
    <row r="874">
      <c r="A874" s="8" t="inlineStr">
        <is>
          <t>1991-05-01</t>
        </is>
      </c>
      <c r="B874" s="6" t="n">
        <v>9.859999999999999</v>
      </c>
      <c r="C874" s="8">
        <f>-PV(B874/100,$B$3,B873/100,1)</f>
        <v/>
      </c>
      <c r="D874" s="8">
        <f>B873/100/12+(C874-1)</f>
        <v/>
      </c>
      <c r="E874" s="8">
        <f>E873*(1+D874)</f>
        <v/>
      </c>
    </row>
    <row r="875">
      <c r="A875" s="8" t="inlineStr">
        <is>
          <t>1991-06-01</t>
        </is>
      </c>
      <c r="B875" s="6" t="n">
        <v>9.960000000000001</v>
      </c>
      <c r="C875" s="8">
        <f>-PV(B875/100,$B$3,B874/100,1)</f>
        <v/>
      </c>
      <c r="D875" s="8">
        <f>B874/100/12+(C875-1)</f>
        <v/>
      </c>
      <c r="E875" s="8">
        <f>E874*(1+D875)</f>
        <v/>
      </c>
    </row>
    <row r="876">
      <c r="A876" s="8" t="inlineStr">
        <is>
          <t>1991-07-01</t>
        </is>
      </c>
      <c r="B876" s="6" t="n">
        <v>9.890000000000001</v>
      </c>
      <c r="C876" s="8">
        <f>-PV(B876/100,$B$3,B875/100,1)</f>
        <v/>
      </c>
      <c r="D876" s="8">
        <f>B875/100/12+(C876-1)</f>
        <v/>
      </c>
      <c r="E876" s="8">
        <f>E875*(1+D876)</f>
        <v/>
      </c>
    </row>
    <row r="877">
      <c r="A877" s="8" t="inlineStr">
        <is>
          <t>1991-08-01</t>
        </is>
      </c>
      <c r="B877" s="6" t="n">
        <v>9.65</v>
      </c>
      <c r="C877" s="8">
        <f>-PV(B877/100,$B$3,B876/100,1)</f>
        <v/>
      </c>
      <c r="D877" s="8">
        <f>B876/100/12+(C877-1)</f>
        <v/>
      </c>
      <c r="E877" s="8">
        <f>E876*(1+D877)</f>
        <v/>
      </c>
    </row>
    <row r="878">
      <c r="A878" s="8" t="inlineStr">
        <is>
          <t>1991-09-01</t>
        </is>
      </c>
      <c r="B878" s="6" t="n">
        <v>9.51</v>
      </c>
      <c r="C878" s="8">
        <f>-PV(B878/100,$B$3,B877/100,1)</f>
        <v/>
      </c>
      <c r="D878" s="8">
        <f>B877/100/12+(C878-1)</f>
        <v/>
      </c>
      <c r="E878" s="8">
        <f>E877*(1+D878)</f>
        <v/>
      </c>
    </row>
    <row r="879">
      <c r="A879" s="8" t="inlineStr">
        <is>
          <t>1991-10-01</t>
        </is>
      </c>
      <c r="B879" s="6" t="n">
        <v>9.49</v>
      </c>
      <c r="C879" s="8">
        <f>-PV(B879/100,$B$3,B878/100,1)</f>
        <v/>
      </c>
      <c r="D879" s="8">
        <f>B878/100/12+(C879-1)</f>
        <v/>
      </c>
      <c r="E879" s="8">
        <f>E878*(1+D879)</f>
        <v/>
      </c>
    </row>
    <row r="880">
      <c r="A880" s="8" t="inlineStr">
        <is>
          <t>1991-11-01</t>
        </is>
      </c>
      <c r="B880" s="6" t="n">
        <v>9.449999999999999</v>
      </c>
      <c r="C880" s="8">
        <f>-PV(B880/100,$B$3,B879/100,1)</f>
        <v/>
      </c>
      <c r="D880" s="8">
        <f>B879/100/12+(C880-1)</f>
        <v/>
      </c>
      <c r="E880" s="8">
        <f>E879*(1+D880)</f>
        <v/>
      </c>
    </row>
    <row r="881">
      <c r="A881" s="8" t="inlineStr">
        <is>
          <t>1991-12-01</t>
        </is>
      </c>
      <c r="B881" s="6" t="n">
        <v>9.26</v>
      </c>
      <c r="C881" s="8">
        <f>-PV(B881/100,$B$3,B880/100,1)</f>
        <v/>
      </c>
      <c r="D881" s="8">
        <f>B880/100/12+(C881-1)</f>
        <v/>
      </c>
      <c r="E881" s="8">
        <f>E880*(1+D881)</f>
        <v/>
      </c>
    </row>
    <row r="882">
      <c r="A882" s="8" t="inlineStr">
        <is>
          <t>1992-01-01</t>
        </is>
      </c>
      <c r="B882" s="6" t="n">
        <v>9.130000000000001</v>
      </c>
      <c r="C882" s="8">
        <f>-PV(B882/100,$B$3,B881/100,1)</f>
        <v/>
      </c>
      <c r="D882" s="8">
        <f>B881/100/12+(C882-1)</f>
        <v/>
      </c>
      <c r="E882" s="8">
        <f>E881*(1+D882)</f>
        <v/>
      </c>
    </row>
    <row r="883">
      <c r="A883" s="8" t="inlineStr">
        <is>
          <t>1992-02-01</t>
        </is>
      </c>
      <c r="B883" s="6" t="n">
        <v>9.23</v>
      </c>
      <c r="C883" s="8">
        <f>-PV(B883/100,$B$3,B882/100,1)</f>
        <v/>
      </c>
      <c r="D883" s="8">
        <f>B882/100/12+(C883-1)</f>
        <v/>
      </c>
      <c r="E883" s="8">
        <f>E882*(1+D883)</f>
        <v/>
      </c>
    </row>
    <row r="884">
      <c r="A884" s="8" t="inlineStr">
        <is>
          <t>1992-03-01</t>
        </is>
      </c>
      <c r="B884" s="6" t="n">
        <v>9.25</v>
      </c>
      <c r="C884" s="8">
        <f>-PV(B884/100,$B$3,B883/100,1)</f>
        <v/>
      </c>
      <c r="D884" s="8">
        <f>B883/100/12+(C884-1)</f>
        <v/>
      </c>
      <c r="E884" s="8">
        <f>E883*(1+D884)</f>
        <v/>
      </c>
    </row>
    <row r="885">
      <c r="A885" s="8" t="inlineStr">
        <is>
          <t>1992-04-01</t>
        </is>
      </c>
      <c r="B885" s="6" t="n">
        <v>9.210000000000001</v>
      </c>
      <c r="C885" s="8">
        <f>-PV(B885/100,$B$3,B884/100,1)</f>
        <v/>
      </c>
      <c r="D885" s="8">
        <f>B884/100/12+(C885-1)</f>
        <v/>
      </c>
      <c r="E885" s="8">
        <f>E884*(1+D885)</f>
        <v/>
      </c>
    </row>
    <row r="886">
      <c r="A886" s="8" t="inlineStr">
        <is>
          <t>1992-05-01</t>
        </is>
      </c>
      <c r="B886" s="6" t="n">
        <v>9.130000000000001</v>
      </c>
      <c r="C886" s="8">
        <f>-PV(B886/100,$B$3,B885/100,1)</f>
        <v/>
      </c>
      <c r="D886" s="8">
        <f>B885/100/12+(C886-1)</f>
        <v/>
      </c>
      <c r="E886" s="8">
        <f>E885*(1+D886)</f>
        <v/>
      </c>
    </row>
    <row r="887">
      <c r="A887" s="8" t="inlineStr">
        <is>
          <t>1992-06-01</t>
        </is>
      </c>
      <c r="B887" s="6" t="n">
        <v>9.050000000000001</v>
      </c>
      <c r="C887" s="8">
        <f>-PV(B887/100,$B$3,B886/100,1)</f>
        <v/>
      </c>
      <c r="D887" s="8">
        <f>B886/100/12+(C887-1)</f>
        <v/>
      </c>
      <c r="E887" s="8">
        <f>E886*(1+D887)</f>
        <v/>
      </c>
    </row>
    <row r="888">
      <c r="A888" s="8" t="inlineStr">
        <is>
          <t>1992-07-01</t>
        </is>
      </c>
      <c r="B888" s="6" t="n">
        <v>8.84</v>
      </c>
      <c r="C888" s="8">
        <f>-PV(B888/100,$B$3,B887/100,1)</f>
        <v/>
      </c>
      <c r="D888" s="8">
        <f>B887/100/12+(C888-1)</f>
        <v/>
      </c>
      <c r="E888" s="8">
        <f>E887*(1+D888)</f>
        <v/>
      </c>
    </row>
    <row r="889">
      <c r="A889" s="8" t="inlineStr">
        <is>
          <t>1992-08-01</t>
        </is>
      </c>
      <c r="B889" s="6" t="n">
        <v>8.65</v>
      </c>
      <c r="C889" s="8">
        <f>-PV(B889/100,$B$3,B888/100,1)</f>
        <v/>
      </c>
      <c r="D889" s="8">
        <f>B888/100/12+(C889-1)</f>
        <v/>
      </c>
      <c r="E889" s="8">
        <f>E888*(1+D889)</f>
        <v/>
      </c>
    </row>
    <row r="890">
      <c r="A890" s="8" t="inlineStr">
        <is>
          <t>1992-09-01</t>
        </is>
      </c>
      <c r="B890" s="6" t="n">
        <v>8.619999999999999</v>
      </c>
      <c r="C890" s="8">
        <f>-PV(B890/100,$B$3,B889/100,1)</f>
        <v/>
      </c>
      <c r="D890" s="8">
        <f>B889/100/12+(C890-1)</f>
        <v/>
      </c>
      <c r="E890" s="8">
        <f>E889*(1+D890)</f>
        <v/>
      </c>
    </row>
    <row r="891">
      <c r="A891" s="8" t="inlineStr">
        <is>
          <t>1992-10-01</t>
        </is>
      </c>
      <c r="B891" s="6" t="n">
        <v>8.84</v>
      </c>
      <c r="C891" s="8">
        <f>-PV(B891/100,$B$3,B890/100,1)</f>
        <v/>
      </c>
      <c r="D891" s="8">
        <f>B890/100/12+(C891-1)</f>
        <v/>
      </c>
      <c r="E891" s="8">
        <f>E890*(1+D891)</f>
        <v/>
      </c>
    </row>
    <row r="892">
      <c r="A892" s="8" t="inlineStr">
        <is>
          <t>1992-11-01</t>
        </is>
      </c>
      <c r="B892" s="6" t="n">
        <v>8.960000000000001</v>
      </c>
      <c r="C892" s="8">
        <f>-PV(B892/100,$B$3,B891/100,1)</f>
        <v/>
      </c>
      <c r="D892" s="8">
        <f>B891/100/12+(C892-1)</f>
        <v/>
      </c>
      <c r="E892" s="8">
        <f>E891*(1+D892)</f>
        <v/>
      </c>
    </row>
    <row r="893">
      <c r="A893" s="8" t="inlineStr">
        <is>
          <t>1992-12-01</t>
        </is>
      </c>
      <c r="B893" s="6" t="n">
        <v>8.81</v>
      </c>
      <c r="C893" s="8">
        <f>-PV(B893/100,$B$3,B892/100,1)</f>
        <v/>
      </c>
      <c r="D893" s="8">
        <f>B892/100/12+(C893-1)</f>
        <v/>
      </c>
      <c r="E893" s="8">
        <f>E892*(1+D893)</f>
        <v/>
      </c>
    </row>
    <row r="894">
      <c r="A894" s="8" t="inlineStr">
        <is>
          <t>1993-01-01</t>
        </is>
      </c>
      <c r="B894" s="6" t="n">
        <v>8.67</v>
      </c>
      <c r="C894" s="8">
        <f>-PV(B894/100,$B$3,B893/100,1)</f>
        <v/>
      </c>
      <c r="D894" s="8">
        <f>B893/100/12+(C894-1)</f>
        <v/>
      </c>
      <c r="E894" s="8">
        <f>E893*(1+D894)</f>
        <v/>
      </c>
    </row>
    <row r="895">
      <c r="A895" s="8" t="inlineStr">
        <is>
          <t>1993-02-01</t>
        </is>
      </c>
      <c r="B895" s="6" t="n">
        <v>8.390000000000001</v>
      </c>
      <c r="C895" s="8">
        <f>-PV(B895/100,$B$3,B894/100,1)</f>
        <v/>
      </c>
      <c r="D895" s="8">
        <f>B894/100/12+(C895-1)</f>
        <v/>
      </c>
      <c r="E895" s="8">
        <f>E894*(1+D895)</f>
        <v/>
      </c>
    </row>
    <row r="896">
      <c r="A896" s="8" t="inlineStr">
        <is>
          <t>1993-03-01</t>
        </is>
      </c>
      <c r="B896" s="6" t="n">
        <v>8.15</v>
      </c>
      <c r="C896" s="8">
        <f>-PV(B896/100,$B$3,B895/100,1)</f>
        <v/>
      </c>
      <c r="D896" s="8">
        <f>B895/100/12+(C896-1)</f>
        <v/>
      </c>
      <c r="E896" s="8">
        <f>E895*(1+D896)</f>
        <v/>
      </c>
    </row>
    <row r="897">
      <c r="A897" s="8" t="inlineStr">
        <is>
          <t>1993-04-01</t>
        </is>
      </c>
      <c r="B897" s="6" t="n">
        <v>8.140000000000001</v>
      </c>
      <c r="C897" s="8">
        <f>-PV(B897/100,$B$3,B896/100,1)</f>
        <v/>
      </c>
      <c r="D897" s="8">
        <f>B896/100/12+(C897-1)</f>
        <v/>
      </c>
      <c r="E897" s="8">
        <f>E896*(1+D897)</f>
        <v/>
      </c>
    </row>
    <row r="898">
      <c r="A898" s="8" t="inlineStr">
        <is>
          <t>1993-05-01</t>
        </is>
      </c>
      <c r="B898" s="6" t="n">
        <v>8.210000000000001</v>
      </c>
      <c r="C898" s="8">
        <f>-PV(B898/100,$B$3,B897/100,1)</f>
        <v/>
      </c>
      <c r="D898" s="8">
        <f>B897/100/12+(C898-1)</f>
        <v/>
      </c>
      <c r="E898" s="8">
        <f>E897*(1+D898)</f>
        <v/>
      </c>
    </row>
    <row r="899">
      <c r="A899" s="8" t="inlineStr">
        <is>
          <t>1993-06-01</t>
        </is>
      </c>
      <c r="B899" s="6" t="n">
        <v>8.07</v>
      </c>
      <c r="C899" s="8">
        <f>-PV(B899/100,$B$3,B898/100,1)</f>
        <v/>
      </c>
      <c r="D899" s="8">
        <f>B898/100/12+(C899-1)</f>
        <v/>
      </c>
      <c r="E899" s="8">
        <f>E898*(1+D899)</f>
        <v/>
      </c>
    </row>
    <row r="900">
      <c r="A900" s="8" t="inlineStr">
        <is>
          <t>1993-07-01</t>
        </is>
      </c>
      <c r="B900" s="6" t="n">
        <v>7.93</v>
      </c>
      <c r="C900" s="8">
        <f>-PV(B900/100,$B$3,B899/100,1)</f>
        <v/>
      </c>
      <c r="D900" s="8">
        <f>B899/100/12+(C900-1)</f>
        <v/>
      </c>
      <c r="E900" s="8">
        <f>E899*(1+D900)</f>
        <v/>
      </c>
    </row>
    <row r="901">
      <c r="A901" s="8" t="inlineStr">
        <is>
          <t>1993-08-01</t>
        </is>
      </c>
      <c r="B901" s="6" t="n">
        <v>7.6</v>
      </c>
      <c r="C901" s="8">
        <f>-PV(B901/100,$B$3,B900/100,1)</f>
        <v/>
      </c>
      <c r="D901" s="8">
        <f>B900/100/12+(C901-1)</f>
        <v/>
      </c>
      <c r="E901" s="8">
        <f>E900*(1+D901)</f>
        <v/>
      </c>
    </row>
    <row r="902">
      <c r="A902" s="8" t="inlineStr">
        <is>
          <t>1993-09-01</t>
        </is>
      </c>
      <c r="B902" s="6" t="n">
        <v>7.34</v>
      </c>
      <c r="C902" s="8">
        <f>-PV(B902/100,$B$3,B901/100,1)</f>
        <v/>
      </c>
      <c r="D902" s="8">
        <f>B901/100/12+(C902-1)</f>
        <v/>
      </c>
      <c r="E902" s="8">
        <f>E901*(1+D902)</f>
        <v/>
      </c>
    </row>
    <row r="903">
      <c r="A903" s="8" t="inlineStr">
        <is>
          <t>1993-10-01</t>
        </is>
      </c>
      <c r="B903" s="6" t="n">
        <v>7.31</v>
      </c>
      <c r="C903" s="8">
        <f>-PV(B903/100,$B$3,B902/100,1)</f>
        <v/>
      </c>
      <c r="D903" s="8">
        <f>B902/100/12+(C903-1)</f>
        <v/>
      </c>
      <c r="E903" s="8">
        <f>E902*(1+D903)</f>
        <v/>
      </c>
    </row>
    <row r="904">
      <c r="A904" s="8" t="inlineStr">
        <is>
          <t>1993-11-01</t>
        </is>
      </c>
      <c r="B904" s="6" t="n">
        <v>7.66</v>
      </c>
      <c r="C904" s="8">
        <f>-PV(B904/100,$B$3,B903/100,1)</f>
        <v/>
      </c>
      <c r="D904" s="8">
        <f>B903/100/12+(C904-1)</f>
        <v/>
      </c>
      <c r="E904" s="8">
        <f>E903*(1+D904)</f>
        <v/>
      </c>
    </row>
    <row r="905">
      <c r="A905" s="8" t="inlineStr">
        <is>
          <t>1993-12-01</t>
        </is>
      </c>
      <c r="B905" s="6" t="n">
        <v>7.69</v>
      </c>
      <c r="C905" s="8">
        <f>-PV(B905/100,$B$3,B904/100,1)</f>
        <v/>
      </c>
      <c r="D905" s="8">
        <f>B904/100/12+(C905-1)</f>
        <v/>
      </c>
      <c r="E905" s="8">
        <f>E904*(1+D905)</f>
        <v/>
      </c>
    </row>
    <row r="906">
      <c r="A906" s="8" t="inlineStr">
        <is>
          <t>1994-01-01</t>
        </is>
      </c>
      <c r="B906" s="6" t="n">
        <v>7.65</v>
      </c>
      <c r="C906" s="8">
        <f>-PV(B906/100,$B$3,B905/100,1)</f>
        <v/>
      </c>
      <c r="D906" s="8">
        <f>B905/100/12+(C906-1)</f>
        <v/>
      </c>
      <c r="E906" s="8">
        <f>E905*(1+D906)</f>
        <v/>
      </c>
    </row>
    <row r="907">
      <c r="A907" s="8" t="inlineStr">
        <is>
          <t>1994-02-01</t>
        </is>
      </c>
      <c r="B907" s="6" t="n">
        <v>7.76</v>
      </c>
      <c r="C907" s="8">
        <f>-PV(B907/100,$B$3,B906/100,1)</f>
        <v/>
      </c>
      <c r="D907" s="8">
        <f>B906/100/12+(C907-1)</f>
        <v/>
      </c>
      <c r="E907" s="8">
        <f>E906*(1+D907)</f>
        <v/>
      </c>
    </row>
    <row r="908">
      <c r="A908" s="8" t="inlineStr">
        <is>
          <t>1994-03-01</t>
        </is>
      </c>
      <c r="B908" s="6" t="n">
        <v>8.130000000000001</v>
      </c>
      <c r="C908" s="8">
        <f>-PV(B908/100,$B$3,B907/100,1)</f>
        <v/>
      </c>
      <c r="D908" s="8">
        <f>B907/100/12+(C908-1)</f>
        <v/>
      </c>
      <c r="E908" s="8">
        <f>E907*(1+D908)</f>
        <v/>
      </c>
    </row>
    <row r="909">
      <c r="A909" s="8" t="inlineStr">
        <is>
          <t>1994-04-01</t>
        </is>
      </c>
      <c r="B909" s="6" t="n">
        <v>8.52</v>
      </c>
      <c r="C909" s="8">
        <f>-PV(B909/100,$B$3,B908/100,1)</f>
        <v/>
      </c>
      <c r="D909" s="8">
        <f>B908/100/12+(C909-1)</f>
        <v/>
      </c>
      <c r="E909" s="8">
        <f>E908*(1+D909)</f>
        <v/>
      </c>
    </row>
    <row r="910">
      <c r="A910" s="8" t="inlineStr">
        <is>
          <t>1994-05-01</t>
        </is>
      </c>
      <c r="B910" s="6" t="n">
        <v>8.619999999999999</v>
      </c>
      <c r="C910" s="8">
        <f>-PV(B910/100,$B$3,B909/100,1)</f>
        <v/>
      </c>
      <c r="D910" s="8">
        <f>B909/100/12+(C910-1)</f>
        <v/>
      </c>
      <c r="E910" s="8">
        <f>E909*(1+D910)</f>
        <v/>
      </c>
    </row>
    <row r="911">
      <c r="A911" s="8" t="inlineStr">
        <is>
          <t>1994-06-01</t>
        </is>
      </c>
      <c r="B911" s="6" t="n">
        <v>8.65</v>
      </c>
      <c r="C911" s="8">
        <f>-PV(B911/100,$B$3,B910/100,1)</f>
        <v/>
      </c>
      <c r="D911" s="8">
        <f>B910/100/12+(C911-1)</f>
        <v/>
      </c>
      <c r="E911" s="8">
        <f>E910*(1+D911)</f>
        <v/>
      </c>
    </row>
    <row r="912">
      <c r="A912" s="8" t="inlineStr">
        <is>
          <t>1994-07-01</t>
        </is>
      </c>
      <c r="B912" s="6" t="n">
        <v>8.800000000000001</v>
      </c>
      <c r="C912" s="8">
        <f>-PV(B912/100,$B$3,B911/100,1)</f>
        <v/>
      </c>
      <c r="D912" s="8">
        <f>B911/100/12+(C912-1)</f>
        <v/>
      </c>
      <c r="E912" s="8">
        <f>E911*(1+D912)</f>
        <v/>
      </c>
    </row>
    <row r="913">
      <c r="A913" s="8" t="inlineStr">
        <is>
          <t>1994-08-01</t>
        </is>
      </c>
      <c r="B913" s="6" t="n">
        <v>8.74</v>
      </c>
      <c r="C913" s="8">
        <f>-PV(B913/100,$B$3,B912/100,1)</f>
        <v/>
      </c>
      <c r="D913" s="8">
        <f>B912/100/12+(C913-1)</f>
        <v/>
      </c>
      <c r="E913" s="8">
        <f>E912*(1+D913)</f>
        <v/>
      </c>
    </row>
    <row r="914">
      <c r="A914" s="8" t="inlineStr">
        <is>
          <t>1994-09-01</t>
        </is>
      </c>
      <c r="B914" s="6" t="n">
        <v>8.98</v>
      </c>
      <c r="C914" s="8">
        <f>-PV(B914/100,$B$3,B913/100,1)</f>
        <v/>
      </c>
      <c r="D914" s="8">
        <f>B913/100/12+(C914-1)</f>
        <v/>
      </c>
      <c r="E914" s="8">
        <f>E913*(1+D914)</f>
        <v/>
      </c>
    </row>
    <row r="915">
      <c r="A915" s="8" t="inlineStr">
        <is>
          <t>1994-10-01</t>
        </is>
      </c>
      <c r="B915" s="6" t="n">
        <v>9.199999999999999</v>
      </c>
      <c r="C915" s="8">
        <f>-PV(B915/100,$B$3,B914/100,1)</f>
        <v/>
      </c>
      <c r="D915" s="8">
        <f>B914/100/12+(C915-1)</f>
        <v/>
      </c>
      <c r="E915" s="8">
        <f>E914*(1+D915)</f>
        <v/>
      </c>
    </row>
    <row r="916">
      <c r="A916" s="8" t="inlineStr">
        <is>
          <t>1994-11-01</t>
        </is>
      </c>
      <c r="B916" s="6" t="n">
        <v>9.32</v>
      </c>
      <c r="C916" s="8">
        <f>-PV(B916/100,$B$3,B915/100,1)</f>
        <v/>
      </c>
      <c r="D916" s="8">
        <f>B915/100/12+(C916-1)</f>
        <v/>
      </c>
      <c r="E916" s="8">
        <f>E915*(1+D916)</f>
        <v/>
      </c>
    </row>
    <row r="917">
      <c r="A917" s="8" t="inlineStr">
        <is>
          <t>1994-12-01</t>
        </is>
      </c>
      <c r="B917" s="6" t="n">
        <v>9.1</v>
      </c>
      <c r="C917" s="8">
        <f>-PV(B917/100,$B$3,B916/100,1)</f>
        <v/>
      </c>
      <c r="D917" s="8">
        <f>B916/100/12+(C917-1)</f>
        <v/>
      </c>
      <c r="E917" s="8">
        <f>E916*(1+D917)</f>
        <v/>
      </c>
    </row>
    <row r="918">
      <c r="A918" s="8" t="inlineStr">
        <is>
          <t>1995-01-01</t>
        </is>
      </c>
      <c r="B918" s="6" t="n">
        <v>9.08</v>
      </c>
      <c r="C918" s="8">
        <f>-PV(B918/100,$B$3,B917/100,1)</f>
        <v/>
      </c>
      <c r="D918" s="8">
        <f>B917/100/12+(C918-1)</f>
        <v/>
      </c>
      <c r="E918" s="8">
        <f>E917*(1+D918)</f>
        <v/>
      </c>
    </row>
    <row r="919">
      <c r="A919" s="8" t="inlineStr">
        <is>
          <t>1995-02-01</t>
        </is>
      </c>
      <c r="B919" s="6" t="n">
        <v>8.85</v>
      </c>
      <c r="C919" s="8">
        <f>-PV(B919/100,$B$3,B918/100,1)</f>
        <v/>
      </c>
      <c r="D919" s="8">
        <f>B918/100/12+(C919-1)</f>
        <v/>
      </c>
      <c r="E919" s="8">
        <f>E918*(1+D919)</f>
        <v/>
      </c>
    </row>
    <row r="920">
      <c r="A920" s="8" t="inlineStr">
        <is>
          <t>1995-03-01</t>
        </is>
      </c>
      <c r="B920" s="6" t="n">
        <v>8.699999999999999</v>
      </c>
      <c r="C920" s="8">
        <f>-PV(B920/100,$B$3,B919/100,1)</f>
        <v/>
      </c>
      <c r="D920" s="8">
        <f>B919/100/12+(C920-1)</f>
        <v/>
      </c>
      <c r="E920" s="8">
        <f>E919*(1+D920)</f>
        <v/>
      </c>
    </row>
    <row r="921">
      <c r="A921" s="8" t="inlineStr">
        <is>
          <t>1995-04-01</t>
        </is>
      </c>
      <c r="B921" s="6" t="n">
        <v>8.6</v>
      </c>
      <c r="C921" s="8">
        <f>-PV(B921/100,$B$3,B920/100,1)</f>
        <v/>
      </c>
      <c r="D921" s="8">
        <f>B920/100/12+(C921-1)</f>
        <v/>
      </c>
      <c r="E921" s="8">
        <f>E920*(1+D921)</f>
        <v/>
      </c>
    </row>
    <row r="922">
      <c r="A922" s="8" t="inlineStr">
        <is>
          <t>1995-05-01</t>
        </is>
      </c>
      <c r="B922" s="6" t="n">
        <v>8.199999999999999</v>
      </c>
      <c r="C922" s="8">
        <f>-PV(B922/100,$B$3,B921/100,1)</f>
        <v/>
      </c>
      <c r="D922" s="8">
        <f>B921/100/12+(C922-1)</f>
        <v/>
      </c>
      <c r="E922" s="8">
        <f>E921*(1+D922)</f>
        <v/>
      </c>
    </row>
    <row r="923">
      <c r="A923" s="8" t="inlineStr">
        <is>
          <t>1995-06-01</t>
        </is>
      </c>
      <c r="B923" s="6" t="n">
        <v>7.9</v>
      </c>
      <c r="C923" s="8">
        <f>-PV(B923/100,$B$3,B922/100,1)</f>
        <v/>
      </c>
      <c r="D923" s="8">
        <f>B922/100/12+(C923-1)</f>
        <v/>
      </c>
      <c r="E923" s="8">
        <f>E922*(1+D923)</f>
        <v/>
      </c>
    </row>
    <row r="924">
      <c r="A924" s="8" t="inlineStr">
        <is>
          <t>1995-07-01</t>
        </is>
      </c>
      <c r="B924" s="6" t="n">
        <v>8.039999999999999</v>
      </c>
      <c r="C924" s="8">
        <f>-PV(B924/100,$B$3,B923/100,1)</f>
        <v/>
      </c>
      <c r="D924" s="8">
        <f>B923/100/12+(C924-1)</f>
        <v/>
      </c>
      <c r="E924" s="8">
        <f>E923*(1+D924)</f>
        <v/>
      </c>
    </row>
    <row r="925">
      <c r="A925" s="8" t="inlineStr">
        <is>
          <t>1995-08-01</t>
        </is>
      </c>
      <c r="B925" s="6" t="n">
        <v>8.19</v>
      </c>
      <c r="C925" s="8">
        <f>-PV(B925/100,$B$3,B924/100,1)</f>
        <v/>
      </c>
      <c r="D925" s="8">
        <f>B924/100/12+(C925-1)</f>
        <v/>
      </c>
      <c r="E925" s="8">
        <f>E924*(1+D925)</f>
        <v/>
      </c>
    </row>
    <row r="926">
      <c r="A926" s="8" t="inlineStr">
        <is>
          <t>1995-09-01</t>
        </is>
      </c>
      <c r="B926" s="6" t="n">
        <v>7.93</v>
      </c>
      <c r="C926" s="8">
        <f>-PV(B926/100,$B$3,B925/100,1)</f>
        <v/>
      </c>
      <c r="D926" s="8">
        <f>B925/100/12+(C926-1)</f>
        <v/>
      </c>
      <c r="E926" s="8">
        <f>E925*(1+D926)</f>
        <v/>
      </c>
    </row>
    <row r="927">
      <c r="A927" s="8" t="inlineStr">
        <is>
          <t>1995-10-01</t>
        </is>
      </c>
      <c r="B927" s="6" t="n">
        <v>7.75</v>
      </c>
      <c r="C927" s="8">
        <f>-PV(B927/100,$B$3,B926/100,1)</f>
        <v/>
      </c>
      <c r="D927" s="8">
        <f>B926/100/12+(C927-1)</f>
        <v/>
      </c>
      <c r="E927" s="8">
        <f>E926*(1+D927)</f>
        <v/>
      </c>
    </row>
    <row r="928">
      <c r="A928" s="8" t="inlineStr">
        <is>
          <t>1995-11-01</t>
        </is>
      </c>
      <c r="B928" s="6" t="n">
        <v>7.68</v>
      </c>
      <c r="C928" s="8">
        <f>-PV(B928/100,$B$3,B927/100,1)</f>
        <v/>
      </c>
      <c r="D928" s="8">
        <f>B927/100/12+(C928-1)</f>
        <v/>
      </c>
      <c r="E928" s="8">
        <f>E927*(1+D928)</f>
        <v/>
      </c>
    </row>
    <row r="929">
      <c r="A929" s="8" t="inlineStr">
        <is>
          <t>1995-12-01</t>
        </is>
      </c>
      <c r="B929" s="6" t="n">
        <v>7.49</v>
      </c>
      <c r="C929" s="8">
        <f>-PV(B929/100,$B$3,B928/100,1)</f>
        <v/>
      </c>
      <c r="D929" s="8">
        <f>B928/100/12+(C929-1)</f>
        <v/>
      </c>
      <c r="E929" s="8">
        <f>E928*(1+D929)</f>
        <v/>
      </c>
    </row>
    <row r="930">
      <c r="A930" s="8" t="inlineStr">
        <is>
          <t>1996-01-01</t>
        </is>
      </c>
      <c r="B930" s="6" t="n">
        <v>7.47</v>
      </c>
      <c r="C930" s="8">
        <f>-PV(B930/100,$B$3,B929/100,1)</f>
        <v/>
      </c>
      <c r="D930" s="8">
        <f>B929/100/12+(C930-1)</f>
        <v/>
      </c>
      <c r="E930" s="8">
        <f>E929*(1+D930)</f>
        <v/>
      </c>
    </row>
    <row r="931">
      <c r="A931" s="8" t="inlineStr">
        <is>
          <t>1996-02-01</t>
        </is>
      </c>
      <c r="B931" s="6" t="n">
        <v>7.63</v>
      </c>
      <c r="C931" s="8">
        <f>-PV(B931/100,$B$3,B930/100,1)</f>
        <v/>
      </c>
      <c r="D931" s="8">
        <f>B930/100/12+(C931-1)</f>
        <v/>
      </c>
      <c r="E931" s="8">
        <f>E930*(1+D931)</f>
        <v/>
      </c>
    </row>
    <row r="932">
      <c r="A932" s="8" t="inlineStr">
        <is>
          <t>1996-03-01</t>
        </is>
      </c>
      <c r="B932" s="6" t="n">
        <v>8.029999999999999</v>
      </c>
      <c r="C932" s="8">
        <f>-PV(B932/100,$B$3,B931/100,1)</f>
        <v/>
      </c>
      <c r="D932" s="8">
        <f>B931/100/12+(C932-1)</f>
        <v/>
      </c>
      <c r="E932" s="8">
        <f>E931*(1+D932)</f>
        <v/>
      </c>
    </row>
    <row r="933">
      <c r="A933" s="8" t="inlineStr">
        <is>
          <t>1996-04-01</t>
        </is>
      </c>
      <c r="B933" s="6" t="n">
        <v>8.19</v>
      </c>
      <c r="C933" s="8">
        <f>-PV(B933/100,$B$3,B932/100,1)</f>
        <v/>
      </c>
      <c r="D933" s="8">
        <f>B932/100/12+(C933-1)</f>
        <v/>
      </c>
      <c r="E933" s="8">
        <f>E932*(1+D933)</f>
        <v/>
      </c>
    </row>
    <row r="934">
      <c r="A934" s="8" t="inlineStr">
        <is>
          <t>1996-05-01</t>
        </is>
      </c>
      <c r="B934" s="6" t="n">
        <v>8.300000000000001</v>
      </c>
      <c r="C934" s="8">
        <f>-PV(B934/100,$B$3,B933/100,1)</f>
        <v/>
      </c>
      <c r="D934" s="8">
        <f>B933/100/12+(C934-1)</f>
        <v/>
      </c>
      <c r="E934" s="8">
        <f>E933*(1+D934)</f>
        <v/>
      </c>
    </row>
    <row r="935">
      <c r="A935" s="8" t="inlineStr">
        <is>
          <t>1996-06-01</t>
        </is>
      </c>
      <c r="B935" s="6" t="n">
        <v>8.4</v>
      </c>
      <c r="C935" s="8">
        <f>-PV(B935/100,$B$3,B934/100,1)</f>
        <v/>
      </c>
      <c r="D935" s="8">
        <f>B934/100/12+(C935-1)</f>
        <v/>
      </c>
      <c r="E935" s="8">
        <f>E934*(1+D935)</f>
        <v/>
      </c>
    </row>
    <row r="936">
      <c r="A936" s="8" t="inlineStr">
        <is>
          <t>1996-07-01</t>
        </is>
      </c>
      <c r="B936" s="6" t="n">
        <v>8.35</v>
      </c>
      <c r="C936" s="8">
        <f>-PV(B936/100,$B$3,B935/100,1)</f>
        <v/>
      </c>
      <c r="D936" s="8">
        <f>B935/100/12+(C936-1)</f>
        <v/>
      </c>
      <c r="E936" s="8">
        <f>E935*(1+D936)</f>
        <v/>
      </c>
    </row>
    <row r="937">
      <c r="A937" s="8" t="inlineStr">
        <is>
          <t>1996-08-01</t>
        </is>
      </c>
      <c r="B937" s="6" t="n">
        <v>8.18</v>
      </c>
      <c r="C937" s="8">
        <f>-PV(B937/100,$B$3,B936/100,1)</f>
        <v/>
      </c>
      <c r="D937" s="8">
        <f>B936/100/12+(C937-1)</f>
        <v/>
      </c>
      <c r="E937" s="8">
        <f>E936*(1+D937)</f>
        <v/>
      </c>
    </row>
    <row r="938">
      <c r="A938" s="8" t="inlineStr">
        <is>
          <t>1996-09-01</t>
        </is>
      </c>
      <c r="B938" s="6" t="n">
        <v>8.35</v>
      </c>
      <c r="C938" s="8">
        <f>-PV(B938/100,$B$3,B937/100,1)</f>
        <v/>
      </c>
      <c r="D938" s="8">
        <f>B937/100/12+(C938-1)</f>
        <v/>
      </c>
      <c r="E938" s="8">
        <f>E937*(1+D938)</f>
        <v/>
      </c>
    </row>
    <row r="939">
      <c r="A939" s="8" t="inlineStr">
        <is>
          <t>1996-10-01</t>
        </is>
      </c>
      <c r="B939" s="6" t="n">
        <v>8.07</v>
      </c>
      <c r="C939" s="8">
        <f>-PV(B939/100,$B$3,B938/100,1)</f>
        <v/>
      </c>
      <c r="D939" s="8">
        <f>B938/100/12+(C939-1)</f>
        <v/>
      </c>
      <c r="E939" s="8">
        <f>E938*(1+D939)</f>
        <v/>
      </c>
    </row>
    <row r="940">
      <c r="A940" s="8" t="inlineStr">
        <is>
          <t>1996-11-01</t>
        </is>
      </c>
      <c r="B940" s="6" t="n">
        <v>7.79</v>
      </c>
      <c r="C940" s="8">
        <f>-PV(B940/100,$B$3,B939/100,1)</f>
        <v/>
      </c>
      <c r="D940" s="8">
        <f>B939/100/12+(C940-1)</f>
        <v/>
      </c>
      <c r="E940" s="8">
        <f>E939*(1+D940)</f>
        <v/>
      </c>
    </row>
    <row r="941">
      <c r="A941" s="8" t="inlineStr">
        <is>
          <t>1996-12-01</t>
        </is>
      </c>
      <c r="B941" s="6" t="n">
        <v>7.89</v>
      </c>
      <c r="C941" s="8">
        <f>-PV(B941/100,$B$3,B940/100,1)</f>
        <v/>
      </c>
      <c r="D941" s="8">
        <f>B940/100/12+(C941-1)</f>
        <v/>
      </c>
      <c r="E941" s="8">
        <f>E940*(1+D941)</f>
        <v/>
      </c>
    </row>
    <row r="942">
      <c r="A942" s="8" t="inlineStr">
        <is>
          <t>1997-01-01</t>
        </is>
      </c>
      <c r="B942" s="6" t="n">
        <v>8.09</v>
      </c>
      <c r="C942" s="8">
        <f>-PV(B942/100,$B$3,B941/100,1)</f>
        <v/>
      </c>
      <c r="D942" s="8">
        <f>B941/100/12+(C942-1)</f>
        <v/>
      </c>
      <c r="E942" s="8">
        <f>E941*(1+D942)</f>
        <v/>
      </c>
    </row>
    <row r="943">
      <c r="A943" s="8" t="inlineStr">
        <is>
          <t>1997-02-01</t>
        </is>
      </c>
      <c r="B943" s="6" t="n">
        <v>7.94</v>
      </c>
      <c r="C943" s="8">
        <f>-PV(B943/100,$B$3,B942/100,1)</f>
        <v/>
      </c>
      <c r="D943" s="8">
        <f>B942/100/12+(C943-1)</f>
        <v/>
      </c>
      <c r="E943" s="8">
        <f>E942*(1+D943)</f>
        <v/>
      </c>
    </row>
    <row r="944">
      <c r="A944" s="8" t="inlineStr">
        <is>
          <t>1997-03-01</t>
        </is>
      </c>
      <c r="B944" s="6" t="n">
        <v>8.18</v>
      </c>
      <c r="C944" s="8">
        <f>-PV(B944/100,$B$3,B943/100,1)</f>
        <v/>
      </c>
      <c r="D944" s="8">
        <f>B943/100/12+(C944-1)</f>
        <v/>
      </c>
      <c r="E944" s="8">
        <f>E943*(1+D944)</f>
        <v/>
      </c>
    </row>
    <row r="945">
      <c r="A945" s="8" t="inlineStr">
        <is>
          <t>1997-04-01</t>
        </is>
      </c>
      <c r="B945" s="6" t="n">
        <v>8.34</v>
      </c>
      <c r="C945" s="8">
        <f>-PV(B945/100,$B$3,B944/100,1)</f>
        <v/>
      </c>
      <c r="D945" s="8">
        <f>B944/100/12+(C945-1)</f>
        <v/>
      </c>
      <c r="E945" s="8">
        <f>E944*(1+D945)</f>
        <v/>
      </c>
    </row>
    <row r="946">
      <c r="A946" s="8" t="inlineStr">
        <is>
          <t>1997-05-01</t>
        </is>
      </c>
      <c r="B946" s="6" t="n">
        <v>8.199999999999999</v>
      </c>
      <c r="C946" s="8">
        <f>-PV(B946/100,$B$3,B945/100,1)</f>
        <v/>
      </c>
      <c r="D946" s="8">
        <f>B945/100/12+(C946-1)</f>
        <v/>
      </c>
      <c r="E946" s="8">
        <f>E945*(1+D946)</f>
        <v/>
      </c>
    </row>
    <row r="947">
      <c r="A947" s="8" t="inlineStr">
        <is>
          <t>1997-06-01</t>
        </is>
      </c>
      <c r="B947" s="6" t="n">
        <v>8.02</v>
      </c>
      <c r="C947" s="8">
        <f>-PV(B947/100,$B$3,B946/100,1)</f>
        <v/>
      </c>
      <c r="D947" s="8">
        <f>B946/100/12+(C947-1)</f>
        <v/>
      </c>
      <c r="E947" s="8">
        <f>E946*(1+D947)</f>
        <v/>
      </c>
    </row>
    <row r="948">
      <c r="A948" s="8" t="inlineStr">
        <is>
          <t>1997-07-01</t>
        </is>
      </c>
      <c r="B948" s="6" t="n">
        <v>7.75</v>
      </c>
      <c r="C948" s="8">
        <f>-PV(B948/100,$B$3,B947/100,1)</f>
        <v/>
      </c>
      <c r="D948" s="8">
        <f>B947/100/12+(C948-1)</f>
        <v/>
      </c>
      <c r="E948" s="8">
        <f>E947*(1+D948)</f>
        <v/>
      </c>
    </row>
    <row r="949">
      <c r="A949" s="8" t="inlineStr">
        <is>
          <t>1997-08-01</t>
        </is>
      </c>
      <c r="B949" s="6" t="n">
        <v>7.82</v>
      </c>
      <c r="C949" s="8">
        <f>-PV(B949/100,$B$3,B948/100,1)</f>
        <v/>
      </c>
      <c r="D949" s="8">
        <f>B948/100/12+(C949-1)</f>
        <v/>
      </c>
      <c r="E949" s="8">
        <f>E948*(1+D949)</f>
        <v/>
      </c>
    </row>
    <row r="950">
      <c r="A950" s="8" t="inlineStr">
        <is>
          <t>1997-09-01</t>
        </is>
      </c>
      <c r="B950" s="6" t="n">
        <v>7.7</v>
      </c>
      <c r="C950" s="8">
        <f>-PV(B950/100,$B$3,B949/100,1)</f>
        <v/>
      </c>
      <c r="D950" s="8">
        <f>B949/100/12+(C950-1)</f>
        <v/>
      </c>
      <c r="E950" s="8">
        <f>E949*(1+D950)</f>
        <v/>
      </c>
    </row>
    <row r="951">
      <c r="A951" s="8" t="inlineStr">
        <is>
          <t>1997-10-01</t>
        </is>
      </c>
      <c r="B951" s="6" t="n">
        <v>7.57</v>
      </c>
      <c r="C951" s="8">
        <f>-PV(B951/100,$B$3,B950/100,1)</f>
        <v/>
      </c>
      <c r="D951" s="8">
        <f>B950/100/12+(C951-1)</f>
        <v/>
      </c>
      <c r="E951" s="8">
        <f>E950*(1+D951)</f>
        <v/>
      </c>
    </row>
    <row r="952">
      <c r="A952" s="8" t="inlineStr">
        <is>
          <t>1997-11-01</t>
        </is>
      </c>
      <c r="B952" s="6" t="n">
        <v>7.42</v>
      </c>
      <c r="C952" s="8">
        <f>-PV(B952/100,$B$3,B951/100,1)</f>
        <v/>
      </c>
      <c r="D952" s="8">
        <f>B951/100/12+(C952-1)</f>
        <v/>
      </c>
      <c r="E952" s="8">
        <f>E951*(1+D952)</f>
        <v/>
      </c>
    </row>
    <row r="953">
      <c r="A953" s="8" t="inlineStr">
        <is>
          <t>1997-12-01</t>
        </is>
      </c>
      <c r="B953" s="6" t="n">
        <v>7.32</v>
      </c>
      <c r="C953" s="8">
        <f>-PV(B953/100,$B$3,B952/100,1)</f>
        <v/>
      </c>
      <c r="D953" s="8">
        <f>B952/100/12+(C953-1)</f>
        <v/>
      </c>
      <c r="E953" s="8">
        <f>E952*(1+D953)</f>
        <v/>
      </c>
    </row>
    <row r="954">
      <c r="A954" s="8" t="inlineStr">
        <is>
          <t>1998-01-01</t>
        </is>
      </c>
      <c r="B954" s="6" t="n">
        <v>7.19</v>
      </c>
      <c r="C954" s="8">
        <f>-PV(B954/100,$B$3,B953/100,1)</f>
        <v/>
      </c>
      <c r="D954" s="8">
        <f>B953/100/12+(C954-1)</f>
        <v/>
      </c>
      <c r="E954" s="8">
        <f>E953*(1+D954)</f>
        <v/>
      </c>
    </row>
    <row r="955">
      <c r="A955" s="8" t="inlineStr">
        <is>
          <t>1998-02-01</t>
        </is>
      </c>
      <c r="B955" s="6" t="n">
        <v>7.25</v>
      </c>
      <c r="C955" s="8">
        <f>-PV(B955/100,$B$3,B954/100,1)</f>
        <v/>
      </c>
      <c r="D955" s="8">
        <f>B954/100/12+(C955-1)</f>
        <v/>
      </c>
      <c r="E955" s="8">
        <f>E954*(1+D955)</f>
        <v/>
      </c>
    </row>
    <row r="956">
      <c r="A956" s="8" t="inlineStr">
        <is>
          <t>1998-03-01</t>
        </is>
      </c>
      <c r="B956" s="6" t="n">
        <v>7.32</v>
      </c>
      <c r="C956" s="8">
        <f>-PV(B956/100,$B$3,B955/100,1)</f>
        <v/>
      </c>
      <c r="D956" s="8">
        <f>B955/100/12+(C956-1)</f>
        <v/>
      </c>
      <c r="E956" s="8">
        <f>E955*(1+D956)</f>
        <v/>
      </c>
    </row>
    <row r="957">
      <c r="A957" s="8" t="inlineStr">
        <is>
          <t>1998-04-01</t>
        </is>
      </c>
      <c r="B957" s="6" t="n">
        <v>7.33</v>
      </c>
      <c r="C957" s="8">
        <f>-PV(B957/100,$B$3,B956/100,1)</f>
        <v/>
      </c>
      <c r="D957" s="8">
        <f>B956/100/12+(C957-1)</f>
        <v/>
      </c>
      <c r="E957" s="8">
        <f>E956*(1+D957)</f>
        <v/>
      </c>
    </row>
    <row r="958">
      <c r="A958" s="8" t="inlineStr">
        <is>
          <t>1998-05-01</t>
        </is>
      </c>
      <c r="B958" s="6" t="n">
        <v>7.3</v>
      </c>
      <c r="C958" s="8">
        <f>-PV(B958/100,$B$3,B957/100,1)</f>
        <v/>
      </c>
      <c r="D958" s="8">
        <f>B957/100/12+(C958-1)</f>
        <v/>
      </c>
      <c r="E958" s="8">
        <f>E957*(1+D958)</f>
        <v/>
      </c>
    </row>
    <row r="959">
      <c r="A959" s="8" t="inlineStr">
        <is>
          <t>1998-06-01</t>
        </is>
      </c>
      <c r="B959" s="6" t="n">
        <v>7.13</v>
      </c>
      <c r="C959" s="8">
        <f>-PV(B959/100,$B$3,B958/100,1)</f>
        <v/>
      </c>
      <c r="D959" s="8">
        <f>B958/100/12+(C959-1)</f>
        <v/>
      </c>
      <c r="E959" s="8">
        <f>E958*(1+D959)</f>
        <v/>
      </c>
    </row>
    <row r="960">
      <c r="A960" s="8" t="inlineStr">
        <is>
          <t>1998-07-01</t>
        </is>
      </c>
      <c r="B960" s="6" t="n">
        <v>7.15</v>
      </c>
      <c r="C960" s="8">
        <f>-PV(B960/100,$B$3,B959/100,1)</f>
        <v/>
      </c>
      <c r="D960" s="8">
        <f>B959/100/12+(C960-1)</f>
        <v/>
      </c>
      <c r="E960" s="8">
        <f>E959*(1+D960)</f>
        <v/>
      </c>
    </row>
    <row r="961">
      <c r="A961" s="8" t="inlineStr">
        <is>
          <t>1998-08-01</t>
        </is>
      </c>
      <c r="B961" s="6" t="n">
        <v>7.14</v>
      </c>
      <c r="C961" s="8">
        <f>-PV(B961/100,$B$3,B960/100,1)</f>
        <v/>
      </c>
      <c r="D961" s="8">
        <f>B960/100/12+(C961-1)</f>
        <v/>
      </c>
      <c r="E961" s="8">
        <f>E960*(1+D961)</f>
        <v/>
      </c>
    </row>
    <row r="962">
      <c r="A962" s="8" t="inlineStr">
        <is>
          <t>1998-09-01</t>
        </is>
      </c>
      <c r="B962" s="6" t="n">
        <v>7.09</v>
      </c>
      <c r="C962" s="8">
        <f>-PV(B962/100,$B$3,B961/100,1)</f>
        <v/>
      </c>
      <c r="D962" s="8">
        <f>B961/100/12+(C962-1)</f>
        <v/>
      </c>
      <c r="E962" s="8">
        <f>E961*(1+D962)</f>
        <v/>
      </c>
    </row>
    <row r="963">
      <c r="A963" s="8" t="inlineStr">
        <is>
          <t>1998-10-01</t>
        </is>
      </c>
      <c r="B963" s="6" t="n">
        <v>7.18</v>
      </c>
      <c r="C963" s="8">
        <f>-PV(B963/100,$B$3,B962/100,1)</f>
        <v/>
      </c>
      <c r="D963" s="8">
        <f>B962/100/12+(C963-1)</f>
        <v/>
      </c>
      <c r="E963" s="8">
        <f>E962*(1+D963)</f>
        <v/>
      </c>
    </row>
    <row r="964">
      <c r="A964" s="8" t="inlineStr">
        <is>
          <t>1998-11-01</t>
        </is>
      </c>
      <c r="B964" s="6" t="n">
        <v>7.34</v>
      </c>
      <c r="C964" s="8">
        <f>-PV(B964/100,$B$3,B963/100,1)</f>
        <v/>
      </c>
      <c r="D964" s="8">
        <f>B963/100/12+(C964-1)</f>
        <v/>
      </c>
      <c r="E964" s="8">
        <f>E963*(1+D964)</f>
        <v/>
      </c>
    </row>
    <row r="965">
      <c r="A965" s="8" t="inlineStr">
        <is>
          <t>1998-12-01</t>
        </is>
      </c>
      <c r="B965" s="6" t="n">
        <v>7.23</v>
      </c>
      <c r="C965" s="8">
        <f>-PV(B965/100,$B$3,B964/100,1)</f>
        <v/>
      </c>
      <c r="D965" s="8">
        <f>B964/100/12+(C965-1)</f>
        <v/>
      </c>
      <c r="E965" s="8">
        <f>E964*(1+D965)</f>
        <v/>
      </c>
    </row>
    <row r="966">
      <c r="A966" s="8" t="inlineStr">
        <is>
          <t>1999-01-01</t>
        </is>
      </c>
      <c r="B966" s="6" t="n">
        <v>7.29</v>
      </c>
      <c r="C966" s="8">
        <f>-PV(B966/100,$B$3,B965/100,1)</f>
        <v/>
      </c>
      <c r="D966" s="8">
        <f>B965/100/12+(C966-1)</f>
        <v/>
      </c>
      <c r="E966" s="8">
        <f>E965*(1+D966)</f>
        <v/>
      </c>
    </row>
    <row r="967">
      <c r="A967" s="8" t="inlineStr">
        <is>
          <t>1999-02-01</t>
        </is>
      </c>
      <c r="B967" s="6" t="n">
        <v>7.39</v>
      </c>
      <c r="C967" s="8">
        <f>-PV(B967/100,$B$3,B966/100,1)</f>
        <v/>
      </c>
      <c r="D967" s="8">
        <f>B966/100/12+(C967-1)</f>
        <v/>
      </c>
      <c r="E967" s="8">
        <f>E966*(1+D967)</f>
        <v/>
      </c>
    </row>
    <row r="968">
      <c r="A968" s="8" t="inlineStr">
        <is>
          <t>1999-03-01</t>
        </is>
      </c>
      <c r="B968" s="6" t="n">
        <v>7.53</v>
      </c>
      <c r="C968" s="8">
        <f>-PV(B968/100,$B$3,B967/100,1)</f>
        <v/>
      </c>
      <c r="D968" s="8">
        <f>B967/100/12+(C968-1)</f>
        <v/>
      </c>
      <c r="E968" s="8">
        <f>E967*(1+D968)</f>
        <v/>
      </c>
    </row>
    <row r="969">
      <c r="A969" s="8" t="inlineStr">
        <is>
          <t>1999-04-01</t>
        </is>
      </c>
      <c r="B969" s="6" t="n">
        <v>7.48</v>
      </c>
      <c r="C969" s="8">
        <f>-PV(B969/100,$B$3,B968/100,1)</f>
        <v/>
      </c>
      <c r="D969" s="8">
        <f>B968/100/12+(C969-1)</f>
        <v/>
      </c>
      <c r="E969" s="8">
        <f>E968*(1+D969)</f>
        <v/>
      </c>
    </row>
    <row r="970">
      <c r="A970" s="8" t="inlineStr">
        <is>
          <t>1999-05-01</t>
        </is>
      </c>
      <c r="B970" s="6" t="n">
        <v>7.72</v>
      </c>
      <c r="C970" s="8">
        <f>-PV(B970/100,$B$3,B969/100,1)</f>
        <v/>
      </c>
      <c r="D970" s="8">
        <f>B969/100/12+(C970-1)</f>
        <v/>
      </c>
      <c r="E970" s="8">
        <f>E969*(1+D970)</f>
        <v/>
      </c>
    </row>
    <row r="971">
      <c r="A971" s="8" t="inlineStr">
        <is>
          <t>1999-06-01</t>
        </is>
      </c>
      <c r="B971" s="6" t="n">
        <v>8.02</v>
      </c>
      <c r="C971" s="8">
        <f>-PV(B971/100,$B$3,B970/100,1)</f>
        <v/>
      </c>
      <c r="D971" s="8">
        <f>B970/100/12+(C971-1)</f>
        <v/>
      </c>
      <c r="E971" s="8">
        <f>E970*(1+D971)</f>
        <v/>
      </c>
    </row>
    <row r="972">
      <c r="A972" s="8" t="inlineStr">
        <is>
          <t>1999-07-01</t>
        </is>
      </c>
      <c r="B972" s="6" t="n">
        <v>7.95</v>
      </c>
      <c r="C972" s="8">
        <f>-PV(B972/100,$B$3,B971/100,1)</f>
        <v/>
      </c>
      <c r="D972" s="8">
        <f>B971/100/12+(C972-1)</f>
        <v/>
      </c>
      <c r="E972" s="8">
        <f>E971*(1+D972)</f>
        <v/>
      </c>
    </row>
    <row r="973">
      <c r="A973" s="8" t="inlineStr">
        <is>
          <t>1999-08-01</t>
        </is>
      </c>
      <c r="B973" s="6" t="n">
        <v>8.15</v>
      </c>
      <c r="C973" s="8">
        <f>-PV(B973/100,$B$3,B972/100,1)</f>
        <v/>
      </c>
      <c r="D973" s="8">
        <f>B972/100/12+(C973-1)</f>
        <v/>
      </c>
      <c r="E973" s="8">
        <f>E972*(1+D973)</f>
        <v/>
      </c>
    </row>
    <row r="974">
      <c r="A974" s="8" t="inlineStr">
        <is>
          <t>1999-09-01</t>
        </is>
      </c>
      <c r="B974" s="6" t="n">
        <v>8.199999999999999</v>
      </c>
      <c r="C974" s="8">
        <f>-PV(B974/100,$B$3,B973/100,1)</f>
        <v/>
      </c>
      <c r="D974" s="8">
        <f>B973/100/12+(C974-1)</f>
        <v/>
      </c>
      <c r="E974" s="8">
        <f>E973*(1+D974)</f>
        <v/>
      </c>
    </row>
    <row r="975">
      <c r="A975" s="8" t="inlineStr">
        <is>
          <t>1999-10-01</t>
        </is>
      </c>
      <c r="B975" s="6" t="n">
        <v>8.380000000000001</v>
      </c>
      <c r="C975" s="8">
        <f>-PV(B975/100,$B$3,B974/100,1)</f>
        <v/>
      </c>
      <c r="D975" s="8">
        <f>B974/100/12+(C975-1)</f>
        <v/>
      </c>
      <c r="E975" s="8">
        <f>E974*(1+D975)</f>
        <v/>
      </c>
    </row>
    <row r="976">
      <c r="A976" s="8" t="inlineStr">
        <is>
          <t>1999-11-01</t>
        </is>
      </c>
      <c r="B976" s="6" t="n">
        <v>8.15</v>
      </c>
      <c r="C976" s="8">
        <f>-PV(B976/100,$B$3,B975/100,1)</f>
        <v/>
      </c>
      <c r="D976" s="8">
        <f>B975/100/12+(C976-1)</f>
        <v/>
      </c>
      <c r="E976" s="8">
        <f>E975*(1+D976)</f>
        <v/>
      </c>
    </row>
    <row r="977">
      <c r="A977" s="8" t="inlineStr">
        <is>
          <t>1999-12-01</t>
        </is>
      </c>
      <c r="B977" s="6" t="n">
        <v>8.19</v>
      </c>
      <c r="C977" s="8">
        <f>-PV(B977/100,$B$3,B976/100,1)</f>
        <v/>
      </c>
      <c r="D977" s="8">
        <f>B976/100/12+(C977-1)</f>
        <v/>
      </c>
      <c r="E977" s="8">
        <f>E976*(1+D977)</f>
        <v/>
      </c>
    </row>
    <row r="978">
      <c r="A978" s="8" t="inlineStr">
        <is>
          <t>2000-01-01</t>
        </is>
      </c>
      <c r="B978" s="6" t="n">
        <v>8.33</v>
      </c>
      <c r="C978" s="8">
        <f>-PV(B978/100,$B$3,B977/100,1)</f>
        <v/>
      </c>
      <c r="D978" s="8">
        <f>B977/100/12+(C978-1)</f>
        <v/>
      </c>
      <c r="E978" s="8">
        <f>E977*(1+D978)</f>
        <v/>
      </c>
    </row>
    <row r="979">
      <c r="A979" s="8" t="inlineStr">
        <is>
          <t>2000-02-01</t>
        </is>
      </c>
      <c r="B979" s="6" t="n">
        <v>8.289999999999999</v>
      </c>
      <c r="C979" s="8">
        <f>-PV(B979/100,$B$3,B978/100,1)</f>
        <v/>
      </c>
      <c r="D979" s="8">
        <f>B978/100/12+(C979-1)</f>
        <v/>
      </c>
      <c r="E979" s="8">
        <f>E978*(1+D979)</f>
        <v/>
      </c>
    </row>
    <row r="980">
      <c r="A980" s="8" t="inlineStr">
        <is>
          <t>2000-03-01</t>
        </is>
      </c>
      <c r="B980" s="6" t="n">
        <v>8.369999999999999</v>
      </c>
      <c r="C980" s="8">
        <f>-PV(B980/100,$B$3,B979/100,1)</f>
        <v/>
      </c>
      <c r="D980" s="8">
        <f>B979/100/12+(C980-1)</f>
        <v/>
      </c>
      <c r="E980" s="8">
        <f>E979*(1+D980)</f>
        <v/>
      </c>
    </row>
    <row r="981">
      <c r="A981" s="8" t="inlineStr">
        <is>
          <t>2000-04-01</t>
        </is>
      </c>
      <c r="B981" s="6" t="n">
        <v>8.4</v>
      </c>
      <c r="C981" s="8">
        <f>-PV(B981/100,$B$3,B980/100,1)</f>
        <v/>
      </c>
      <c r="D981" s="8">
        <f>B980/100/12+(C981-1)</f>
        <v/>
      </c>
      <c r="E981" s="8">
        <f>E980*(1+D981)</f>
        <v/>
      </c>
    </row>
    <row r="982">
      <c r="A982" s="8" t="inlineStr">
        <is>
          <t>2000-05-01</t>
        </is>
      </c>
      <c r="B982" s="6" t="n">
        <v>8.9</v>
      </c>
      <c r="C982" s="8">
        <f>-PV(B982/100,$B$3,B981/100,1)</f>
        <v/>
      </c>
      <c r="D982" s="8">
        <f>B981/100/12+(C982-1)</f>
        <v/>
      </c>
      <c r="E982" s="8">
        <f>E981*(1+D982)</f>
        <v/>
      </c>
    </row>
    <row r="983">
      <c r="A983" s="8" t="inlineStr">
        <is>
          <t>2000-06-01</t>
        </is>
      </c>
      <c r="B983" s="6" t="n">
        <v>8.48</v>
      </c>
      <c r="C983" s="8">
        <f>-PV(B983/100,$B$3,B982/100,1)</f>
        <v/>
      </c>
      <c r="D983" s="8">
        <f>B982/100/12+(C983-1)</f>
        <v/>
      </c>
      <c r="E983" s="8">
        <f>E982*(1+D983)</f>
        <v/>
      </c>
    </row>
    <row r="984">
      <c r="A984" s="8" t="inlineStr">
        <is>
          <t>2000-07-01</t>
        </is>
      </c>
      <c r="B984" s="6" t="n">
        <v>8.35</v>
      </c>
      <c r="C984" s="8">
        <f>-PV(B984/100,$B$3,B983/100,1)</f>
        <v/>
      </c>
      <c r="D984" s="8">
        <f>B983/100/12+(C984-1)</f>
        <v/>
      </c>
      <c r="E984" s="8">
        <f>E983*(1+D984)</f>
        <v/>
      </c>
    </row>
    <row r="985">
      <c r="A985" s="8" t="inlineStr">
        <is>
          <t>2000-08-01</t>
        </is>
      </c>
      <c r="B985" s="6" t="n">
        <v>8.26</v>
      </c>
      <c r="C985" s="8">
        <f>-PV(B985/100,$B$3,B984/100,1)</f>
        <v/>
      </c>
      <c r="D985" s="8">
        <f>B984/100/12+(C985-1)</f>
        <v/>
      </c>
      <c r="E985" s="8">
        <f>E984*(1+D985)</f>
        <v/>
      </c>
    </row>
    <row r="986">
      <c r="A986" s="8" t="inlineStr">
        <is>
          <t>2000-09-01</t>
        </is>
      </c>
      <c r="B986" s="6" t="n">
        <v>8.35</v>
      </c>
      <c r="C986" s="8">
        <f>-PV(B986/100,$B$3,B985/100,1)</f>
        <v/>
      </c>
      <c r="D986" s="8">
        <f>B985/100/12+(C986-1)</f>
        <v/>
      </c>
      <c r="E986" s="8">
        <f>E985*(1+D986)</f>
        <v/>
      </c>
    </row>
    <row r="987">
      <c r="A987" s="8" t="inlineStr">
        <is>
          <t>2000-10-01</t>
        </is>
      </c>
      <c r="B987" s="6" t="n">
        <v>8.34</v>
      </c>
      <c r="C987" s="8">
        <f>-PV(B987/100,$B$3,B986/100,1)</f>
        <v/>
      </c>
      <c r="D987" s="8">
        <f>B986/100/12+(C987-1)</f>
        <v/>
      </c>
      <c r="E987" s="8">
        <f>E986*(1+D987)</f>
        <v/>
      </c>
    </row>
    <row r="988">
      <c r="A988" s="8" t="inlineStr">
        <is>
          <t>2000-11-01</t>
        </is>
      </c>
      <c r="B988" s="6" t="n">
        <v>8.279999999999999</v>
      </c>
      <c r="C988" s="8">
        <f>-PV(B988/100,$B$3,B987/100,1)</f>
        <v/>
      </c>
      <c r="D988" s="8">
        <f>B987/100/12+(C988-1)</f>
        <v/>
      </c>
      <c r="E988" s="8">
        <f>E987*(1+D988)</f>
        <v/>
      </c>
    </row>
    <row r="989">
      <c r="A989" s="8" t="inlineStr">
        <is>
          <t>2000-12-01</t>
        </is>
      </c>
      <c r="B989" s="6" t="n">
        <v>8.02</v>
      </c>
      <c r="C989" s="8">
        <f>-PV(B989/100,$B$3,B988/100,1)</f>
        <v/>
      </c>
      <c r="D989" s="8">
        <f>B988/100/12+(C989-1)</f>
        <v/>
      </c>
      <c r="E989" s="8">
        <f>E988*(1+D989)</f>
        <v/>
      </c>
    </row>
    <row r="990">
      <c r="A990" s="8" t="inlineStr">
        <is>
          <t>2001-01-01</t>
        </is>
      </c>
      <c r="B990" s="6" t="n">
        <v>7.93</v>
      </c>
      <c r="C990" s="8">
        <f>-PV(B990/100,$B$3,B989/100,1)</f>
        <v/>
      </c>
      <c r="D990" s="8">
        <f>B989/100/12+(C990-1)</f>
        <v/>
      </c>
      <c r="E990" s="8">
        <f>E989*(1+D990)</f>
        <v/>
      </c>
    </row>
    <row r="991">
      <c r="A991" s="8" t="inlineStr">
        <is>
          <t>2001-02-01</t>
        </is>
      </c>
      <c r="B991" s="6" t="n">
        <v>7.87</v>
      </c>
      <c r="C991" s="8">
        <f>-PV(B991/100,$B$3,B990/100,1)</f>
        <v/>
      </c>
      <c r="D991" s="8">
        <f>B990/100/12+(C991-1)</f>
        <v/>
      </c>
      <c r="E991" s="8">
        <f>E990*(1+D991)</f>
        <v/>
      </c>
    </row>
    <row r="992">
      <c r="A992" s="8" t="inlineStr">
        <is>
          <t>2001-03-01</t>
        </is>
      </c>
      <c r="B992" s="6" t="n">
        <v>7.84</v>
      </c>
      <c r="C992" s="8">
        <f>-PV(B992/100,$B$3,B991/100,1)</f>
        <v/>
      </c>
      <c r="D992" s="8">
        <f>B991/100/12+(C992-1)</f>
        <v/>
      </c>
      <c r="E992" s="8">
        <f>E991*(1+D992)</f>
        <v/>
      </c>
    </row>
    <row r="993">
      <c r="A993" s="8" t="inlineStr">
        <is>
          <t>2001-04-01</t>
        </is>
      </c>
      <c r="B993" s="6" t="n">
        <v>8.07</v>
      </c>
      <c r="C993" s="8">
        <f>-PV(B993/100,$B$3,B992/100,1)</f>
        <v/>
      </c>
      <c r="D993" s="8">
        <f>B992/100/12+(C993-1)</f>
        <v/>
      </c>
      <c r="E993" s="8">
        <f>E992*(1+D993)</f>
        <v/>
      </c>
    </row>
    <row r="994">
      <c r="A994" s="8" t="inlineStr">
        <is>
          <t>2001-05-01</t>
        </is>
      </c>
      <c r="B994" s="6" t="n">
        <v>8.07</v>
      </c>
      <c r="C994" s="8">
        <f>-PV(B994/100,$B$3,B993/100,1)</f>
        <v/>
      </c>
      <c r="D994" s="8">
        <f>B993/100/12+(C994-1)</f>
        <v/>
      </c>
      <c r="E994" s="8">
        <f>E993*(1+D994)</f>
        <v/>
      </c>
    </row>
    <row r="995">
      <c r="A995" s="8" t="inlineStr">
        <is>
          <t>2001-06-01</t>
        </is>
      </c>
      <c r="B995" s="6" t="n">
        <v>7.97</v>
      </c>
      <c r="C995" s="8">
        <f>-PV(B995/100,$B$3,B994/100,1)</f>
        <v/>
      </c>
      <c r="D995" s="8">
        <f>B994/100/12+(C995-1)</f>
        <v/>
      </c>
      <c r="E995" s="8">
        <f>E994*(1+D995)</f>
        <v/>
      </c>
    </row>
    <row r="996">
      <c r="A996" s="8" t="inlineStr">
        <is>
          <t>2001-07-01</t>
        </is>
      </c>
      <c r="B996" s="6" t="n">
        <v>7.97</v>
      </c>
      <c r="C996" s="8">
        <f>-PV(B996/100,$B$3,B995/100,1)</f>
        <v/>
      </c>
      <c r="D996" s="8">
        <f>B995/100/12+(C996-1)</f>
        <v/>
      </c>
      <c r="E996" s="8">
        <f>E995*(1+D996)</f>
        <v/>
      </c>
    </row>
    <row r="997">
      <c r="A997" s="8" t="inlineStr">
        <is>
          <t>2001-08-01</t>
        </is>
      </c>
      <c r="B997" s="6" t="n">
        <v>7.85</v>
      </c>
      <c r="C997" s="8">
        <f>-PV(B997/100,$B$3,B996/100,1)</f>
        <v/>
      </c>
      <c r="D997" s="8">
        <f>B996/100/12+(C997-1)</f>
        <v/>
      </c>
      <c r="E997" s="8">
        <f>E996*(1+D997)</f>
        <v/>
      </c>
    </row>
    <row r="998">
      <c r="A998" s="8" t="inlineStr">
        <is>
          <t>2001-09-01</t>
        </is>
      </c>
      <c r="B998" s="6" t="n">
        <v>8.029999999999999</v>
      </c>
      <c r="C998" s="8">
        <f>-PV(B998/100,$B$3,B997/100,1)</f>
        <v/>
      </c>
      <c r="D998" s="8">
        <f>B997/100/12+(C998-1)</f>
        <v/>
      </c>
      <c r="E998" s="8">
        <f>E997*(1+D998)</f>
        <v/>
      </c>
    </row>
    <row r="999">
      <c r="A999" s="8" t="inlineStr">
        <is>
          <t>2001-10-01</t>
        </is>
      </c>
      <c r="B999" s="6" t="n">
        <v>7.91</v>
      </c>
      <c r="C999" s="8">
        <f>-PV(B999/100,$B$3,B998/100,1)</f>
        <v/>
      </c>
      <c r="D999" s="8">
        <f>B998/100/12+(C999-1)</f>
        <v/>
      </c>
      <c r="E999" s="8">
        <f>E998*(1+D999)</f>
        <v/>
      </c>
    </row>
    <row r="1000">
      <c r="A1000" s="8" t="inlineStr">
        <is>
          <t>2001-11-01</t>
        </is>
      </c>
      <c r="B1000" s="6" t="n">
        <v>7.81</v>
      </c>
      <c r="C1000" s="8">
        <f>-PV(B1000/100,$B$3,B999/100,1)</f>
        <v/>
      </c>
      <c r="D1000" s="8">
        <f>B999/100/12+(C1000-1)</f>
        <v/>
      </c>
      <c r="E1000" s="8">
        <f>E999*(1+D1000)</f>
        <v/>
      </c>
    </row>
    <row r="1001">
      <c r="A1001" s="8" t="inlineStr">
        <is>
          <t>2001-12-01</t>
        </is>
      </c>
      <c r="B1001" s="6" t="n">
        <v>8.050000000000001</v>
      </c>
      <c r="C1001" s="8">
        <f>-PV(B1001/100,$B$3,B1000/100,1)</f>
        <v/>
      </c>
      <c r="D1001" s="8">
        <f>B1000/100/12+(C1001-1)</f>
        <v/>
      </c>
      <c r="E1001" s="8">
        <f>E1000*(1+D1001)</f>
        <v/>
      </c>
    </row>
    <row r="1002">
      <c r="A1002" s="8" t="inlineStr">
        <is>
          <t>2002-01-01</t>
        </is>
      </c>
      <c r="B1002" s="6" t="n">
        <v>7.87</v>
      </c>
      <c r="C1002" s="8">
        <f>-PV(B1002/100,$B$3,B1001/100,1)</f>
        <v/>
      </c>
      <c r="D1002" s="8">
        <f>B1001/100/12+(C1002-1)</f>
        <v/>
      </c>
      <c r="E1002" s="8">
        <f>E1001*(1+D1002)</f>
        <v/>
      </c>
    </row>
    <row r="1003">
      <c r="A1003" s="8" t="inlineStr">
        <is>
          <t>2002-02-01</t>
        </is>
      </c>
      <c r="B1003" s="6" t="n">
        <v>7.89</v>
      </c>
      <c r="C1003" s="8">
        <f>-PV(B1003/100,$B$3,B1002/100,1)</f>
        <v/>
      </c>
      <c r="D1003" s="8">
        <f>B1002/100/12+(C1003-1)</f>
        <v/>
      </c>
      <c r="E1003" s="8">
        <f>E1002*(1+D1003)</f>
        <v/>
      </c>
    </row>
    <row r="1004">
      <c r="A1004" s="8" t="inlineStr">
        <is>
          <t>2002-03-01</t>
        </is>
      </c>
      <c r="B1004" s="6" t="n">
        <v>8.109999999999999</v>
      </c>
      <c r="C1004" s="8">
        <f>-PV(B1004/100,$B$3,B1003/100,1)</f>
        <v/>
      </c>
      <c r="D1004" s="8">
        <f>B1003/100/12+(C1004-1)</f>
        <v/>
      </c>
      <c r="E1004" s="8">
        <f>E1003*(1+D1004)</f>
        <v/>
      </c>
    </row>
    <row r="1005">
      <c r="A1005" s="8" t="inlineStr">
        <is>
          <t>2002-04-01</t>
        </is>
      </c>
      <c r="B1005" s="6" t="n">
        <v>8.029999999999999</v>
      </c>
      <c r="C1005" s="8">
        <f>-PV(B1005/100,$B$3,B1004/100,1)</f>
        <v/>
      </c>
      <c r="D1005" s="8">
        <f>B1004/100/12+(C1005-1)</f>
        <v/>
      </c>
      <c r="E1005" s="8">
        <f>E1004*(1+D1005)</f>
        <v/>
      </c>
    </row>
    <row r="1006">
      <c r="A1006" s="8" t="inlineStr">
        <is>
          <t>2002-05-01</t>
        </is>
      </c>
      <c r="B1006" s="6" t="n">
        <v>8.09</v>
      </c>
      <c r="C1006" s="8">
        <f>-PV(B1006/100,$B$3,B1005/100,1)</f>
        <v/>
      </c>
      <c r="D1006" s="8">
        <f>B1005/100/12+(C1006-1)</f>
        <v/>
      </c>
      <c r="E1006" s="8">
        <f>E1005*(1+D1006)</f>
        <v/>
      </c>
    </row>
    <row r="1007">
      <c r="A1007" s="8" t="inlineStr">
        <is>
          <t>2002-06-01</t>
        </is>
      </c>
      <c r="B1007" s="6" t="n">
        <v>7.95</v>
      </c>
      <c r="C1007" s="8">
        <f>-PV(B1007/100,$B$3,B1006/100,1)</f>
        <v/>
      </c>
      <c r="D1007" s="8">
        <f>B1006/100/12+(C1007-1)</f>
        <v/>
      </c>
      <c r="E1007" s="8">
        <f>E1006*(1+D1007)</f>
        <v/>
      </c>
    </row>
    <row r="1008">
      <c r="A1008" s="8" t="inlineStr">
        <is>
          <t>2002-07-01</t>
        </is>
      </c>
      <c r="B1008" s="6" t="n">
        <v>7.9</v>
      </c>
      <c r="C1008" s="8">
        <f>-PV(B1008/100,$B$3,B1007/100,1)</f>
        <v/>
      </c>
      <c r="D1008" s="8">
        <f>B1007/100/12+(C1008-1)</f>
        <v/>
      </c>
      <c r="E1008" s="8">
        <f>E1007*(1+D1008)</f>
        <v/>
      </c>
    </row>
    <row r="1009">
      <c r="A1009" s="8" t="inlineStr">
        <is>
          <t>2002-08-01</t>
        </is>
      </c>
      <c r="B1009" s="6" t="n">
        <v>7.58</v>
      </c>
      <c r="C1009" s="8">
        <f>-PV(B1009/100,$B$3,B1008/100,1)</f>
        <v/>
      </c>
      <c r="D1009" s="8">
        <f>B1008/100/12+(C1009-1)</f>
        <v/>
      </c>
      <c r="E1009" s="8">
        <f>E1008*(1+D1009)</f>
        <v/>
      </c>
    </row>
    <row r="1010">
      <c r="A1010" s="8" t="inlineStr">
        <is>
          <t>2002-09-01</t>
        </is>
      </c>
      <c r="B1010" s="6" t="n">
        <v>7.4</v>
      </c>
      <c r="C1010" s="8">
        <f>-PV(B1010/100,$B$3,B1009/100,1)</f>
        <v/>
      </c>
      <c r="D1010" s="8">
        <f>B1009/100/12+(C1010-1)</f>
        <v/>
      </c>
      <c r="E1010" s="8">
        <f>E1009*(1+D1010)</f>
        <v/>
      </c>
    </row>
    <row r="1011">
      <c r="A1011" s="8" t="inlineStr">
        <is>
          <t>2002-10-01</t>
        </is>
      </c>
      <c r="B1011" s="6" t="n">
        <v>7.73</v>
      </c>
      <c r="C1011" s="8">
        <f>-PV(B1011/100,$B$3,B1010/100,1)</f>
        <v/>
      </c>
      <c r="D1011" s="8">
        <f>B1010/100/12+(C1011-1)</f>
        <v/>
      </c>
      <c r="E1011" s="8">
        <f>E1010*(1+D1011)</f>
        <v/>
      </c>
    </row>
    <row r="1012">
      <c r="A1012" s="8" t="inlineStr">
        <is>
          <t>2002-11-01</t>
        </is>
      </c>
      <c r="B1012" s="6" t="n">
        <v>7.62</v>
      </c>
      <c r="C1012" s="8">
        <f>-PV(B1012/100,$B$3,B1011/100,1)</f>
        <v/>
      </c>
      <c r="D1012" s="8">
        <f>B1011/100/12+(C1012-1)</f>
        <v/>
      </c>
      <c r="E1012" s="8">
        <f>E1011*(1+D1012)</f>
        <v/>
      </c>
    </row>
    <row r="1013">
      <c r="A1013" s="8" t="inlineStr">
        <is>
          <t>2002-12-01</t>
        </is>
      </c>
      <c r="B1013" s="6" t="n">
        <v>7.45</v>
      </c>
      <c r="C1013" s="8">
        <f>-PV(B1013/100,$B$3,B1012/100,1)</f>
        <v/>
      </c>
      <c r="D1013" s="8">
        <f>B1012/100/12+(C1013-1)</f>
        <v/>
      </c>
      <c r="E1013" s="8">
        <f>E1012*(1+D1013)</f>
        <v/>
      </c>
    </row>
    <row r="1014">
      <c r="A1014" s="8" t="inlineStr">
        <is>
          <t>2003-01-01</t>
        </is>
      </c>
      <c r="B1014" s="6" t="n">
        <v>7.35</v>
      </c>
      <c r="C1014" s="8">
        <f>-PV(B1014/100,$B$3,B1013/100,1)</f>
        <v/>
      </c>
      <c r="D1014" s="8">
        <f>B1013/100/12+(C1014-1)</f>
        <v/>
      </c>
      <c r="E1014" s="8">
        <f>E1013*(1+D1014)</f>
        <v/>
      </c>
    </row>
    <row r="1015">
      <c r="A1015" s="8" t="inlineStr">
        <is>
          <t>2003-02-01</t>
        </is>
      </c>
      <c r="B1015" s="6" t="n">
        <v>7.06</v>
      </c>
      <c r="C1015" s="8">
        <f>-PV(B1015/100,$B$3,B1014/100,1)</f>
        <v/>
      </c>
      <c r="D1015" s="8">
        <f>B1014/100/12+(C1015-1)</f>
        <v/>
      </c>
      <c r="E1015" s="8">
        <f>E1014*(1+D1015)</f>
        <v/>
      </c>
    </row>
    <row r="1016">
      <c r="A1016" s="8" t="inlineStr">
        <is>
          <t>2003-03-01</t>
        </is>
      </c>
      <c r="B1016" s="6" t="n">
        <v>6.95</v>
      </c>
      <c r="C1016" s="8">
        <f>-PV(B1016/100,$B$3,B1015/100,1)</f>
        <v/>
      </c>
      <c r="D1016" s="8">
        <f>B1015/100/12+(C1016-1)</f>
        <v/>
      </c>
      <c r="E1016" s="8">
        <f>E1015*(1+D1016)</f>
        <v/>
      </c>
    </row>
    <row r="1017">
      <c r="A1017" s="8" t="inlineStr">
        <is>
          <t>2003-04-01</t>
        </is>
      </c>
      <c r="B1017" s="6" t="n">
        <v>6.85</v>
      </c>
      <c r="C1017" s="8">
        <f>-PV(B1017/100,$B$3,B1016/100,1)</f>
        <v/>
      </c>
      <c r="D1017" s="8">
        <f>B1016/100/12+(C1017-1)</f>
        <v/>
      </c>
      <c r="E1017" s="8">
        <f>E1016*(1+D1017)</f>
        <v/>
      </c>
    </row>
    <row r="1018">
      <c r="A1018" s="8" t="inlineStr">
        <is>
          <t>2003-05-01</t>
        </is>
      </c>
      <c r="B1018" s="6" t="n">
        <v>6.38</v>
      </c>
      <c r="C1018" s="8">
        <f>-PV(B1018/100,$B$3,B1017/100,1)</f>
        <v/>
      </c>
      <c r="D1018" s="8">
        <f>B1017/100/12+(C1018-1)</f>
        <v/>
      </c>
      <c r="E1018" s="8">
        <f>E1017*(1+D1018)</f>
        <v/>
      </c>
    </row>
    <row r="1019">
      <c r="A1019" s="8" t="inlineStr">
        <is>
          <t>2003-06-01</t>
        </is>
      </c>
      <c r="B1019" s="6" t="n">
        <v>6.19</v>
      </c>
      <c r="C1019" s="8">
        <f>-PV(B1019/100,$B$3,B1018/100,1)</f>
        <v/>
      </c>
      <c r="D1019" s="8">
        <f>B1018/100/12+(C1019-1)</f>
        <v/>
      </c>
      <c r="E1019" s="8">
        <f>E1018*(1+D1019)</f>
        <v/>
      </c>
    </row>
    <row r="1020">
      <c r="A1020" s="8" t="inlineStr">
        <is>
          <t>2003-07-01</t>
        </is>
      </c>
      <c r="B1020" s="6" t="n">
        <v>6.62</v>
      </c>
      <c r="C1020" s="8">
        <f>-PV(B1020/100,$B$3,B1019/100,1)</f>
        <v/>
      </c>
      <c r="D1020" s="8">
        <f>B1019/100/12+(C1020-1)</f>
        <v/>
      </c>
      <c r="E1020" s="8">
        <f>E1019*(1+D1020)</f>
        <v/>
      </c>
    </row>
    <row r="1021">
      <c r="A1021" s="8" t="inlineStr">
        <is>
          <t>2003-08-01</t>
        </is>
      </c>
      <c r="B1021" s="6" t="n">
        <v>7.01</v>
      </c>
      <c r="C1021" s="8">
        <f>-PV(B1021/100,$B$3,B1020/100,1)</f>
        <v/>
      </c>
      <c r="D1021" s="8">
        <f>B1020/100/12+(C1021-1)</f>
        <v/>
      </c>
      <c r="E1021" s="8">
        <f>E1020*(1+D1021)</f>
        <v/>
      </c>
    </row>
    <row r="1022">
      <c r="A1022" s="8" t="inlineStr">
        <is>
          <t>2003-09-01</t>
        </is>
      </c>
      <c r="B1022" s="6" t="n">
        <v>6.79</v>
      </c>
      <c r="C1022" s="8">
        <f>-PV(B1022/100,$B$3,B1021/100,1)</f>
        <v/>
      </c>
      <c r="D1022" s="8">
        <f>B1021/100/12+(C1022-1)</f>
        <v/>
      </c>
      <c r="E1022" s="8">
        <f>E1021*(1+D1022)</f>
        <v/>
      </c>
    </row>
    <row r="1023">
      <c r="A1023" s="8" t="inlineStr">
        <is>
          <t>2003-10-01</t>
        </is>
      </c>
      <c r="B1023" s="6" t="n">
        <v>6.73</v>
      </c>
      <c r="C1023" s="8">
        <f>-PV(B1023/100,$B$3,B1022/100,1)</f>
        <v/>
      </c>
      <c r="D1023" s="8">
        <f>B1022/100/12+(C1023-1)</f>
        <v/>
      </c>
      <c r="E1023" s="8">
        <f>E1022*(1+D1023)</f>
        <v/>
      </c>
    </row>
    <row r="1024">
      <c r="A1024" s="8" t="inlineStr">
        <is>
          <t>2003-11-01</t>
        </is>
      </c>
      <c r="B1024" s="6" t="n">
        <v>6.66</v>
      </c>
      <c r="C1024" s="8">
        <f>-PV(B1024/100,$B$3,B1023/100,1)</f>
        <v/>
      </c>
      <c r="D1024" s="8">
        <f>B1023/100/12+(C1024-1)</f>
        <v/>
      </c>
      <c r="E1024" s="8">
        <f>E1023*(1+D1024)</f>
        <v/>
      </c>
    </row>
    <row r="1025">
      <c r="A1025" s="8" t="inlineStr">
        <is>
          <t>2003-12-01</t>
        </is>
      </c>
      <c r="B1025" s="6" t="n">
        <v>6.6</v>
      </c>
      <c r="C1025" s="8">
        <f>-PV(B1025/100,$B$3,B1024/100,1)</f>
        <v/>
      </c>
      <c r="D1025" s="8">
        <f>B1024/100/12+(C1025-1)</f>
        <v/>
      </c>
      <c r="E1025" s="8">
        <f>E1024*(1+D1025)</f>
        <v/>
      </c>
    </row>
    <row r="1026">
      <c r="A1026" s="8" t="inlineStr">
        <is>
          <t>2004-01-01</t>
        </is>
      </c>
      <c r="B1026" s="6" t="n">
        <v>6.44</v>
      </c>
      <c r="C1026" s="8">
        <f>-PV(B1026/100,$B$3,B1025/100,1)</f>
        <v/>
      </c>
      <c r="D1026" s="8">
        <f>B1025/100/12+(C1026-1)</f>
        <v/>
      </c>
      <c r="E1026" s="8">
        <f>E1025*(1+D1026)</f>
        <v/>
      </c>
    </row>
    <row r="1027">
      <c r="A1027" s="8" t="inlineStr">
        <is>
          <t>2004-02-01</t>
        </is>
      </c>
      <c r="B1027" s="6" t="n">
        <v>6.27</v>
      </c>
      <c r="C1027" s="8">
        <f>-PV(B1027/100,$B$3,B1026/100,1)</f>
        <v/>
      </c>
      <c r="D1027" s="8">
        <f>B1026/100/12+(C1027-1)</f>
        <v/>
      </c>
      <c r="E1027" s="8">
        <f>E1026*(1+D1027)</f>
        <v/>
      </c>
    </row>
    <row r="1028">
      <c r="A1028" s="8" t="inlineStr">
        <is>
          <t>2004-03-01</t>
        </is>
      </c>
      <c r="B1028" s="6" t="n">
        <v>6.11</v>
      </c>
      <c r="C1028" s="8">
        <f>-PV(B1028/100,$B$3,B1027/100,1)</f>
        <v/>
      </c>
      <c r="D1028" s="8">
        <f>B1027/100/12+(C1028-1)</f>
        <v/>
      </c>
      <c r="E1028" s="8">
        <f>E1027*(1+D1028)</f>
        <v/>
      </c>
    </row>
    <row r="1029">
      <c r="A1029" s="8" t="inlineStr">
        <is>
          <t>2004-04-01</t>
        </is>
      </c>
      <c r="B1029" s="6" t="n">
        <v>6.46</v>
      </c>
      <c r="C1029" s="8">
        <f>-PV(B1029/100,$B$3,B1028/100,1)</f>
        <v/>
      </c>
      <c r="D1029" s="8">
        <f>B1028/100/12+(C1029-1)</f>
        <v/>
      </c>
      <c r="E1029" s="8">
        <f>E1028*(1+D1029)</f>
        <v/>
      </c>
    </row>
    <row r="1030">
      <c r="A1030" s="8" t="inlineStr">
        <is>
          <t>2004-05-01</t>
        </is>
      </c>
      <c r="B1030" s="6" t="n">
        <v>6.75</v>
      </c>
      <c r="C1030" s="8">
        <f>-PV(B1030/100,$B$3,B1029/100,1)</f>
        <v/>
      </c>
      <c r="D1030" s="8">
        <f>B1029/100/12+(C1030-1)</f>
        <v/>
      </c>
      <c r="E1030" s="8">
        <f>E1029*(1+D1030)</f>
        <v/>
      </c>
    </row>
    <row r="1031">
      <c r="A1031" s="8" t="inlineStr">
        <is>
          <t>2004-06-01</t>
        </is>
      </c>
      <c r="B1031" s="6" t="n">
        <v>6.78</v>
      </c>
      <c r="C1031" s="8">
        <f>-PV(B1031/100,$B$3,B1030/100,1)</f>
        <v/>
      </c>
      <c r="D1031" s="8">
        <f>B1030/100/12+(C1031-1)</f>
        <v/>
      </c>
      <c r="E1031" s="8">
        <f>E1030*(1+D1031)</f>
        <v/>
      </c>
    </row>
    <row r="1032">
      <c r="A1032" s="8" t="inlineStr">
        <is>
          <t>2004-07-01</t>
        </is>
      </c>
      <c r="B1032" s="6" t="n">
        <v>6.62</v>
      </c>
      <c r="C1032" s="8">
        <f>-PV(B1032/100,$B$3,B1031/100,1)</f>
        <v/>
      </c>
      <c r="D1032" s="8">
        <f>B1031/100/12+(C1032-1)</f>
        <v/>
      </c>
      <c r="E1032" s="8">
        <f>E1031*(1+D1032)</f>
        <v/>
      </c>
    </row>
    <row r="1033">
      <c r="A1033" s="8" t="inlineStr">
        <is>
          <t>2004-08-01</t>
        </is>
      </c>
      <c r="B1033" s="6" t="n">
        <v>6.46</v>
      </c>
      <c r="C1033" s="8">
        <f>-PV(B1033/100,$B$3,B1032/100,1)</f>
        <v/>
      </c>
      <c r="D1033" s="8">
        <f>B1032/100/12+(C1033-1)</f>
        <v/>
      </c>
      <c r="E1033" s="8">
        <f>E1032*(1+D1033)</f>
        <v/>
      </c>
    </row>
    <row r="1034">
      <c r="A1034" s="8" t="inlineStr">
        <is>
          <t>2004-09-01</t>
        </is>
      </c>
      <c r="B1034" s="6" t="n">
        <v>6.27</v>
      </c>
      <c r="C1034" s="8">
        <f>-PV(B1034/100,$B$3,B1033/100,1)</f>
        <v/>
      </c>
      <c r="D1034" s="8">
        <f>B1033/100/12+(C1034-1)</f>
        <v/>
      </c>
      <c r="E1034" s="8">
        <f>E1033*(1+D1034)</f>
        <v/>
      </c>
    </row>
    <row r="1035">
      <c r="A1035" s="8" t="inlineStr">
        <is>
          <t>2004-10-01</t>
        </is>
      </c>
      <c r="B1035" s="6" t="n">
        <v>6.21</v>
      </c>
      <c r="C1035" s="8">
        <f>-PV(B1035/100,$B$3,B1034/100,1)</f>
        <v/>
      </c>
      <c r="D1035" s="8">
        <f>B1034/100/12+(C1035-1)</f>
        <v/>
      </c>
      <c r="E1035" s="8">
        <f>E1034*(1+D1035)</f>
        <v/>
      </c>
    </row>
    <row r="1036">
      <c r="A1036" s="8" t="inlineStr">
        <is>
          <t>2004-11-01</t>
        </is>
      </c>
      <c r="B1036" s="6" t="n">
        <v>6.2</v>
      </c>
      <c r="C1036" s="8">
        <f>-PV(B1036/100,$B$3,B1035/100,1)</f>
        <v/>
      </c>
      <c r="D1036" s="8">
        <f>B1035/100/12+(C1036-1)</f>
        <v/>
      </c>
      <c r="E1036" s="8">
        <f>E1035*(1+D1036)</f>
        <v/>
      </c>
    </row>
    <row r="1037">
      <c r="A1037" s="8" t="inlineStr">
        <is>
          <t>2004-12-01</t>
        </is>
      </c>
      <c r="B1037" s="6" t="n">
        <v>6.15</v>
      </c>
      <c r="C1037" s="8">
        <f>-PV(B1037/100,$B$3,B1036/100,1)</f>
        <v/>
      </c>
      <c r="D1037" s="8">
        <f>B1036/100/12+(C1037-1)</f>
        <v/>
      </c>
      <c r="E1037" s="8">
        <f>E1036*(1+D1037)</f>
        <v/>
      </c>
    </row>
    <row r="1038">
      <c r="A1038" s="8" t="inlineStr">
        <is>
          <t>2005-01-01</t>
        </is>
      </c>
      <c r="B1038" s="6" t="n">
        <v>6.02</v>
      </c>
      <c r="C1038" s="8">
        <f>-PV(B1038/100,$B$3,B1037/100,1)</f>
        <v/>
      </c>
      <c r="D1038" s="8">
        <f>B1037/100/12+(C1038-1)</f>
        <v/>
      </c>
      <c r="E1038" s="8">
        <f>E1037*(1+D1038)</f>
        <v/>
      </c>
    </row>
    <row r="1039">
      <c r="A1039" s="8" t="inlineStr">
        <is>
          <t>2005-02-01</t>
        </is>
      </c>
      <c r="B1039" s="6" t="n">
        <v>5.82</v>
      </c>
      <c r="C1039" s="8">
        <f>-PV(B1039/100,$B$3,B1038/100,1)</f>
        <v/>
      </c>
      <c r="D1039" s="8">
        <f>B1038/100/12+(C1039-1)</f>
        <v/>
      </c>
      <c r="E1039" s="8">
        <f>E1038*(1+D1039)</f>
        <v/>
      </c>
    </row>
    <row r="1040">
      <c r="A1040" s="8" t="inlineStr">
        <is>
          <t>2005-03-01</t>
        </is>
      </c>
      <c r="B1040" s="6" t="n">
        <v>6.06</v>
      </c>
      <c r="C1040" s="8">
        <f>-PV(B1040/100,$B$3,B1039/100,1)</f>
        <v/>
      </c>
      <c r="D1040" s="8">
        <f>B1039/100/12+(C1040-1)</f>
        <v/>
      </c>
      <c r="E1040" s="8">
        <f>E1039*(1+D1040)</f>
        <v/>
      </c>
    </row>
    <row r="1041">
      <c r="A1041" s="8" t="inlineStr">
        <is>
          <t>2005-04-01</t>
        </is>
      </c>
      <c r="B1041" s="6" t="n">
        <v>6.05</v>
      </c>
      <c r="C1041" s="8">
        <f>-PV(B1041/100,$B$3,B1040/100,1)</f>
        <v/>
      </c>
      <c r="D1041" s="8">
        <f>B1040/100/12+(C1041-1)</f>
        <v/>
      </c>
      <c r="E1041" s="8">
        <f>E1040*(1+D1041)</f>
        <v/>
      </c>
    </row>
    <row r="1042">
      <c r="A1042" s="8" t="inlineStr">
        <is>
          <t>2005-05-01</t>
        </is>
      </c>
      <c r="B1042" s="6" t="n">
        <v>6.01</v>
      </c>
      <c r="C1042" s="8">
        <f>-PV(B1042/100,$B$3,B1041/100,1)</f>
        <v/>
      </c>
      <c r="D1042" s="8">
        <f>B1041/100/12+(C1042-1)</f>
        <v/>
      </c>
      <c r="E1042" s="8">
        <f>E1041*(1+D1042)</f>
        <v/>
      </c>
    </row>
    <row r="1043">
      <c r="A1043" s="8" t="inlineStr">
        <is>
          <t>2005-06-01</t>
        </is>
      </c>
      <c r="B1043" s="6" t="n">
        <v>5.86</v>
      </c>
      <c r="C1043" s="8">
        <f>-PV(B1043/100,$B$3,B1042/100,1)</f>
        <v/>
      </c>
      <c r="D1043" s="8">
        <f>B1042/100/12+(C1043-1)</f>
        <v/>
      </c>
      <c r="E1043" s="8">
        <f>E1042*(1+D1043)</f>
        <v/>
      </c>
    </row>
    <row r="1044">
      <c r="A1044" s="8" t="inlineStr">
        <is>
          <t>2005-07-01</t>
        </is>
      </c>
      <c r="B1044" s="6" t="n">
        <v>5.95</v>
      </c>
      <c r="C1044" s="8">
        <f>-PV(B1044/100,$B$3,B1043/100,1)</f>
        <v/>
      </c>
      <c r="D1044" s="8">
        <f>B1043/100/12+(C1044-1)</f>
        <v/>
      </c>
      <c r="E1044" s="8">
        <f>E1043*(1+D1044)</f>
        <v/>
      </c>
    </row>
    <row r="1045">
      <c r="A1045" s="8" t="inlineStr">
        <is>
          <t>2005-08-01</t>
        </is>
      </c>
      <c r="B1045" s="6" t="n">
        <v>5.96</v>
      </c>
      <c r="C1045" s="8">
        <f>-PV(B1045/100,$B$3,B1044/100,1)</f>
        <v/>
      </c>
      <c r="D1045" s="8">
        <f>B1044/100/12+(C1045-1)</f>
        <v/>
      </c>
      <c r="E1045" s="8">
        <f>E1044*(1+D1045)</f>
        <v/>
      </c>
    </row>
    <row r="1046">
      <c r="A1046" s="8" t="inlineStr">
        <is>
          <t>2005-09-01</t>
        </is>
      </c>
      <c r="B1046" s="6" t="n">
        <v>6.03</v>
      </c>
      <c r="C1046" s="8">
        <f>-PV(B1046/100,$B$3,B1045/100,1)</f>
        <v/>
      </c>
      <c r="D1046" s="8">
        <f>B1045/100/12+(C1046-1)</f>
        <v/>
      </c>
      <c r="E1046" s="8">
        <f>E1045*(1+D1046)</f>
        <v/>
      </c>
    </row>
    <row r="1047">
      <c r="A1047" s="8" t="inlineStr">
        <is>
          <t>2005-10-01</t>
        </is>
      </c>
      <c r="B1047" s="6" t="n">
        <v>6.3</v>
      </c>
      <c r="C1047" s="8">
        <f>-PV(B1047/100,$B$3,B1046/100,1)</f>
        <v/>
      </c>
      <c r="D1047" s="8">
        <f>B1046/100/12+(C1047-1)</f>
        <v/>
      </c>
      <c r="E1047" s="8">
        <f>E1046*(1+D1047)</f>
        <v/>
      </c>
    </row>
    <row r="1048">
      <c r="A1048" s="8" t="inlineStr">
        <is>
          <t>2005-11-01</t>
        </is>
      </c>
      <c r="B1048" s="6" t="n">
        <v>6.39</v>
      </c>
      <c r="C1048" s="8">
        <f>-PV(B1048/100,$B$3,B1047/100,1)</f>
        <v/>
      </c>
      <c r="D1048" s="8">
        <f>B1047/100/12+(C1048-1)</f>
        <v/>
      </c>
      <c r="E1048" s="8">
        <f>E1047*(1+D1048)</f>
        <v/>
      </c>
    </row>
    <row r="1049">
      <c r="A1049" s="8" t="inlineStr">
        <is>
          <t>2005-12-01</t>
        </is>
      </c>
      <c r="B1049" s="6" t="n">
        <v>6.32</v>
      </c>
      <c r="C1049" s="8">
        <f>-PV(B1049/100,$B$3,B1048/100,1)</f>
        <v/>
      </c>
      <c r="D1049" s="8">
        <f>B1048/100/12+(C1049-1)</f>
        <v/>
      </c>
      <c r="E1049" s="8">
        <f>E1048*(1+D1049)</f>
        <v/>
      </c>
    </row>
    <row r="1050">
      <c r="A1050" s="8" t="inlineStr">
        <is>
          <t>2006-01-01</t>
        </is>
      </c>
      <c r="B1050" s="6" t="n">
        <v>6.24</v>
      </c>
      <c r="C1050" s="8">
        <f>-PV(B1050/100,$B$3,B1049/100,1)</f>
        <v/>
      </c>
      <c r="D1050" s="8">
        <f>B1049/100/12+(C1050-1)</f>
        <v/>
      </c>
      <c r="E1050" s="8">
        <f>E1049*(1+D1050)</f>
        <v/>
      </c>
    </row>
    <row r="1051">
      <c r="A1051" s="8" t="inlineStr">
        <is>
          <t>2006-02-01</t>
        </is>
      </c>
      <c r="B1051" s="6" t="n">
        <v>6.27</v>
      </c>
      <c r="C1051" s="8">
        <f>-PV(B1051/100,$B$3,B1050/100,1)</f>
        <v/>
      </c>
      <c r="D1051" s="8">
        <f>B1050/100/12+(C1051-1)</f>
        <v/>
      </c>
      <c r="E1051" s="8">
        <f>E1050*(1+D1051)</f>
        <v/>
      </c>
    </row>
    <row r="1052">
      <c r="A1052" s="8" t="inlineStr">
        <is>
          <t>2006-03-01</t>
        </is>
      </c>
      <c r="B1052" s="6" t="n">
        <v>6.41</v>
      </c>
      <c r="C1052" s="8">
        <f>-PV(B1052/100,$B$3,B1051/100,1)</f>
        <v/>
      </c>
      <c r="D1052" s="8">
        <f>B1051/100/12+(C1052-1)</f>
        <v/>
      </c>
      <c r="E1052" s="8">
        <f>E1051*(1+D1052)</f>
        <v/>
      </c>
    </row>
    <row r="1053">
      <c r="A1053" s="8" t="inlineStr">
        <is>
          <t>2006-04-01</t>
        </is>
      </c>
      <c r="B1053" s="6" t="n">
        <v>6.68</v>
      </c>
      <c r="C1053" s="8">
        <f>-PV(B1053/100,$B$3,B1052/100,1)</f>
        <v/>
      </c>
      <c r="D1053" s="8">
        <f>B1052/100/12+(C1053-1)</f>
        <v/>
      </c>
      <c r="E1053" s="8">
        <f>E1052*(1+D1053)</f>
        <v/>
      </c>
    </row>
    <row r="1054">
      <c r="A1054" s="8" t="inlineStr">
        <is>
          <t>2006-05-01</t>
        </is>
      </c>
      <c r="B1054" s="6" t="n">
        <v>6.75</v>
      </c>
      <c r="C1054" s="8">
        <f>-PV(B1054/100,$B$3,B1053/100,1)</f>
        <v/>
      </c>
      <c r="D1054" s="8">
        <f>B1053/100/12+(C1054-1)</f>
        <v/>
      </c>
      <c r="E1054" s="8">
        <f>E1053*(1+D1054)</f>
        <v/>
      </c>
    </row>
    <row r="1055">
      <c r="A1055" s="8" t="inlineStr">
        <is>
          <t>2006-06-01</t>
        </is>
      </c>
      <c r="B1055" s="6" t="n">
        <v>6.78</v>
      </c>
      <c r="C1055" s="8">
        <f>-PV(B1055/100,$B$3,B1054/100,1)</f>
        <v/>
      </c>
      <c r="D1055" s="8">
        <f>B1054/100/12+(C1055-1)</f>
        <v/>
      </c>
      <c r="E1055" s="8">
        <f>E1054*(1+D1055)</f>
        <v/>
      </c>
    </row>
    <row r="1056">
      <c r="A1056" s="8" t="inlineStr">
        <is>
          <t>2006-07-01</t>
        </is>
      </c>
      <c r="B1056" s="6" t="n">
        <v>6.76</v>
      </c>
      <c r="C1056" s="8">
        <f>-PV(B1056/100,$B$3,B1055/100,1)</f>
        <v/>
      </c>
      <c r="D1056" s="8">
        <f>B1055/100/12+(C1056-1)</f>
        <v/>
      </c>
      <c r="E1056" s="8">
        <f>E1055*(1+D1056)</f>
        <v/>
      </c>
    </row>
    <row r="1057">
      <c r="A1057" s="8" t="inlineStr">
        <is>
          <t>2006-08-01</t>
        </is>
      </c>
      <c r="B1057" s="6" t="n">
        <v>6.59</v>
      </c>
      <c r="C1057" s="8">
        <f>-PV(B1057/100,$B$3,B1056/100,1)</f>
        <v/>
      </c>
      <c r="D1057" s="8">
        <f>B1056/100/12+(C1057-1)</f>
        <v/>
      </c>
      <c r="E1057" s="8">
        <f>E1056*(1+D1057)</f>
        <v/>
      </c>
    </row>
    <row r="1058">
      <c r="A1058" s="8" t="inlineStr">
        <is>
          <t>2006-09-01</t>
        </is>
      </c>
      <c r="B1058" s="6" t="n">
        <v>6.43</v>
      </c>
      <c r="C1058" s="8">
        <f>-PV(B1058/100,$B$3,B1057/100,1)</f>
        <v/>
      </c>
      <c r="D1058" s="8">
        <f>B1057/100/12+(C1058-1)</f>
        <v/>
      </c>
      <c r="E1058" s="8">
        <f>E1057*(1+D1058)</f>
        <v/>
      </c>
    </row>
    <row r="1059">
      <c r="A1059" s="8" t="inlineStr">
        <is>
          <t>2006-10-01</t>
        </is>
      </c>
      <c r="B1059" s="6" t="n">
        <v>6.42</v>
      </c>
      <c r="C1059" s="8">
        <f>-PV(B1059/100,$B$3,B1058/100,1)</f>
        <v/>
      </c>
      <c r="D1059" s="8">
        <f>B1058/100/12+(C1059-1)</f>
        <v/>
      </c>
      <c r="E1059" s="8">
        <f>E1058*(1+D1059)</f>
        <v/>
      </c>
    </row>
    <row r="1060">
      <c r="A1060" s="8" t="inlineStr">
        <is>
          <t>2006-11-01</t>
        </is>
      </c>
      <c r="B1060" s="6" t="n">
        <v>6.2</v>
      </c>
      <c r="C1060" s="8">
        <f>-PV(B1060/100,$B$3,B1059/100,1)</f>
        <v/>
      </c>
      <c r="D1060" s="8">
        <f>B1059/100/12+(C1060-1)</f>
        <v/>
      </c>
      <c r="E1060" s="8">
        <f>E1059*(1+D1060)</f>
        <v/>
      </c>
    </row>
    <row r="1061">
      <c r="A1061" s="8" t="inlineStr">
        <is>
          <t>2006-12-01</t>
        </is>
      </c>
      <c r="B1061" s="6" t="n">
        <v>6.22</v>
      </c>
      <c r="C1061" s="8">
        <f>-PV(B1061/100,$B$3,B1060/100,1)</f>
        <v/>
      </c>
      <c r="D1061" s="8">
        <f>B1060/100/12+(C1061-1)</f>
        <v/>
      </c>
      <c r="E1061" s="8">
        <f>E1060*(1+D1061)</f>
        <v/>
      </c>
    </row>
    <row r="1062">
      <c r="A1062" s="8" t="inlineStr">
        <is>
          <t>2007-01-01</t>
        </is>
      </c>
      <c r="B1062" s="6" t="n">
        <v>6.34</v>
      </c>
      <c r="C1062" s="8">
        <f>-PV(B1062/100,$B$3,B1061/100,1)</f>
        <v/>
      </c>
      <c r="D1062" s="8">
        <f>B1061/100/12+(C1062-1)</f>
        <v/>
      </c>
      <c r="E1062" s="8">
        <f>E1061*(1+D1062)</f>
        <v/>
      </c>
    </row>
    <row r="1063">
      <c r="A1063" s="8" t="inlineStr">
        <is>
          <t>2007-02-01</t>
        </is>
      </c>
      <c r="B1063" s="6" t="n">
        <v>6.28</v>
      </c>
      <c r="C1063" s="8">
        <f>-PV(B1063/100,$B$3,B1062/100,1)</f>
        <v/>
      </c>
      <c r="D1063" s="8">
        <f>B1062/100/12+(C1063-1)</f>
        <v/>
      </c>
      <c r="E1063" s="8">
        <f>E1062*(1+D1063)</f>
        <v/>
      </c>
    </row>
    <row r="1064">
      <c r="A1064" s="8" t="inlineStr">
        <is>
          <t>2007-03-01</t>
        </is>
      </c>
      <c r="B1064" s="6" t="n">
        <v>6.27</v>
      </c>
      <c r="C1064" s="8">
        <f>-PV(B1064/100,$B$3,B1063/100,1)</f>
        <v/>
      </c>
      <c r="D1064" s="8">
        <f>B1063/100/12+(C1064-1)</f>
        <v/>
      </c>
      <c r="E1064" s="8">
        <f>E1063*(1+D1064)</f>
        <v/>
      </c>
    </row>
    <row r="1065">
      <c r="A1065" s="8" t="inlineStr">
        <is>
          <t>2007-04-01</t>
        </is>
      </c>
      <c r="B1065" s="6" t="n">
        <v>6.39</v>
      </c>
      <c r="C1065" s="8">
        <f>-PV(B1065/100,$B$3,B1064/100,1)</f>
        <v/>
      </c>
      <c r="D1065" s="8">
        <f>B1064/100/12+(C1065-1)</f>
        <v/>
      </c>
      <c r="E1065" s="8">
        <f>E1064*(1+D1065)</f>
        <v/>
      </c>
    </row>
    <row r="1066">
      <c r="A1066" s="8" t="inlineStr">
        <is>
          <t>2007-05-01</t>
        </is>
      </c>
      <c r="B1066" s="6" t="n">
        <v>6.39</v>
      </c>
      <c r="C1066" s="8">
        <f>-PV(B1066/100,$B$3,B1065/100,1)</f>
        <v/>
      </c>
      <c r="D1066" s="8">
        <f>B1065/100/12+(C1066-1)</f>
        <v/>
      </c>
      <c r="E1066" s="8">
        <f>E1065*(1+D1066)</f>
        <v/>
      </c>
    </row>
    <row r="1067">
      <c r="A1067" s="8" t="inlineStr">
        <is>
          <t>2007-06-01</t>
        </is>
      </c>
      <c r="B1067" s="6" t="n">
        <v>6.7</v>
      </c>
      <c r="C1067" s="8">
        <f>-PV(B1067/100,$B$3,B1066/100,1)</f>
        <v/>
      </c>
      <c r="D1067" s="8">
        <f>B1066/100/12+(C1067-1)</f>
        <v/>
      </c>
      <c r="E1067" s="8">
        <f>E1066*(1+D1067)</f>
        <v/>
      </c>
    </row>
    <row r="1068">
      <c r="A1068" s="8" t="inlineStr">
        <is>
          <t>2007-07-01</t>
        </is>
      </c>
      <c r="B1068" s="6" t="n">
        <v>6.65</v>
      </c>
      <c r="C1068" s="8">
        <f>-PV(B1068/100,$B$3,B1067/100,1)</f>
        <v/>
      </c>
      <c r="D1068" s="8">
        <f>B1067/100/12+(C1068-1)</f>
        <v/>
      </c>
      <c r="E1068" s="8">
        <f>E1067*(1+D1068)</f>
        <v/>
      </c>
    </row>
    <row r="1069">
      <c r="A1069" s="8" t="inlineStr">
        <is>
          <t>2007-08-01</t>
        </is>
      </c>
      <c r="B1069" s="6" t="n">
        <v>6.65</v>
      </c>
      <c r="C1069" s="8">
        <f>-PV(B1069/100,$B$3,B1068/100,1)</f>
        <v/>
      </c>
      <c r="D1069" s="8">
        <f>B1068/100/12+(C1069-1)</f>
        <v/>
      </c>
      <c r="E1069" s="8">
        <f>E1068*(1+D1069)</f>
        <v/>
      </c>
    </row>
    <row r="1070">
      <c r="A1070" s="8" t="inlineStr">
        <is>
          <t>2007-09-01</t>
        </is>
      </c>
      <c r="B1070" s="6" t="n">
        <v>6.59</v>
      </c>
      <c r="C1070" s="8">
        <f>-PV(B1070/100,$B$3,B1069/100,1)</f>
        <v/>
      </c>
      <c r="D1070" s="8">
        <f>B1069/100/12+(C1070-1)</f>
        <v/>
      </c>
      <c r="E1070" s="8">
        <f>E1069*(1+D1070)</f>
        <v/>
      </c>
    </row>
    <row r="1071">
      <c r="A1071" s="8" t="inlineStr">
        <is>
          <t>2007-10-01</t>
        </is>
      </c>
      <c r="B1071" s="6" t="n">
        <v>6.48</v>
      </c>
      <c r="C1071" s="8">
        <f>-PV(B1071/100,$B$3,B1070/100,1)</f>
        <v/>
      </c>
      <c r="D1071" s="8">
        <f>B1070/100/12+(C1071-1)</f>
        <v/>
      </c>
      <c r="E1071" s="8">
        <f>E1070*(1+D1071)</f>
        <v/>
      </c>
    </row>
    <row r="1072">
      <c r="A1072" s="8" t="inlineStr">
        <is>
          <t>2007-11-01</t>
        </is>
      </c>
      <c r="B1072" s="6" t="n">
        <v>6.4</v>
      </c>
      <c r="C1072" s="8">
        <f>-PV(B1072/100,$B$3,B1071/100,1)</f>
        <v/>
      </c>
      <c r="D1072" s="8">
        <f>B1071/100/12+(C1072-1)</f>
        <v/>
      </c>
      <c r="E1072" s="8">
        <f>E1071*(1+D1072)</f>
        <v/>
      </c>
    </row>
    <row r="1073">
      <c r="A1073" s="8" t="inlineStr">
        <is>
          <t>2007-12-01</t>
        </is>
      </c>
      <c r="B1073" s="6" t="n">
        <v>6.65</v>
      </c>
      <c r="C1073" s="8">
        <f>-PV(B1073/100,$B$3,B1072/100,1)</f>
        <v/>
      </c>
      <c r="D1073" s="8">
        <f>B1072/100/12+(C1073-1)</f>
        <v/>
      </c>
      <c r="E1073" s="8">
        <f>E1072*(1+D1073)</f>
        <v/>
      </c>
    </row>
    <row r="1074">
      <c r="A1074" s="8" t="inlineStr">
        <is>
          <t>2008-01-01</t>
        </is>
      </c>
      <c r="B1074" s="6" t="n">
        <v>6.54</v>
      </c>
      <c r="C1074" s="8">
        <f>-PV(B1074/100,$B$3,B1073/100,1)</f>
        <v/>
      </c>
      <c r="D1074" s="8">
        <f>B1073/100/12+(C1074-1)</f>
        <v/>
      </c>
      <c r="E1074" s="8">
        <f>E1073*(1+D1074)</f>
        <v/>
      </c>
    </row>
    <row r="1075">
      <c r="A1075" s="8" t="inlineStr">
        <is>
          <t>2008-02-01</t>
        </is>
      </c>
      <c r="B1075" s="6" t="n">
        <v>6.82</v>
      </c>
      <c r="C1075" s="8">
        <f>-PV(B1075/100,$B$3,B1074/100,1)</f>
        <v/>
      </c>
      <c r="D1075" s="8">
        <f>B1074/100/12+(C1075-1)</f>
        <v/>
      </c>
      <c r="E1075" s="8">
        <f>E1074*(1+D1075)</f>
        <v/>
      </c>
    </row>
    <row r="1076">
      <c r="A1076" s="8" t="inlineStr">
        <is>
          <t>2008-03-01</t>
        </is>
      </c>
      <c r="B1076" s="6" t="n">
        <v>6.89</v>
      </c>
      <c r="C1076" s="8">
        <f>-PV(B1076/100,$B$3,B1075/100,1)</f>
        <v/>
      </c>
      <c r="D1076" s="8">
        <f>B1075/100/12+(C1076-1)</f>
        <v/>
      </c>
      <c r="E1076" s="8">
        <f>E1075*(1+D1076)</f>
        <v/>
      </c>
    </row>
    <row r="1077">
      <c r="A1077" s="8" t="inlineStr">
        <is>
          <t>2008-04-01</t>
        </is>
      </c>
      <c r="B1077" s="6" t="n">
        <v>6.97</v>
      </c>
      <c r="C1077" s="8">
        <f>-PV(B1077/100,$B$3,B1076/100,1)</f>
        <v/>
      </c>
      <c r="D1077" s="8">
        <f>B1076/100/12+(C1077-1)</f>
        <v/>
      </c>
      <c r="E1077" s="8">
        <f>E1076*(1+D1077)</f>
        <v/>
      </c>
    </row>
    <row r="1078">
      <c r="A1078" s="8" t="inlineStr">
        <is>
          <t>2008-05-01</t>
        </is>
      </c>
      <c r="B1078" s="6" t="n">
        <v>6.93</v>
      </c>
      <c r="C1078" s="8">
        <f>-PV(B1078/100,$B$3,B1077/100,1)</f>
        <v/>
      </c>
      <c r="D1078" s="8">
        <f>B1077/100/12+(C1078-1)</f>
        <v/>
      </c>
      <c r="E1078" s="8">
        <f>E1077*(1+D1078)</f>
        <v/>
      </c>
    </row>
    <row r="1079">
      <c r="A1079" s="8" t="inlineStr">
        <is>
          <t>2008-06-01</t>
        </is>
      </c>
      <c r="B1079" s="6" t="n">
        <v>7.07</v>
      </c>
      <c r="C1079" s="8">
        <f>-PV(B1079/100,$B$3,B1078/100,1)</f>
        <v/>
      </c>
      <c r="D1079" s="8">
        <f>B1078/100/12+(C1079-1)</f>
        <v/>
      </c>
      <c r="E1079" s="8">
        <f>E1078*(1+D1079)</f>
        <v/>
      </c>
    </row>
    <row r="1080">
      <c r="A1080" s="8" t="inlineStr">
        <is>
          <t>2008-07-01</t>
        </is>
      </c>
      <c r="B1080" s="6" t="n">
        <v>7.16</v>
      </c>
      <c r="C1080" s="8">
        <f>-PV(B1080/100,$B$3,B1079/100,1)</f>
        <v/>
      </c>
      <c r="D1080" s="8">
        <f>B1079/100/12+(C1080-1)</f>
        <v/>
      </c>
      <c r="E1080" s="8">
        <f>E1079*(1+D1080)</f>
        <v/>
      </c>
    </row>
    <row r="1081">
      <c r="A1081" s="8" t="inlineStr">
        <is>
          <t>2008-08-01</t>
        </is>
      </c>
      <c r="B1081" s="6" t="n">
        <v>7.15</v>
      </c>
      <c r="C1081" s="8">
        <f>-PV(B1081/100,$B$3,B1080/100,1)</f>
        <v/>
      </c>
      <c r="D1081" s="8">
        <f>B1080/100/12+(C1081-1)</f>
        <v/>
      </c>
      <c r="E1081" s="8">
        <f>E1080*(1+D1081)</f>
        <v/>
      </c>
    </row>
    <row r="1082">
      <c r="A1082" s="8" t="inlineStr">
        <is>
          <t>2008-09-01</t>
        </is>
      </c>
      <c r="B1082" s="6" t="n">
        <v>7.31</v>
      </c>
      <c r="C1082" s="8">
        <f>-PV(B1082/100,$B$3,B1081/100,1)</f>
        <v/>
      </c>
      <c r="D1082" s="8">
        <f>B1081/100/12+(C1082-1)</f>
        <v/>
      </c>
      <c r="E1082" s="8">
        <f>E1081*(1+D1082)</f>
        <v/>
      </c>
    </row>
    <row r="1083">
      <c r="A1083" s="8" t="inlineStr">
        <is>
          <t>2008-10-01</t>
        </is>
      </c>
      <c r="B1083" s="6" t="n">
        <v>8.880000000000001</v>
      </c>
      <c r="C1083" s="8">
        <f>-PV(B1083/100,$B$3,B1082/100,1)</f>
        <v/>
      </c>
      <c r="D1083" s="8">
        <f>B1082/100/12+(C1083-1)</f>
        <v/>
      </c>
      <c r="E1083" s="8">
        <f>E1082*(1+D1083)</f>
        <v/>
      </c>
    </row>
    <row r="1084">
      <c r="A1084" s="8" t="inlineStr">
        <is>
          <t>2008-11-01</t>
        </is>
      </c>
      <c r="B1084" s="6" t="n">
        <v>9.210000000000001</v>
      </c>
      <c r="C1084" s="8">
        <f>-PV(B1084/100,$B$3,B1083/100,1)</f>
        <v/>
      </c>
      <c r="D1084" s="8">
        <f>B1083/100/12+(C1084-1)</f>
        <v/>
      </c>
      <c r="E1084" s="8">
        <f>E1083*(1+D1084)</f>
        <v/>
      </c>
    </row>
    <row r="1085">
      <c r="A1085" s="8" t="inlineStr">
        <is>
          <t>2008-12-01</t>
        </is>
      </c>
      <c r="B1085" s="6" t="n">
        <v>8.43</v>
      </c>
      <c r="C1085" s="8">
        <f>-PV(B1085/100,$B$3,B1084/100,1)</f>
        <v/>
      </c>
      <c r="D1085" s="8">
        <f>B1084/100/12+(C1085-1)</f>
        <v/>
      </c>
      <c r="E1085" s="8">
        <f>E1084*(1+D1085)</f>
        <v/>
      </c>
    </row>
    <row r="1086">
      <c r="A1086" s="8" t="inlineStr">
        <is>
          <t>2009-01-01</t>
        </is>
      </c>
      <c r="B1086" s="6" t="n">
        <v>8.140000000000001</v>
      </c>
      <c r="C1086" s="8">
        <f>-PV(B1086/100,$B$3,B1085/100,1)</f>
        <v/>
      </c>
      <c r="D1086" s="8">
        <f>B1085/100/12+(C1086-1)</f>
        <v/>
      </c>
      <c r="E1086" s="8">
        <f>E1085*(1+D1086)</f>
        <v/>
      </c>
    </row>
    <row r="1087">
      <c r="A1087" s="8" t="inlineStr">
        <is>
          <t>2009-02-01</t>
        </is>
      </c>
      <c r="B1087" s="6" t="n">
        <v>8.08</v>
      </c>
      <c r="C1087" s="8">
        <f>-PV(B1087/100,$B$3,B1086/100,1)</f>
        <v/>
      </c>
      <c r="D1087" s="8">
        <f>B1086/100/12+(C1087-1)</f>
        <v/>
      </c>
      <c r="E1087" s="8">
        <f>E1086*(1+D1087)</f>
        <v/>
      </c>
    </row>
    <row r="1088">
      <c r="A1088" s="8" t="inlineStr">
        <is>
          <t>2009-03-01</t>
        </is>
      </c>
      <c r="B1088" s="6" t="n">
        <v>8.42</v>
      </c>
      <c r="C1088" s="8">
        <f>-PV(B1088/100,$B$3,B1087/100,1)</f>
        <v/>
      </c>
      <c r="D1088" s="8">
        <f>B1087/100/12+(C1088-1)</f>
        <v/>
      </c>
      <c r="E1088" s="8">
        <f>E1087*(1+D1088)</f>
        <v/>
      </c>
    </row>
    <row r="1089">
      <c r="A1089" s="8" t="inlineStr">
        <is>
          <t>2009-04-01</t>
        </is>
      </c>
      <c r="B1089" s="6" t="n">
        <v>8.390000000000001</v>
      </c>
      <c r="C1089" s="8">
        <f>-PV(B1089/100,$B$3,B1088/100,1)</f>
        <v/>
      </c>
      <c r="D1089" s="8">
        <f>B1088/100/12+(C1089-1)</f>
        <v/>
      </c>
      <c r="E1089" s="8">
        <f>E1088*(1+D1089)</f>
        <v/>
      </c>
    </row>
    <row r="1090">
      <c r="A1090" s="8" t="inlineStr">
        <is>
          <t>2009-05-01</t>
        </is>
      </c>
      <c r="B1090" s="6" t="n">
        <v>8.06</v>
      </c>
      <c r="C1090" s="8">
        <f>-PV(B1090/100,$B$3,B1089/100,1)</f>
        <v/>
      </c>
      <c r="D1090" s="8">
        <f>B1089/100/12+(C1090-1)</f>
        <v/>
      </c>
      <c r="E1090" s="8">
        <f>E1089*(1+D1090)</f>
        <v/>
      </c>
    </row>
    <row r="1091">
      <c r="A1091" s="8" t="inlineStr">
        <is>
          <t>2009-06-01</t>
        </is>
      </c>
      <c r="B1091" s="6" t="n">
        <v>7.5</v>
      </c>
      <c r="C1091" s="8">
        <f>-PV(B1091/100,$B$3,B1090/100,1)</f>
        <v/>
      </c>
      <c r="D1091" s="8">
        <f>B1090/100/12+(C1091-1)</f>
        <v/>
      </c>
      <c r="E1091" s="8">
        <f>E1090*(1+D1091)</f>
        <v/>
      </c>
    </row>
    <row r="1092">
      <c r="A1092" s="8" t="inlineStr">
        <is>
          <t>2009-07-01</t>
        </is>
      </c>
      <c r="B1092" s="6" t="n">
        <v>7.09</v>
      </c>
      <c r="C1092" s="8">
        <f>-PV(B1092/100,$B$3,B1091/100,1)</f>
        <v/>
      </c>
      <c r="D1092" s="8">
        <f>B1091/100/12+(C1092-1)</f>
        <v/>
      </c>
      <c r="E1092" s="8">
        <f>E1091*(1+D1092)</f>
        <v/>
      </c>
    </row>
    <row r="1093">
      <c r="A1093" s="8" t="inlineStr">
        <is>
          <t>2009-08-01</t>
        </is>
      </c>
      <c r="B1093" s="6" t="n">
        <v>6.58</v>
      </c>
      <c r="C1093" s="8">
        <f>-PV(B1093/100,$B$3,B1092/100,1)</f>
        <v/>
      </c>
      <c r="D1093" s="8">
        <f>B1092/100/12+(C1093-1)</f>
        <v/>
      </c>
      <c r="E1093" s="8">
        <f>E1092*(1+D1093)</f>
        <v/>
      </c>
    </row>
    <row r="1094">
      <c r="A1094" s="8" t="inlineStr">
        <is>
          <t>2009-09-01</t>
        </is>
      </c>
      <c r="B1094" s="6" t="n">
        <v>6.31</v>
      </c>
      <c r="C1094" s="8">
        <f>-PV(B1094/100,$B$3,B1093/100,1)</f>
        <v/>
      </c>
      <c r="D1094" s="8">
        <f>B1093/100/12+(C1094-1)</f>
        <v/>
      </c>
      <c r="E1094" s="8">
        <f>E1093*(1+D1094)</f>
        <v/>
      </c>
    </row>
    <row r="1095">
      <c r="A1095" s="8" t="inlineStr">
        <is>
          <t>2009-10-01</t>
        </is>
      </c>
      <c r="B1095" s="6" t="n">
        <v>6.29</v>
      </c>
      <c r="C1095" s="8">
        <f>-PV(B1095/100,$B$3,B1094/100,1)</f>
        <v/>
      </c>
      <c r="D1095" s="8">
        <f>B1094/100/12+(C1095-1)</f>
        <v/>
      </c>
      <c r="E1095" s="8">
        <f>E1094*(1+D1095)</f>
        <v/>
      </c>
    </row>
    <row r="1096">
      <c r="A1096" s="8" t="inlineStr">
        <is>
          <t>2009-11-01</t>
        </is>
      </c>
      <c r="B1096" s="6" t="n">
        <v>6.32</v>
      </c>
      <c r="C1096" s="8">
        <f>-PV(B1096/100,$B$3,B1095/100,1)</f>
        <v/>
      </c>
      <c r="D1096" s="8">
        <f>B1095/100/12+(C1096-1)</f>
        <v/>
      </c>
      <c r="E1096" s="8">
        <f>E1095*(1+D1096)</f>
        <v/>
      </c>
    </row>
    <row r="1097">
      <c r="A1097" s="8" t="inlineStr">
        <is>
          <t>2009-12-01</t>
        </is>
      </c>
      <c r="B1097" s="6" t="n">
        <v>6.37</v>
      </c>
      <c r="C1097" s="8">
        <f>-PV(B1097/100,$B$3,B1096/100,1)</f>
        <v/>
      </c>
      <c r="D1097" s="8">
        <f>B1096/100/12+(C1097-1)</f>
        <v/>
      </c>
      <c r="E1097" s="8">
        <f>E1096*(1+D1097)</f>
        <v/>
      </c>
    </row>
    <row r="1098">
      <c r="A1098" s="8" t="inlineStr">
        <is>
          <t>2010-01-01</t>
        </is>
      </c>
      <c r="B1098" s="6" t="n">
        <v>6.25</v>
      </c>
      <c r="C1098" s="8">
        <f>-PV(B1098/100,$B$3,B1097/100,1)</f>
        <v/>
      </c>
      <c r="D1098" s="8">
        <f>B1097/100/12+(C1098-1)</f>
        <v/>
      </c>
      <c r="E1098" s="8">
        <f>E1097*(1+D1098)</f>
        <v/>
      </c>
    </row>
    <row r="1099">
      <c r="A1099" s="8" t="inlineStr">
        <is>
          <t>2010-02-01</t>
        </is>
      </c>
      <c r="B1099" s="6" t="n">
        <v>6.34</v>
      </c>
      <c r="C1099" s="8">
        <f>-PV(B1099/100,$B$3,B1098/100,1)</f>
        <v/>
      </c>
      <c r="D1099" s="8">
        <f>B1098/100/12+(C1099-1)</f>
        <v/>
      </c>
      <c r="E1099" s="8">
        <f>E1098*(1+D1099)</f>
        <v/>
      </c>
    </row>
    <row r="1100">
      <c r="A1100" s="8" t="inlineStr">
        <is>
          <t>2010-03-01</t>
        </is>
      </c>
      <c r="B1100" s="6" t="n">
        <v>6.27</v>
      </c>
      <c r="C1100" s="8">
        <f>-PV(B1100/100,$B$3,B1099/100,1)</f>
        <v/>
      </c>
      <c r="D1100" s="8">
        <f>B1099/100/12+(C1100-1)</f>
        <v/>
      </c>
      <c r="E1100" s="8">
        <f>E1099*(1+D1100)</f>
        <v/>
      </c>
    </row>
    <row r="1101">
      <c r="A1101" s="8" t="inlineStr">
        <is>
          <t>2010-04-01</t>
        </is>
      </c>
      <c r="B1101" s="6" t="n">
        <v>6.25</v>
      </c>
      <c r="C1101" s="8">
        <f>-PV(B1101/100,$B$3,B1100/100,1)</f>
        <v/>
      </c>
      <c r="D1101" s="8">
        <f>B1100/100/12+(C1101-1)</f>
        <v/>
      </c>
      <c r="E1101" s="8">
        <f>E1100*(1+D1101)</f>
        <v/>
      </c>
    </row>
    <row r="1102">
      <c r="A1102" s="8" t="inlineStr">
        <is>
          <t>2010-05-01</t>
        </is>
      </c>
      <c r="B1102" s="6" t="n">
        <v>6.05</v>
      </c>
      <c r="C1102" s="8">
        <f>-PV(B1102/100,$B$3,B1101/100,1)</f>
        <v/>
      </c>
      <c r="D1102" s="8">
        <f>B1101/100/12+(C1102-1)</f>
        <v/>
      </c>
      <c r="E1102" s="8">
        <f>E1101*(1+D1102)</f>
        <v/>
      </c>
    </row>
    <row r="1103">
      <c r="A1103" s="8" t="inlineStr">
        <is>
          <t>2010-06-01</t>
        </is>
      </c>
      <c r="B1103" s="6" t="n">
        <v>6.23</v>
      </c>
      <c r="C1103" s="8">
        <f>-PV(B1103/100,$B$3,B1102/100,1)</f>
        <v/>
      </c>
      <c r="D1103" s="8">
        <f>B1102/100/12+(C1103-1)</f>
        <v/>
      </c>
      <c r="E1103" s="8">
        <f>E1102*(1+D1103)</f>
        <v/>
      </c>
    </row>
    <row r="1104">
      <c r="A1104" s="8" t="inlineStr">
        <is>
          <t>2010-07-01</t>
        </is>
      </c>
      <c r="B1104" s="6" t="n">
        <v>6.01</v>
      </c>
      <c r="C1104" s="8">
        <f>-PV(B1104/100,$B$3,B1103/100,1)</f>
        <v/>
      </c>
      <c r="D1104" s="8">
        <f>B1103/100/12+(C1104-1)</f>
        <v/>
      </c>
      <c r="E1104" s="8">
        <f>E1103*(1+D1104)</f>
        <v/>
      </c>
    </row>
    <row r="1105">
      <c r="A1105" s="8" t="inlineStr">
        <is>
          <t>2010-08-01</t>
        </is>
      </c>
      <c r="B1105" s="6" t="n">
        <v>5.66</v>
      </c>
      <c r="C1105" s="8">
        <f>-PV(B1105/100,$B$3,B1104/100,1)</f>
        <v/>
      </c>
      <c r="D1105" s="8">
        <f>B1104/100/12+(C1105-1)</f>
        <v/>
      </c>
      <c r="E1105" s="8">
        <f>E1104*(1+D1105)</f>
        <v/>
      </c>
    </row>
    <row r="1106">
      <c r="A1106" s="8" t="inlineStr">
        <is>
          <t>2010-09-01</t>
        </is>
      </c>
      <c r="B1106" s="6" t="n">
        <v>5.66</v>
      </c>
      <c r="C1106" s="8">
        <f>-PV(B1106/100,$B$3,B1105/100,1)</f>
        <v/>
      </c>
      <c r="D1106" s="8">
        <f>B1105/100/12+(C1106-1)</f>
        <v/>
      </c>
      <c r="E1106" s="8">
        <f>E1105*(1+D1106)</f>
        <v/>
      </c>
    </row>
    <row r="1107">
      <c r="A1107" s="8" t="inlineStr">
        <is>
          <t>2010-10-01</t>
        </is>
      </c>
      <c r="B1107" s="6" t="n">
        <v>5.72</v>
      </c>
      <c r="C1107" s="8">
        <f>-PV(B1107/100,$B$3,B1106/100,1)</f>
        <v/>
      </c>
      <c r="D1107" s="8">
        <f>B1106/100/12+(C1107-1)</f>
        <v/>
      </c>
      <c r="E1107" s="8">
        <f>E1106*(1+D1107)</f>
        <v/>
      </c>
    </row>
    <row r="1108">
      <c r="A1108" s="8" t="inlineStr">
        <is>
          <t>2010-11-01</t>
        </is>
      </c>
      <c r="B1108" s="6" t="n">
        <v>5.92</v>
      </c>
      <c r="C1108" s="8">
        <f>-PV(B1108/100,$B$3,B1107/100,1)</f>
        <v/>
      </c>
      <c r="D1108" s="8">
        <f>B1107/100/12+(C1108-1)</f>
        <v/>
      </c>
      <c r="E1108" s="8">
        <f>E1107*(1+D1108)</f>
        <v/>
      </c>
    </row>
    <row r="1109">
      <c r="A1109" s="8" t="inlineStr">
        <is>
          <t>2010-12-01</t>
        </is>
      </c>
      <c r="B1109" s="6" t="n">
        <v>6.1</v>
      </c>
      <c r="C1109" s="8">
        <f>-PV(B1109/100,$B$3,B1108/100,1)</f>
        <v/>
      </c>
      <c r="D1109" s="8">
        <f>B1108/100/12+(C1109-1)</f>
        <v/>
      </c>
      <c r="E1109" s="8">
        <f>E1108*(1+D1109)</f>
        <v/>
      </c>
    </row>
    <row r="1110">
      <c r="A1110" s="8" t="inlineStr">
        <is>
          <t>2011-01-01</t>
        </is>
      </c>
      <c r="B1110" s="6" t="n">
        <v>6.09</v>
      </c>
      <c r="C1110" s="8">
        <f>-PV(B1110/100,$B$3,B1109/100,1)</f>
        <v/>
      </c>
      <c r="D1110" s="8">
        <f>B1109/100/12+(C1110-1)</f>
        <v/>
      </c>
      <c r="E1110" s="8">
        <f>E1109*(1+D1110)</f>
        <v/>
      </c>
    </row>
    <row r="1111">
      <c r="A1111" s="8" t="inlineStr">
        <is>
          <t>2011-02-01</t>
        </is>
      </c>
      <c r="B1111" s="6" t="n">
        <v>6.15</v>
      </c>
      <c r="C1111" s="8">
        <f>-PV(B1111/100,$B$3,B1110/100,1)</f>
        <v/>
      </c>
      <c r="D1111" s="8">
        <f>B1110/100/12+(C1111-1)</f>
        <v/>
      </c>
      <c r="E1111" s="8">
        <f>E1110*(1+D1111)</f>
        <v/>
      </c>
    </row>
    <row r="1112">
      <c r="A1112" s="8" t="inlineStr">
        <is>
          <t>2011-03-01</t>
        </is>
      </c>
      <c r="B1112" s="6" t="n">
        <v>6.03</v>
      </c>
      <c r="C1112" s="8">
        <f>-PV(B1112/100,$B$3,B1111/100,1)</f>
        <v/>
      </c>
      <c r="D1112" s="8">
        <f>B1111/100/12+(C1112-1)</f>
        <v/>
      </c>
      <c r="E1112" s="8">
        <f>E1111*(1+D1112)</f>
        <v/>
      </c>
    </row>
    <row r="1113">
      <c r="A1113" s="8" t="inlineStr">
        <is>
          <t>2011-04-01</t>
        </is>
      </c>
      <c r="B1113" s="6" t="n">
        <v>6.02</v>
      </c>
      <c r="C1113" s="8">
        <f>-PV(B1113/100,$B$3,B1112/100,1)</f>
        <v/>
      </c>
      <c r="D1113" s="8">
        <f>B1112/100/12+(C1113-1)</f>
        <v/>
      </c>
      <c r="E1113" s="8">
        <f>E1112*(1+D1113)</f>
        <v/>
      </c>
    </row>
    <row r="1114">
      <c r="A1114" s="8" t="inlineStr">
        <is>
          <t>2011-05-01</t>
        </is>
      </c>
      <c r="B1114" s="6" t="n">
        <v>5.78</v>
      </c>
      <c r="C1114" s="8">
        <f>-PV(B1114/100,$B$3,B1113/100,1)</f>
        <v/>
      </c>
      <c r="D1114" s="8">
        <f>B1113/100/12+(C1114-1)</f>
        <v/>
      </c>
      <c r="E1114" s="8">
        <f>E1113*(1+D1114)</f>
        <v/>
      </c>
    </row>
    <row r="1115">
      <c r="A1115" s="8" t="inlineStr">
        <is>
          <t>2011-06-01</t>
        </is>
      </c>
      <c r="B1115" s="6" t="n">
        <v>5.75</v>
      </c>
      <c r="C1115" s="8">
        <f>-PV(B1115/100,$B$3,B1114/100,1)</f>
        <v/>
      </c>
      <c r="D1115" s="8">
        <f>B1114/100/12+(C1115-1)</f>
        <v/>
      </c>
      <c r="E1115" s="8">
        <f>E1114*(1+D1115)</f>
        <v/>
      </c>
    </row>
    <row r="1116">
      <c r="A1116" s="8" t="inlineStr">
        <is>
          <t>2011-07-01</t>
        </is>
      </c>
      <c r="B1116" s="6" t="n">
        <v>5.76</v>
      </c>
      <c r="C1116" s="8">
        <f>-PV(B1116/100,$B$3,B1115/100,1)</f>
        <v/>
      </c>
      <c r="D1116" s="8">
        <f>B1115/100/12+(C1116-1)</f>
        <v/>
      </c>
      <c r="E1116" s="8">
        <f>E1115*(1+D1116)</f>
        <v/>
      </c>
    </row>
    <row r="1117">
      <c r="A1117" s="8" t="inlineStr">
        <is>
          <t>2011-08-01</t>
        </is>
      </c>
      <c r="B1117" s="6" t="n">
        <v>5.36</v>
      </c>
      <c r="C1117" s="8">
        <f>-PV(B1117/100,$B$3,B1116/100,1)</f>
        <v/>
      </c>
      <c r="D1117" s="8">
        <f>B1116/100/12+(C1117-1)</f>
        <v/>
      </c>
      <c r="E1117" s="8">
        <f>E1116*(1+D1117)</f>
        <v/>
      </c>
    </row>
    <row r="1118">
      <c r="A1118" s="8" t="inlineStr">
        <is>
          <t>2011-09-01</t>
        </is>
      </c>
      <c r="B1118" s="6" t="n">
        <v>5.27</v>
      </c>
      <c r="C1118" s="8">
        <f>-PV(B1118/100,$B$3,B1117/100,1)</f>
        <v/>
      </c>
      <c r="D1118" s="8">
        <f>B1117/100/12+(C1118-1)</f>
        <v/>
      </c>
      <c r="E1118" s="8">
        <f>E1117*(1+D1118)</f>
        <v/>
      </c>
    </row>
    <row r="1119">
      <c r="A1119" s="8" t="inlineStr">
        <is>
          <t>2011-10-01</t>
        </is>
      </c>
      <c r="B1119" s="6" t="n">
        <v>5.37</v>
      </c>
      <c r="C1119" s="8">
        <f>-PV(B1119/100,$B$3,B1118/100,1)</f>
        <v/>
      </c>
      <c r="D1119" s="8">
        <f>B1118/100/12+(C1119-1)</f>
        <v/>
      </c>
      <c r="E1119" s="8">
        <f>E1118*(1+D1119)</f>
        <v/>
      </c>
    </row>
    <row r="1120">
      <c r="A1120" s="8" t="inlineStr">
        <is>
          <t>2011-11-01</t>
        </is>
      </c>
      <c r="B1120" s="6" t="n">
        <v>5.14</v>
      </c>
      <c r="C1120" s="8">
        <f>-PV(B1120/100,$B$3,B1119/100,1)</f>
        <v/>
      </c>
      <c r="D1120" s="8">
        <f>B1119/100/12+(C1120-1)</f>
        <v/>
      </c>
      <c r="E1120" s="8">
        <f>E1119*(1+D1120)</f>
        <v/>
      </c>
    </row>
    <row r="1121">
      <c r="A1121" s="8" t="inlineStr">
        <is>
          <t>2011-12-01</t>
        </is>
      </c>
      <c r="B1121" s="6" t="n">
        <v>5.25</v>
      </c>
      <c r="C1121" s="8">
        <f>-PV(B1121/100,$B$3,B1120/100,1)</f>
        <v/>
      </c>
      <c r="D1121" s="8">
        <f>B1120/100/12+(C1121-1)</f>
        <v/>
      </c>
      <c r="E1121" s="8">
        <f>E1120*(1+D1121)</f>
        <v/>
      </c>
    </row>
    <row r="1122">
      <c r="A1122" s="8" t="inlineStr">
        <is>
          <t>2012-01-01</t>
        </is>
      </c>
      <c r="B1122" s="6" t="n">
        <v>5.23</v>
      </c>
      <c r="C1122" s="8">
        <f>-PV(B1122/100,$B$3,B1121/100,1)</f>
        <v/>
      </c>
      <c r="D1122" s="8">
        <f>B1121/100/12+(C1122-1)</f>
        <v/>
      </c>
      <c r="E1122" s="8">
        <f>E1121*(1+D1122)</f>
        <v/>
      </c>
    </row>
    <row r="1123">
      <c r="A1123" s="8" t="inlineStr">
        <is>
          <t>2012-02-01</t>
        </is>
      </c>
      <c r="B1123" s="6" t="n">
        <v>5.14</v>
      </c>
      <c r="C1123" s="8">
        <f>-PV(B1123/100,$B$3,B1122/100,1)</f>
        <v/>
      </c>
      <c r="D1123" s="8">
        <f>B1122/100/12+(C1123-1)</f>
        <v/>
      </c>
      <c r="E1123" s="8">
        <f>E1122*(1+D1123)</f>
        <v/>
      </c>
    </row>
    <row r="1124">
      <c r="A1124" s="8" t="inlineStr">
        <is>
          <t>2012-03-01</t>
        </is>
      </c>
      <c r="B1124" s="6" t="n">
        <v>5.23</v>
      </c>
      <c r="C1124" s="8">
        <f>-PV(B1124/100,$B$3,B1123/100,1)</f>
        <v/>
      </c>
      <c r="D1124" s="8">
        <f>B1123/100/12+(C1124-1)</f>
        <v/>
      </c>
      <c r="E1124" s="8">
        <f>E1123*(1+D1124)</f>
        <v/>
      </c>
    </row>
    <row r="1125">
      <c r="A1125" s="8" t="inlineStr">
        <is>
          <t>2012-04-01</t>
        </is>
      </c>
      <c r="B1125" s="6" t="n">
        <v>5.19</v>
      </c>
      <c r="C1125" s="8">
        <f>-PV(B1125/100,$B$3,B1124/100,1)</f>
        <v/>
      </c>
      <c r="D1125" s="8">
        <f>B1124/100/12+(C1125-1)</f>
        <v/>
      </c>
      <c r="E1125" s="8">
        <f>E1124*(1+D1125)</f>
        <v/>
      </c>
    </row>
    <row r="1126">
      <c r="A1126" s="8" t="inlineStr">
        <is>
          <t>2012-05-01</t>
        </is>
      </c>
      <c r="B1126" s="6" t="n">
        <v>5.07</v>
      </c>
      <c r="C1126" s="8">
        <f>-PV(B1126/100,$B$3,B1125/100,1)</f>
        <v/>
      </c>
      <c r="D1126" s="8">
        <f>B1125/100/12+(C1126-1)</f>
        <v/>
      </c>
      <c r="E1126" s="8">
        <f>E1125*(1+D1126)</f>
        <v/>
      </c>
    </row>
    <row r="1127">
      <c r="A1127" s="8" t="inlineStr">
        <is>
          <t>2012-06-01</t>
        </is>
      </c>
      <c r="B1127" s="6" t="n">
        <v>5.02</v>
      </c>
      <c r="C1127" s="8">
        <f>-PV(B1127/100,$B$3,B1126/100,1)</f>
        <v/>
      </c>
      <c r="D1127" s="8">
        <f>B1126/100/12+(C1127-1)</f>
        <v/>
      </c>
      <c r="E1127" s="8">
        <f>E1126*(1+D1127)</f>
        <v/>
      </c>
    </row>
    <row r="1128">
      <c r="A1128" s="8" t="inlineStr">
        <is>
          <t>2012-07-01</t>
        </is>
      </c>
      <c r="B1128" s="6" t="n">
        <v>4.87</v>
      </c>
      <c r="C1128" s="8">
        <f>-PV(B1128/100,$B$3,B1127/100,1)</f>
        <v/>
      </c>
      <c r="D1128" s="8">
        <f>B1127/100/12+(C1128-1)</f>
        <v/>
      </c>
      <c r="E1128" s="8">
        <f>E1127*(1+D1128)</f>
        <v/>
      </c>
    </row>
    <row r="1129">
      <c r="A1129" s="8" t="inlineStr">
        <is>
          <t>2012-08-01</t>
        </is>
      </c>
      <c r="B1129" s="6" t="n">
        <v>4.91</v>
      </c>
      <c r="C1129" s="8">
        <f>-PV(B1129/100,$B$3,B1128/100,1)</f>
        <v/>
      </c>
      <c r="D1129" s="8">
        <f>B1128/100/12+(C1129-1)</f>
        <v/>
      </c>
      <c r="E1129" s="8">
        <f>E1128*(1+D1129)</f>
        <v/>
      </c>
    </row>
    <row r="1130">
      <c r="A1130" s="8" t="inlineStr">
        <is>
          <t>2012-09-01</t>
        </is>
      </c>
      <c r="B1130" s="6" t="n">
        <v>4.84</v>
      </c>
      <c r="C1130" s="8">
        <f>-PV(B1130/100,$B$3,B1129/100,1)</f>
        <v/>
      </c>
      <c r="D1130" s="8">
        <f>B1129/100/12+(C1130-1)</f>
        <v/>
      </c>
      <c r="E1130" s="8">
        <f>E1129*(1+D1130)</f>
        <v/>
      </c>
    </row>
    <row r="1131">
      <c r="A1131" s="8" t="inlineStr">
        <is>
          <t>2012-10-01</t>
        </is>
      </c>
      <c r="B1131" s="6" t="n">
        <v>4.58</v>
      </c>
      <c r="C1131" s="8">
        <f>-PV(B1131/100,$B$3,B1130/100,1)</f>
        <v/>
      </c>
      <c r="D1131" s="8">
        <f>B1130/100/12+(C1131-1)</f>
        <v/>
      </c>
      <c r="E1131" s="8">
        <f>E1130*(1+D1131)</f>
        <v/>
      </c>
    </row>
    <row r="1132">
      <c r="A1132" s="8" t="inlineStr">
        <is>
          <t>2012-11-01</t>
        </is>
      </c>
      <c r="B1132" s="6" t="n">
        <v>4.51</v>
      </c>
      <c r="C1132" s="8">
        <f>-PV(B1132/100,$B$3,B1131/100,1)</f>
        <v/>
      </c>
      <c r="D1132" s="8">
        <f>B1131/100/12+(C1132-1)</f>
        <v/>
      </c>
      <c r="E1132" s="8">
        <f>E1131*(1+D1132)</f>
        <v/>
      </c>
    </row>
    <row r="1133">
      <c r="A1133" s="8" t="inlineStr">
        <is>
          <t>2012-12-01</t>
        </is>
      </c>
      <c r="B1133" s="6" t="n">
        <v>4.63</v>
      </c>
      <c r="C1133" s="8">
        <f>-PV(B1133/100,$B$3,B1132/100,1)</f>
        <v/>
      </c>
      <c r="D1133" s="8">
        <f>B1132/100/12+(C1133-1)</f>
        <v/>
      </c>
      <c r="E1133" s="8">
        <f>E1132*(1+D1133)</f>
        <v/>
      </c>
    </row>
    <row r="1134">
      <c r="A1134" s="8" t="inlineStr">
        <is>
          <t>2013-01-01</t>
        </is>
      </c>
      <c r="B1134" s="6" t="n">
        <v>4.73</v>
      </c>
      <c r="C1134" s="8">
        <f>-PV(B1134/100,$B$3,B1133/100,1)</f>
        <v/>
      </c>
      <c r="D1134" s="8">
        <f>B1133/100/12+(C1134-1)</f>
        <v/>
      </c>
      <c r="E1134" s="8">
        <f>E1133*(1+D1134)</f>
        <v/>
      </c>
    </row>
    <row r="1135">
      <c r="A1135" s="8" t="inlineStr">
        <is>
          <t>2013-02-01</t>
        </is>
      </c>
      <c r="B1135" s="6" t="n">
        <v>4.85</v>
      </c>
      <c r="C1135" s="8">
        <f>-PV(B1135/100,$B$3,B1134/100,1)</f>
        <v/>
      </c>
      <c r="D1135" s="8">
        <f>B1134/100/12+(C1135-1)</f>
        <v/>
      </c>
      <c r="E1135" s="8">
        <f>E1134*(1+D1135)</f>
        <v/>
      </c>
    </row>
    <row r="1136">
      <c r="A1136" s="8" t="inlineStr">
        <is>
          <t>2013-03-01</t>
        </is>
      </c>
      <c r="B1136" s="6" t="n">
        <v>4.85</v>
      </c>
      <c r="C1136" s="8">
        <f>-PV(B1136/100,$B$3,B1135/100,1)</f>
        <v/>
      </c>
      <c r="D1136" s="8">
        <f>B1135/100/12+(C1136-1)</f>
        <v/>
      </c>
      <c r="E1136" s="8">
        <f>E1135*(1+D1136)</f>
        <v/>
      </c>
    </row>
    <row r="1137">
      <c r="A1137" s="8" t="inlineStr">
        <is>
          <t>2013-04-01</t>
        </is>
      </c>
      <c r="B1137" s="6" t="n">
        <v>4.59</v>
      </c>
      <c r="C1137" s="8">
        <f>-PV(B1137/100,$B$3,B1136/100,1)</f>
        <v/>
      </c>
      <c r="D1137" s="8">
        <f>B1136/100/12+(C1137-1)</f>
        <v/>
      </c>
      <c r="E1137" s="8">
        <f>E1136*(1+D1137)</f>
        <v/>
      </c>
    </row>
    <row r="1138">
      <c r="A1138" s="8" t="inlineStr">
        <is>
          <t>2013-05-01</t>
        </is>
      </c>
      <c r="B1138" s="6" t="n">
        <v>4.73</v>
      </c>
      <c r="C1138" s="8">
        <f>-PV(B1138/100,$B$3,B1137/100,1)</f>
        <v/>
      </c>
      <c r="D1138" s="8">
        <f>B1137/100/12+(C1138-1)</f>
        <v/>
      </c>
      <c r="E1138" s="8">
        <f>E1137*(1+D1138)</f>
        <v/>
      </c>
    </row>
    <row r="1139">
      <c r="A1139" s="8" t="inlineStr">
        <is>
          <t>2013-06-01</t>
        </is>
      </c>
      <c r="B1139" s="6" t="n">
        <v>5.19</v>
      </c>
      <c r="C1139" s="8">
        <f>-PV(B1139/100,$B$3,B1138/100,1)</f>
        <v/>
      </c>
      <c r="D1139" s="8">
        <f>B1138/100/12+(C1139-1)</f>
        <v/>
      </c>
      <c r="E1139" s="8">
        <f>E1138*(1+D1139)</f>
        <v/>
      </c>
    </row>
    <row r="1140">
      <c r="A1140" s="8" t="inlineStr">
        <is>
          <t>2013-07-01</t>
        </is>
      </c>
      <c r="B1140" s="6" t="n">
        <v>5.32</v>
      </c>
      <c r="C1140" s="8">
        <f>-PV(B1140/100,$B$3,B1139/100,1)</f>
        <v/>
      </c>
      <c r="D1140" s="8">
        <f>B1139/100/12+(C1140-1)</f>
        <v/>
      </c>
      <c r="E1140" s="8">
        <f>E1139*(1+D1140)</f>
        <v/>
      </c>
    </row>
    <row r="1141">
      <c r="A1141" s="8" t="inlineStr">
        <is>
          <t>2013-08-01</t>
        </is>
      </c>
      <c r="B1141" s="6" t="n">
        <v>5.42</v>
      </c>
      <c r="C1141" s="8">
        <f>-PV(B1141/100,$B$3,B1140/100,1)</f>
        <v/>
      </c>
      <c r="D1141" s="8">
        <f>B1140/100/12+(C1141-1)</f>
        <v/>
      </c>
      <c r="E1141" s="8">
        <f>E1140*(1+D1141)</f>
        <v/>
      </c>
    </row>
    <row r="1142">
      <c r="A1142" s="8" t="inlineStr">
        <is>
          <t>2013-09-01</t>
        </is>
      </c>
      <c r="B1142" s="6" t="n">
        <v>5.47</v>
      </c>
      <c r="C1142" s="8">
        <f>-PV(B1142/100,$B$3,B1141/100,1)</f>
        <v/>
      </c>
      <c r="D1142" s="8">
        <f>B1141/100/12+(C1142-1)</f>
        <v/>
      </c>
      <c r="E1142" s="8">
        <f>E1141*(1+D1142)</f>
        <v/>
      </c>
    </row>
    <row r="1143">
      <c r="A1143" s="8" t="inlineStr">
        <is>
          <t>2013-10-01</t>
        </is>
      </c>
      <c r="B1143" s="6" t="n">
        <v>5.31</v>
      </c>
      <c r="C1143" s="8">
        <f>-PV(B1143/100,$B$3,B1142/100,1)</f>
        <v/>
      </c>
      <c r="D1143" s="8">
        <f>B1142/100/12+(C1143-1)</f>
        <v/>
      </c>
      <c r="E1143" s="8">
        <f>E1142*(1+D1143)</f>
        <v/>
      </c>
    </row>
    <row r="1144">
      <c r="A1144" s="8" t="inlineStr">
        <is>
          <t>2013-11-01</t>
        </is>
      </c>
      <c r="B1144" s="6" t="n">
        <v>5.38</v>
      </c>
      <c r="C1144" s="8">
        <f>-PV(B1144/100,$B$3,B1143/100,1)</f>
        <v/>
      </c>
      <c r="D1144" s="8">
        <f>B1143/100/12+(C1144-1)</f>
        <v/>
      </c>
      <c r="E1144" s="8">
        <f>E1143*(1+D1144)</f>
        <v/>
      </c>
    </row>
    <row r="1145">
      <c r="A1145" s="8" t="inlineStr">
        <is>
          <t>2013-12-01</t>
        </is>
      </c>
      <c r="B1145" s="6" t="n">
        <v>5.38</v>
      </c>
      <c r="C1145" s="8">
        <f>-PV(B1145/100,$B$3,B1144/100,1)</f>
        <v/>
      </c>
      <c r="D1145" s="8">
        <f>B1144/100/12+(C1145-1)</f>
        <v/>
      </c>
      <c r="E1145" s="8">
        <f>E1144*(1+D1145)</f>
        <v/>
      </c>
    </row>
    <row r="1146">
      <c r="A1146" s="8" t="inlineStr">
        <is>
          <t>2014-01-01</t>
        </is>
      </c>
      <c r="B1146" s="6" t="n">
        <v>5.19</v>
      </c>
      <c r="C1146" s="8">
        <f>-PV(B1146/100,$B$3,B1145/100,1)</f>
        <v/>
      </c>
      <c r="D1146" s="8">
        <f>B1145/100/12+(C1146-1)</f>
        <v/>
      </c>
      <c r="E1146" s="8">
        <f>E1145*(1+D1146)</f>
        <v/>
      </c>
    </row>
    <row r="1147">
      <c r="A1147" s="8" t="inlineStr">
        <is>
          <t>2014-02-01</t>
        </is>
      </c>
      <c r="B1147" s="6" t="n">
        <v>5.1</v>
      </c>
      <c r="C1147" s="8">
        <f>-PV(B1147/100,$B$3,B1146/100,1)</f>
        <v/>
      </c>
      <c r="D1147" s="8">
        <f>B1146/100/12+(C1147-1)</f>
        <v/>
      </c>
      <c r="E1147" s="8">
        <f>E1146*(1+D1147)</f>
        <v/>
      </c>
    </row>
    <row r="1148">
      <c r="A1148" s="8" t="inlineStr">
        <is>
          <t>2014-03-01</t>
        </is>
      </c>
      <c r="B1148" s="6" t="n">
        <v>5.06</v>
      </c>
      <c r="C1148" s="8">
        <f>-PV(B1148/100,$B$3,B1147/100,1)</f>
        <v/>
      </c>
      <c r="D1148" s="8">
        <f>B1147/100/12+(C1148-1)</f>
        <v/>
      </c>
      <c r="E1148" s="8">
        <f>E1147*(1+D1148)</f>
        <v/>
      </c>
    </row>
    <row r="1149">
      <c r="A1149" s="8" t="inlineStr">
        <is>
          <t>2014-04-01</t>
        </is>
      </c>
      <c r="B1149" s="6" t="n">
        <v>4.9</v>
      </c>
      <c r="C1149" s="8">
        <f>-PV(B1149/100,$B$3,B1148/100,1)</f>
        <v/>
      </c>
      <c r="D1149" s="8">
        <f>B1148/100/12+(C1149-1)</f>
        <v/>
      </c>
      <c r="E1149" s="8">
        <f>E1148*(1+D1149)</f>
        <v/>
      </c>
    </row>
    <row r="1150">
      <c r="A1150" s="8" t="inlineStr">
        <is>
          <t>2014-05-01</t>
        </is>
      </c>
      <c r="B1150" s="6" t="n">
        <v>4.76</v>
      </c>
      <c r="C1150" s="8">
        <f>-PV(B1150/100,$B$3,B1149/100,1)</f>
        <v/>
      </c>
      <c r="D1150" s="8">
        <f>B1149/100/12+(C1150-1)</f>
        <v/>
      </c>
      <c r="E1150" s="8">
        <f>E1149*(1+D1150)</f>
        <v/>
      </c>
    </row>
    <row r="1151">
      <c r="A1151" s="8" t="inlineStr">
        <is>
          <t>2014-06-01</t>
        </is>
      </c>
      <c r="B1151" s="6" t="n">
        <v>4.8</v>
      </c>
      <c r="C1151" s="8">
        <f>-PV(B1151/100,$B$3,B1150/100,1)</f>
        <v/>
      </c>
      <c r="D1151" s="8">
        <f>B1150/100/12+(C1151-1)</f>
        <v/>
      </c>
      <c r="E1151" s="8">
        <f>E1150*(1+D1151)</f>
        <v/>
      </c>
    </row>
    <row r="1152">
      <c r="A1152" s="8" t="inlineStr">
        <is>
          <t>2014-07-01</t>
        </is>
      </c>
      <c r="B1152" s="6" t="n">
        <v>4.73</v>
      </c>
      <c r="C1152" s="8">
        <f>-PV(B1152/100,$B$3,B1151/100,1)</f>
        <v/>
      </c>
      <c r="D1152" s="8">
        <f>B1151/100/12+(C1152-1)</f>
        <v/>
      </c>
      <c r="E1152" s="8">
        <f>E1151*(1+D1152)</f>
        <v/>
      </c>
    </row>
    <row r="1153">
      <c r="A1153" s="8" t="inlineStr">
        <is>
          <t>2014-08-01</t>
        </is>
      </c>
      <c r="B1153" s="6" t="n">
        <v>4.69</v>
      </c>
      <c r="C1153" s="8">
        <f>-PV(B1153/100,$B$3,B1152/100,1)</f>
        <v/>
      </c>
      <c r="D1153" s="8">
        <f>B1152/100/12+(C1153-1)</f>
        <v/>
      </c>
      <c r="E1153" s="8">
        <f>E1152*(1+D1153)</f>
        <v/>
      </c>
    </row>
    <row r="1154">
      <c r="A1154" s="8" t="inlineStr">
        <is>
          <t>2014-09-01</t>
        </is>
      </c>
      <c r="B1154" s="6" t="n">
        <v>4.8</v>
      </c>
      <c r="C1154" s="8">
        <f>-PV(B1154/100,$B$3,B1153/100,1)</f>
        <v/>
      </c>
      <c r="D1154" s="8">
        <f>B1153/100/12+(C1154-1)</f>
        <v/>
      </c>
      <c r="E1154" s="8">
        <f>E1153*(1+D1154)</f>
        <v/>
      </c>
    </row>
    <row r="1155">
      <c r="A1155" s="8" t="inlineStr">
        <is>
          <t>2014-10-01</t>
        </is>
      </c>
      <c r="B1155" s="6" t="n">
        <v>4.69</v>
      </c>
      <c r="C1155" s="8">
        <f>-PV(B1155/100,$B$3,B1154/100,1)</f>
        <v/>
      </c>
      <c r="D1155" s="8">
        <f>B1154/100/12+(C1155-1)</f>
        <v/>
      </c>
      <c r="E1155" s="8">
        <f>E1154*(1+D1155)</f>
        <v/>
      </c>
    </row>
    <row r="1156">
      <c r="A1156" s="8" t="inlineStr">
        <is>
          <t>2014-11-01</t>
        </is>
      </c>
      <c r="B1156" s="6" t="n">
        <v>4.79</v>
      </c>
      <c r="C1156" s="8">
        <f>-PV(B1156/100,$B$3,B1155/100,1)</f>
        <v/>
      </c>
      <c r="D1156" s="8">
        <f>B1155/100/12+(C1156-1)</f>
        <v/>
      </c>
      <c r="E1156" s="8">
        <f>E1155*(1+D1156)</f>
        <v/>
      </c>
    </row>
    <row r="1157">
      <c r="A1157" s="8" t="inlineStr">
        <is>
          <t>2014-12-01</t>
        </is>
      </c>
      <c r="B1157" s="6" t="n">
        <v>4.74</v>
      </c>
      <c r="C1157" s="8">
        <f>-PV(B1157/100,$B$3,B1156/100,1)</f>
        <v/>
      </c>
      <c r="D1157" s="8">
        <f>B1156/100/12+(C1157-1)</f>
        <v/>
      </c>
      <c r="E1157" s="8">
        <f>E1156*(1+D1157)</f>
        <v/>
      </c>
    </row>
    <row r="1158">
      <c r="A1158" s="8" t="inlineStr">
        <is>
          <t>2015-01-01</t>
        </is>
      </c>
      <c r="B1158" s="6" t="n">
        <v>4.45</v>
      </c>
      <c r="C1158" s="8">
        <f>-PV(B1158/100,$B$3,B1157/100,1)</f>
        <v/>
      </c>
      <c r="D1158" s="8">
        <f>B1157/100/12+(C1158-1)</f>
        <v/>
      </c>
      <c r="E1158" s="8">
        <f>E1157*(1+D1158)</f>
        <v/>
      </c>
    </row>
    <row r="1159">
      <c r="A1159" s="8" t="inlineStr">
        <is>
          <t>2015-02-01</t>
        </is>
      </c>
      <c r="B1159" s="6" t="n">
        <v>4.51</v>
      </c>
      <c r="C1159" s="8">
        <f>-PV(B1159/100,$B$3,B1158/100,1)</f>
        <v/>
      </c>
      <c r="D1159" s="8">
        <f>B1158/100/12+(C1159-1)</f>
        <v/>
      </c>
      <c r="E1159" s="8">
        <f>E1158*(1+D1159)</f>
        <v/>
      </c>
    </row>
    <row r="1160">
      <c r="A1160" s="8" t="inlineStr">
        <is>
          <t>2015-03-01</t>
        </is>
      </c>
      <c r="B1160" s="6" t="n">
        <v>4.54</v>
      </c>
      <c r="C1160" s="8">
        <f>-PV(B1160/100,$B$3,B1159/100,1)</f>
        <v/>
      </c>
      <c r="D1160" s="8">
        <f>B1159/100/12+(C1160-1)</f>
        <v/>
      </c>
      <c r="E1160" s="8">
        <f>E1159*(1+D1160)</f>
        <v/>
      </c>
    </row>
    <row r="1161">
      <c r="A1161" s="8" t="inlineStr">
        <is>
          <t>2015-04-01</t>
        </is>
      </c>
      <c r="B1161" s="6" t="n">
        <v>4.48</v>
      </c>
      <c r="C1161" s="8">
        <f>-PV(B1161/100,$B$3,B1160/100,1)</f>
        <v/>
      </c>
      <c r="D1161" s="8">
        <f>B1160/100/12+(C1161-1)</f>
        <v/>
      </c>
      <c r="E1161" s="8">
        <f>E1160*(1+D1161)</f>
        <v/>
      </c>
    </row>
    <row r="1162">
      <c r="A1162" s="8" t="inlineStr">
        <is>
          <t>2015-05-01</t>
        </is>
      </c>
      <c r="B1162" s="6" t="n">
        <v>4.89</v>
      </c>
      <c r="C1162" s="8">
        <f>-PV(B1162/100,$B$3,B1161/100,1)</f>
        <v/>
      </c>
      <c r="D1162" s="8">
        <f>B1161/100/12+(C1162-1)</f>
        <v/>
      </c>
      <c r="E1162" s="8">
        <f>E1161*(1+D1162)</f>
        <v/>
      </c>
    </row>
    <row r="1163">
      <c r="A1163" s="8" t="inlineStr">
        <is>
          <t>2015-06-01</t>
        </is>
      </c>
      <c r="B1163" s="6" t="n">
        <v>5.13</v>
      </c>
      <c r="C1163" s="8">
        <f>-PV(B1163/100,$B$3,B1162/100,1)</f>
        <v/>
      </c>
      <c r="D1163" s="8">
        <f>B1162/100/12+(C1163-1)</f>
        <v/>
      </c>
      <c r="E1163" s="8">
        <f>E1162*(1+D1163)</f>
        <v/>
      </c>
    </row>
    <row r="1164">
      <c r="A1164" s="8" t="inlineStr">
        <is>
          <t>2015-07-01</t>
        </is>
      </c>
      <c r="B1164" s="6" t="n">
        <v>5.2</v>
      </c>
      <c r="C1164" s="8">
        <f>-PV(B1164/100,$B$3,B1163/100,1)</f>
        <v/>
      </c>
      <c r="D1164" s="8">
        <f>B1163/100/12+(C1164-1)</f>
        <v/>
      </c>
      <c r="E1164" s="8">
        <f>E1163*(1+D1164)</f>
        <v/>
      </c>
    </row>
    <row r="1165">
      <c r="A1165" s="8" t="inlineStr">
        <is>
          <t>2015-08-01</t>
        </is>
      </c>
      <c r="B1165" s="6" t="n">
        <v>5.19</v>
      </c>
      <c r="C1165" s="8">
        <f>-PV(B1165/100,$B$3,B1164/100,1)</f>
        <v/>
      </c>
      <c r="D1165" s="8">
        <f>B1164/100/12+(C1165-1)</f>
        <v/>
      </c>
      <c r="E1165" s="8">
        <f>E1164*(1+D1165)</f>
        <v/>
      </c>
    </row>
    <row r="1166">
      <c r="A1166" s="8" t="inlineStr">
        <is>
          <t>2015-09-01</t>
        </is>
      </c>
      <c r="B1166" s="6" t="n">
        <v>5.34</v>
      </c>
      <c r="C1166" s="8">
        <f>-PV(B1166/100,$B$3,B1165/100,1)</f>
        <v/>
      </c>
      <c r="D1166" s="8">
        <f>B1165/100/12+(C1166-1)</f>
        <v/>
      </c>
      <c r="E1166" s="8">
        <f>E1165*(1+D1166)</f>
        <v/>
      </c>
    </row>
    <row r="1167">
      <c r="A1167" s="8" t="inlineStr">
        <is>
          <t>2015-10-01</t>
        </is>
      </c>
      <c r="B1167" s="6" t="n">
        <v>5.34</v>
      </c>
      <c r="C1167" s="8">
        <f>-PV(B1167/100,$B$3,B1166/100,1)</f>
        <v/>
      </c>
      <c r="D1167" s="8">
        <f>B1166/100/12+(C1167-1)</f>
        <v/>
      </c>
      <c r="E1167" s="8">
        <f>E1166*(1+D1167)</f>
        <v/>
      </c>
    </row>
    <row r="1168">
      <c r="A1168" s="8" t="inlineStr">
        <is>
          <t>2015-11-01</t>
        </is>
      </c>
      <c r="B1168" s="6" t="n">
        <v>5.46</v>
      </c>
      <c r="C1168" s="8">
        <f>-PV(B1168/100,$B$3,B1167/100,1)</f>
        <v/>
      </c>
      <c r="D1168" s="8">
        <f>B1167/100/12+(C1168-1)</f>
        <v/>
      </c>
      <c r="E1168" s="8">
        <f>E1167*(1+D1168)</f>
        <v/>
      </c>
    </row>
    <row r="1169">
      <c r="A1169" s="8" t="inlineStr">
        <is>
          <t>2015-12-01</t>
        </is>
      </c>
      <c r="B1169" s="6" t="n">
        <v>5.46</v>
      </c>
      <c r="C1169" s="8">
        <f>-PV(B1169/100,$B$3,B1168/100,1)</f>
        <v/>
      </c>
      <c r="D1169" s="8">
        <f>B1168/100/12+(C1169-1)</f>
        <v/>
      </c>
      <c r="E1169" s="8">
        <f>E1168*(1+D1169)</f>
        <v/>
      </c>
    </row>
    <row r="1170">
      <c r="A1170" s="8" t="inlineStr">
        <is>
          <t>2016-01-01</t>
        </is>
      </c>
      <c r="B1170" s="6" t="n">
        <v>5.45</v>
      </c>
      <c r="C1170" s="8">
        <f>-PV(B1170/100,$B$3,B1169/100,1)</f>
        <v/>
      </c>
      <c r="D1170" s="8">
        <f>B1169/100/12+(C1170-1)</f>
        <v/>
      </c>
      <c r="E1170" s="8">
        <f>E1169*(1+D1170)</f>
        <v/>
      </c>
    </row>
    <row r="1171">
      <c r="A1171" s="8" t="inlineStr">
        <is>
          <t>2016-02-01</t>
        </is>
      </c>
      <c r="B1171" s="6" t="n">
        <v>5.34</v>
      </c>
      <c r="C1171" s="8">
        <f>-PV(B1171/100,$B$3,B1170/100,1)</f>
        <v/>
      </c>
      <c r="D1171" s="8">
        <f>B1170/100/12+(C1171-1)</f>
        <v/>
      </c>
      <c r="E1171" s="8">
        <f>E1170*(1+D1171)</f>
        <v/>
      </c>
    </row>
    <row r="1172">
      <c r="A1172" s="8" t="inlineStr">
        <is>
          <t>2016-03-01</t>
        </is>
      </c>
      <c r="B1172" s="6" t="n">
        <v>5.13</v>
      </c>
      <c r="C1172" s="8">
        <f>-PV(B1172/100,$B$3,B1171/100,1)</f>
        <v/>
      </c>
      <c r="D1172" s="8">
        <f>B1171/100/12+(C1172-1)</f>
        <v/>
      </c>
      <c r="E1172" s="8">
        <f>E1171*(1+D1172)</f>
        <v/>
      </c>
    </row>
    <row r="1173">
      <c r="A1173" s="8" t="inlineStr">
        <is>
          <t>2016-04-01</t>
        </is>
      </c>
      <c r="B1173" s="6" t="n">
        <v>4.79</v>
      </c>
      <c r="C1173" s="8">
        <f>-PV(B1173/100,$B$3,B1172/100,1)</f>
        <v/>
      </c>
      <c r="D1173" s="8">
        <f>B1172/100/12+(C1173-1)</f>
        <v/>
      </c>
      <c r="E1173" s="8">
        <f>E1172*(1+D1173)</f>
        <v/>
      </c>
    </row>
    <row r="1174">
      <c r="A1174" s="8" t="inlineStr">
        <is>
          <t>2016-05-01</t>
        </is>
      </c>
      <c r="B1174" s="6" t="n">
        <v>4.68</v>
      </c>
      <c r="C1174" s="8">
        <f>-PV(B1174/100,$B$3,B1173/100,1)</f>
        <v/>
      </c>
      <c r="D1174" s="8">
        <f>B1173/100/12+(C1174-1)</f>
        <v/>
      </c>
      <c r="E1174" s="8">
        <f>E1173*(1+D1174)</f>
        <v/>
      </c>
    </row>
    <row r="1175">
      <c r="A1175" s="8" t="inlineStr">
        <is>
          <t>2016-06-01</t>
        </is>
      </c>
      <c r="B1175" s="6" t="n">
        <v>4.53</v>
      </c>
      <c r="C1175" s="8">
        <f>-PV(B1175/100,$B$3,B1174/100,1)</f>
        <v/>
      </c>
      <c r="D1175" s="8">
        <f>B1174/100/12+(C1175-1)</f>
        <v/>
      </c>
      <c r="E1175" s="8">
        <f>E1174*(1+D1175)</f>
        <v/>
      </c>
    </row>
    <row r="1176">
      <c r="A1176" s="8" t="inlineStr">
        <is>
          <t>2016-07-01</t>
        </is>
      </c>
      <c r="B1176" s="6" t="n">
        <v>4.22</v>
      </c>
      <c r="C1176" s="8">
        <f>-PV(B1176/100,$B$3,B1175/100,1)</f>
        <v/>
      </c>
      <c r="D1176" s="8">
        <f>B1175/100/12+(C1176-1)</f>
        <v/>
      </c>
      <c r="E1176" s="8">
        <f>E1175*(1+D1176)</f>
        <v/>
      </c>
    </row>
    <row r="1177">
      <c r="A1177" s="8" t="inlineStr">
        <is>
          <t>2016-08-01</t>
        </is>
      </c>
      <c r="B1177" s="6" t="n">
        <v>4.24</v>
      </c>
      <c r="C1177" s="8">
        <f>-PV(B1177/100,$B$3,B1176/100,1)</f>
        <v/>
      </c>
      <c r="D1177" s="8">
        <f>B1176/100/12+(C1177-1)</f>
        <v/>
      </c>
      <c r="E1177" s="8">
        <f>E1176*(1+D1177)</f>
        <v/>
      </c>
    </row>
    <row r="1178">
      <c r="A1178" s="8" t="inlineStr">
        <is>
          <t>2016-09-01</t>
        </is>
      </c>
      <c r="B1178" s="6" t="n">
        <v>4.31</v>
      </c>
      <c r="C1178" s="8">
        <f>-PV(B1178/100,$B$3,B1177/100,1)</f>
        <v/>
      </c>
      <c r="D1178" s="8">
        <f>B1177/100/12+(C1178-1)</f>
        <v/>
      </c>
      <c r="E1178" s="8">
        <f>E1177*(1+D1178)</f>
        <v/>
      </c>
    </row>
    <row r="1179">
      <c r="A1179" s="8" t="inlineStr">
        <is>
          <t>2016-10-01</t>
        </is>
      </c>
      <c r="B1179" s="6" t="n">
        <v>4.38</v>
      </c>
      <c r="C1179" s="8">
        <f>-PV(B1179/100,$B$3,B1178/100,1)</f>
        <v/>
      </c>
      <c r="D1179" s="8">
        <f>B1178/100/12+(C1179-1)</f>
        <v/>
      </c>
      <c r="E1179" s="8">
        <f>E1178*(1+D1179)</f>
        <v/>
      </c>
    </row>
    <row r="1180">
      <c r="A1180" s="8" t="inlineStr">
        <is>
          <t>2016-11-01</t>
        </is>
      </c>
      <c r="B1180" s="6" t="n">
        <v>4.71</v>
      </c>
      <c r="C1180" s="8">
        <f>-PV(B1180/100,$B$3,B1179/100,1)</f>
        <v/>
      </c>
      <c r="D1180" s="8">
        <f>B1179/100/12+(C1180-1)</f>
        <v/>
      </c>
      <c r="E1180" s="8">
        <f>E1179*(1+D1180)</f>
        <v/>
      </c>
    </row>
    <row r="1181">
      <c r="A1181" s="8" t="inlineStr">
        <is>
          <t>2016-12-01</t>
        </is>
      </c>
      <c r="B1181" s="6" t="n">
        <v>4.83</v>
      </c>
      <c r="C1181" s="8">
        <f>-PV(B1181/100,$B$3,B1180/100,1)</f>
        <v/>
      </c>
      <c r="D1181" s="8">
        <f>B1180/100/12+(C1181-1)</f>
        <v/>
      </c>
      <c r="E1181" s="8">
        <f>E1180*(1+D1181)</f>
        <v/>
      </c>
    </row>
    <row r="1182">
      <c r="A1182" s="8" t="inlineStr">
        <is>
          <t>2017-01-01</t>
        </is>
      </c>
      <c r="B1182" s="6" t="n">
        <v>4.66</v>
      </c>
      <c r="C1182" s="8">
        <f>-PV(B1182/100,$B$3,B1181/100,1)</f>
        <v/>
      </c>
      <c r="D1182" s="8">
        <f>B1181/100/12+(C1182-1)</f>
        <v/>
      </c>
      <c r="E1182" s="8">
        <f>E1181*(1+D1182)</f>
        <v/>
      </c>
    </row>
    <row r="1183">
      <c r="A1183" s="8" t="inlineStr">
        <is>
          <t>2017-02-01</t>
        </is>
      </c>
      <c r="B1183" s="6" t="n">
        <v>4.64</v>
      </c>
      <c r="C1183" s="8">
        <f>-PV(B1183/100,$B$3,B1182/100,1)</f>
        <v/>
      </c>
      <c r="D1183" s="8">
        <f>B1182/100/12+(C1183-1)</f>
        <v/>
      </c>
      <c r="E1183" s="8">
        <f>E1182*(1+D1183)</f>
        <v/>
      </c>
    </row>
    <row r="1184">
      <c r="A1184" s="8" t="inlineStr">
        <is>
          <t>2017-03-01</t>
        </is>
      </c>
      <c r="B1184" s="6" t="n">
        <v>4.68</v>
      </c>
      <c r="C1184" s="8">
        <f>-PV(B1184/100,$B$3,B1183/100,1)</f>
        <v/>
      </c>
      <c r="D1184" s="8">
        <f>B1183/100/12+(C1184-1)</f>
        <v/>
      </c>
      <c r="E1184" s="8">
        <f>E1183*(1+D1184)</f>
        <v/>
      </c>
    </row>
    <row r="1185">
      <c r="A1185" s="8" t="inlineStr">
        <is>
          <t>2017-04-01</t>
        </is>
      </c>
      <c r="B1185" s="6" t="n">
        <v>4.57</v>
      </c>
      <c r="C1185" s="8">
        <f>-PV(B1185/100,$B$3,B1184/100,1)</f>
        <v/>
      </c>
      <c r="D1185" s="8">
        <f>B1184/100/12+(C1185-1)</f>
        <v/>
      </c>
      <c r="E1185" s="8">
        <f>E1184*(1+D1185)</f>
        <v/>
      </c>
    </row>
    <row r="1186">
      <c r="A1186" s="8" t="inlineStr">
        <is>
          <t>2017-05-01</t>
        </is>
      </c>
      <c r="B1186" s="6" t="n">
        <v>4.55</v>
      </c>
      <c r="C1186" s="8">
        <f>-PV(B1186/100,$B$3,B1185/100,1)</f>
        <v/>
      </c>
      <c r="D1186" s="8">
        <f>B1185/100/12+(C1186-1)</f>
        <v/>
      </c>
      <c r="E1186" s="8">
        <f>E1185*(1+D1186)</f>
        <v/>
      </c>
    </row>
    <row r="1187">
      <c r="A1187" s="8" t="inlineStr">
        <is>
          <t>2017-06-01</t>
        </is>
      </c>
      <c r="B1187" s="6" t="n">
        <v>4.37</v>
      </c>
      <c r="C1187" s="8">
        <f>-PV(B1187/100,$B$3,B1186/100,1)</f>
        <v/>
      </c>
      <c r="D1187" s="8">
        <f>B1186/100/12+(C1187-1)</f>
        <v/>
      </c>
      <c r="E1187" s="8">
        <f>E1186*(1+D1187)</f>
        <v/>
      </c>
    </row>
    <row r="1188">
      <c r="A1188" s="8" t="inlineStr">
        <is>
          <t>2017-07-01</t>
        </is>
      </c>
      <c r="B1188" s="6" t="n">
        <v>4.39</v>
      </c>
      <c r="C1188" s="8">
        <f>-PV(B1188/100,$B$3,B1187/100,1)</f>
        <v/>
      </c>
      <c r="D1188" s="8">
        <f>B1187/100/12+(C1188-1)</f>
        <v/>
      </c>
      <c r="E1188" s="8">
        <f>E1187*(1+D1188)</f>
        <v/>
      </c>
    </row>
    <row r="1189">
      <c r="A1189" s="8" t="inlineStr">
        <is>
          <t>2017-08-01</t>
        </is>
      </c>
      <c r="B1189" s="6" t="n">
        <v>4.31</v>
      </c>
      <c r="C1189" s="8">
        <f>-PV(B1189/100,$B$3,B1188/100,1)</f>
        <v/>
      </c>
      <c r="D1189" s="8">
        <f>B1188/100/12+(C1189-1)</f>
        <v/>
      </c>
      <c r="E1189" s="8">
        <f>E1188*(1+D1189)</f>
        <v/>
      </c>
    </row>
    <row r="1190">
      <c r="A1190" s="8" t="inlineStr">
        <is>
          <t>2017-09-01</t>
        </is>
      </c>
      <c r="B1190" s="6" t="n">
        <v>4.3</v>
      </c>
      <c r="C1190" s="8">
        <f>-PV(B1190/100,$B$3,B1189/100,1)</f>
        <v/>
      </c>
      <c r="D1190" s="8">
        <f>B1189/100/12+(C1190-1)</f>
        <v/>
      </c>
      <c r="E1190" s="8">
        <f>E1189*(1+D1190)</f>
        <v/>
      </c>
    </row>
    <row r="1191">
      <c r="A1191" s="8" t="inlineStr">
        <is>
          <t>2017-10-01</t>
        </is>
      </c>
      <c r="B1191" s="6" t="n">
        <v>4.32</v>
      </c>
      <c r="C1191" s="8">
        <f>-PV(B1191/100,$B$3,B1190/100,1)</f>
        <v/>
      </c>
      <c r="D1191" s="8">
        <f>B1190/100/12+(C1191-1)</f>
        <v/>
      </c>
      <c r="E1191" s="8">
        <f>E1190*(1+D1191)</f>
        <v/>
      </c>
    </row>
    <row r="1192">
      <c r="A1192" s="8" t="inlineStr">
        <is>
          <t>2017-11-01</t>
        </is>
      </c>
      <c r="B1192" s="6" t="n">
        <v>4.27</v>
      </c>
      <c r="C1192" s="8">
        <f>-PV(B1192/100,$B$3,B1191/100,1)</f>
        <v/>
      </c>
      <c r="D1192" s="8">
        <f>B1191/100/12+(C1192-1)</f>
        <v/>
      </c>
      <c r="E1192" s="8">
        <f>E1191*(1+D1192)</f>
        <v/>
      </c>
    </row>
    <row r="1193">
      <c r="A1193" s="8" t="inlineStr">
        <is>
          <t>2017-12-01</t>
        </is>
      </c>
      <c r="B1193" s="6" t="n">
        <v>4.22</v>
      </c>
      <c r="C1193" s="8">
        <f>-PV(B1193/100,$B$3,B1192/100,1)</f>
        <v/>
      </c>
      <c r="D1193" s="8">
        <f>B1192/100/12+(C1193-1)</f>
        <v/>
      </c>
      <c r="E1193" s="8">
        <f>E1192*(1+D1193)</f>
        <v/>
      </c>
    </row>
    <row r="1194">
      <c r="A1194" s="8" t="inlineStr">
        <is>
          <t>2018-01-01</t>
        </is>
      </c>
      <c r="B1194" s="6" t="n">
        <v>4.26</v>
      </c>
      <c r="C1194" s="8">
        <f>-PV(B1194/100,$B$3,B1193/100,1)</f>
        <v/>
      </c>
      <c r="D1194" s="8">
        <f>B1193/100/12+(C1194-1)</f>
        <v/>
      </c>
      <c r="E1194" s="8">
        <f>E1193*(1+D1194)</f>
        <v/>
      </c>
    </row>
    <row r="1195">
      <c r="A1195" s="8" t="inlineStr">
        <is>
          <t>2018-02-01</t>
        </is>
      </c>
      <c r="B1195" s="6" t="n">
        <v>4.51</v>
      </c>
      <c r="C1195" s="8">
        <f>-PV(B1195/100,$B$3,B1194/100,1)</f>
        <v/>
      </c>
      <c r="D1195" s="8">
        <f>B1194/100/12+(C1195-1)</f>
        <v/>
      </c>
      <c r="E1195" s="8">
        <f>E1194*(1+D1195)</f>
        <v/>
      </c>
    </row>
    <row r="1196">
      <c r="A1196" s="8" t="inlineStr">
        <is>
          <t>2018-03-01</t>
        </is>
      </c>
      <c r="B1196" s="6" t="n">
        <v>4.64</v>
      </c>
      <c r="C1196" s="8">
        <f>-PV(B1196/100,$B$3,B1195/100,1)</f>
        <v/>
      </c>
      <c r="D1196" s="8">
        <f>B1195/100/12+(C1196-1)</f>
        <v/>
      </c>
      <c r="E1196" s="8">
        <f>E1195*(1+D1196)</f>
        <v/>
      </c>
    </row>
    <row r="1197">
      <c r="A1197" s="8" t="inlineStr">
        <is>
          <t>2018-04-01</t>
        </is>
      </c>
      <c r="B1197" s="6" t="n">
        <v>4.67</v>
      </c>
      <c r="C1197" s="8">
        <f>-PV(B1197/100,$B$3,B1196/100,1)</f>
        <v/>
      </c>
      <c r="D1197" s="8">
        <f>B1196/100/12+(C1197-1)</f>
        <v/>
      </c>
      <c r="E1197" s="8">
        <f>E1196*(1+D1197)</f>
        <v/>
      </c>
    </row>
    <row r="1198">
      <c r="A1198" s="8" t="inlineStr">
        <is>
          <t>2018-05-01</t>
        </is>
      </c>
      <c r="B1198" s="6" t="n">
        <v>4.83</v>
      </c>
      <c r="C1198" s="8">
        <f>-PV(B1198/100,$B$3,B1197/100,1)</f>
        <v/>
      </c>
      <c r="D1198" s="8">
        <f>B1197/100/12+(C1198-1)</f>
        <v/>
      </c>
      <c r="E1198" s="8">
        <f>E1197*(1+D1198)</f>
        <v/>
      </c>
    </row>
    <row r="1199">
      <c r="A1199" s="8" t="inlineStr">
        <is>
          <t>2018-06-01</t>
        </is>
      </c>
      <c r="B1199" s="6" t="n">
        <v>4.83</v>
      </c>
      <c r="C1199" s="8">
        <f>-PV(B1199/100,$B$3,B1198/100,1)</f>
        <v/>
      </c>
      <c r="D1199" s="8">
        <f>B1198/100/12+(C1199-1)</f>
        <v/>
      </c>
      <c r="E1199" s="8">
        <f>E1198*(1+D1199)</f>
        <v/>
      </c>
    </row>
    <row r="1200">
      <c r="A1200" s="8" t="inlineStr">
        <is>
          <t>2018-07-01</t>
        </is>
      </c>
      <c r="B1200" s="6" t="n">
        <v>4.79</v>
      </c>
      <c r="C1200" s="8">
        <f>-PV(B1200/100,$B$3,B1199/100,1)</f>
        <v/>
      </c>
      <c r="D1200" s="8">
        <f>B1199/100/12+(C1200-1)</f>
        <v/>
      </c>
      <c r="E1200" s="8">
        <f>E1199*(1+D1200)</f>
        <v/>
      </c>
    </row>
    <row r="1201">
      <c r="A1201" s="8" t="inlineStr">
        <is>
          <t>2018-08-01</t>
        </is>
      </c>
      <c r="B1201" s="6" t="n">
        <v>4.77</v>
      </c>
      <c r="C1201" s="8">
        <f>-PV(B1201/100,$B$3,B1200/100,1)</f>
        <v/>
      </c>
      <c r="D1201" s="8">
        <f>B1200/100/12+(C1201-1)</f>
        <v/>
      </c>
      <c r="E1201" s="8">
        <f>E1200*(1+D1201)</f>
        <v/>
      </c>
    </row>
    <row r="1202">
      <c r="A1202" s="8" t="inlineStr">
        <is>
          <t>2018-09-01</t>
        </is>
      </c>
      <c r="B1202" s="6" t="n">
        <v>4.88</v>
      </c>
      <c r="C1202" s="8">
        <f>-PV(B1202/100,$B$3,B1201/100,1)</f>
        <v/>
      </c>
      <c r="D1202" s="8">
        <f>B1201/100/12+(C1202-1)</f>
        <v/>
      </c>
      <c r="E1202" s="8">
        <f>E1201*(1+D1202)</f>
        <v/>
      </c>
    </row>
    <row r="1203">
      <c r="A1203" s="8" t="inlineStr">
        <is>
          <t>2018-10-01</t>
        </is>
      </c>
      <c r="B1203" s="6" t="n">
        <v>5.07</v>
      </c>
      <c r="C1203" s="8">
        <f>-PV(B1203/100,$B$3,B1202/100,1)</f>
        <v/>
      </c>
      <c r="D1203" s="8">
        <f>B1202/100/12+(C1203-1)</f>
        <v/>
      </c>
      <c r="E1203" s="8">
        <f>E1202*(1+D1203)</f>
        <v/>
      </c>
    </row>
    <row r="1204">
      <c r="A1204" s="8" t="inlineStr">
        <is>
          <t>2018-11-01</t>
        </is>
      </c>
      <c r="B1204" s="6" t="n">
        <v>5.22</v>
      </c>
      <c r="C1204" s="8">
        <f>-PV(B1204/100,$B$3,B1203/100,1)</f>
        <v/>
      </c>
      <c r="D1204" s="8">
        <f>B1203/100/12+(C1204-1)</f>
        <v/>
      </c>
      <c r="E1204" s="8">
        <f>E1203*(1+D1204)</f>
        <v/>
      </c>
    </row>
    <row r="1205">
      <c r="A1205" s="8" t="inlineStr">
        <is>
          <t>2018-12-01</t>
        </is>
      </c>
      <c r="B1205" s="6" t="n">
        <v>5.13</v>
      </c>
      <c r="C1205" s="8">
        <f>-PV(B1205/100,$B$3,B1204/100,1)</f>
        <v/>
      </c>
      <c r="D1205" s="8">
        <f>B1204/100/12+(C1205-1)</f>
        <v/>
      </c>
      <c r="E1205" s="8">
        <f>E1204*(1+D1205)</f>
        <v/>
      </c>
    </row>
    <row r="1206">
      <c r="A1206" s="8" t="inlineStr">
        <is>
          <t>2019-01-01</t>
        </is>
      </c>
      <c r="B1206" s="6" t="n">
        <v>5.12</v>
      </c>
      <c r="C1206" s="8">
        <f>-PV(B1206/100,$B$3,B1205/100,1)</f>
        <v/>
      </c>
      <c r="D1206" s="8">
        <f>B1205/100/12+(C1206-1)</f>
        <v/>
      </c>
      <c r="E1206" s="8">
        <f>E1205*(1+D1206)</f>
        <v/>
      </c>
    </row>
    <row r="1207">
      <c r="A1207" s="8" t="inlineStr">
        <is>
          <t>2019-02-01</t>
        </is>
      </c>
      <c r="B1207" s="6" t="n">
        <v>4.95</v>
      </c>
      <c r="C1207" s="8">
        <f>-PV(B1207/100,$B$3,B1206/100,1)</f>
        <v/>
      </c>
      <c r="D1207" s="8">
        <f>B1206/100/12+(C1207-1)</f>
        <v/>
      </c>
      <c r="E1207" s="8">
        <f>E1206*(1+D1207)</f>
        <v/>
      </c>
    </row>
    <row r="1208">
      <c r="A1208" s="8" t="inlineStr">
        <is>
          <t>2019-03-01</t>
        </is>
      </c>
      <c r="B1208" s="6" t="n">
        <v>4.84</v>
      </c>
      <c r="C1208" s="8">
        <f>-PV(B1208/100,$B$3,B1207/100,1)</f>
        <v/>
      </c>
      <c r="D1208" s="8">
        <f>B1207/100/12+(C1208-1)</f>
        <v/>
      </c>
      <c r="E1208" s="8">
        <f>E1207*(1+D1208)</f>
        <v/>
      </c>
    </row>
    <row r="1209">
      <c r="A1209" s="8" t="inlineStr">
        <is>
          <t>2019-04-01</t>
        </is>
      </c>
      <c r="B1209" s="6" t="n">
        <v>4.7</v>
      </c>
      <c r="C1209" s="8">
        <f>-PV(B1209/100,$B$3,B1208/100,1)</f>
        <v/>
      </c>
      <c r="D1209" s="8">
        <f>B1208/100/12+(C1209-1)</f>
        <v/>
      </c>
      <c r="E1209" s="8">
        <f>E1208*(1+D1209)</f>
        <v/>
      </c>
    </row>
    <row r="1210">
      <c r="A1210" s="8" t="inlineStr">
        <is>
          <t>2019-05-01</t>
        </is>
      </c>
      <c r="B1210" s="6" t="n">
        <v>4.63</v>
      </c>
      <c r="C1210" s="8">
        <f>-PV(B1210/100,$B$3,B1209/100,1)</f>
        <v/>
      </c>
      <c r="D1210" s="8">
        <f>B1209/100/12+(C1210-1)</f>
        <v/>
      </c>
      <c r="E1210" s="8">
        <f>E1209*(1+D1210)</f>
        <v/>
      </c>
    </row>
    <row r="1211">
      <c r="A1211" s="8" t="inlineStr">
        <is>
          <t>2019-06-01</t>
        </is>
      </c>
      <c r="B1211" s="6" t="n">
        <v>4.46</v>
      </c>
      <c r="C1211" s="8">
        <f>-PV(B1211/100,$B$3,B1210/100,1)</f>
        <v/>
      </c>
      <c r="D1211" s="8">
        <f>B1210/100/12+(C1211-1)</f>
        <v/>
      </c>
      <c r="E1211" s="8">
        <f>E1210*(1+D1211)</f>
        <v/>
      </c>
    </row>
    <row r="1212">
      <c r="A1212" s="8" t="inlineStr">
        <is>
          <t>2019-07-01</t>
        </is>
      </c>
      <c r="B1212" s="6" t="n">
        <v>4.28</v>
      </c>
      <c r="C1212" s="8">
        <f>-PV(B1212/100,$B$3,B1211/100,1)</f>
        <v/>
      </c>
      <c r="D1212" s="8">
        <f>B1211/100/12+(C1212-1)</f>
        <v/>
      </c>
      <c r="E1212" s="8">
        <f>E1211*(1+D1212)</f>
        <v/>
      </c>
    </row>
    <row r="1213">
      <c r="A1213" s="8" t="inlineStr">
        <is>
          <t>2019-08-01</t>
        </is>
      </c>
      <c r="B1213" s="6" t="n">
        <v>3.87</v>
      </c>
      <c r="C1213" s="8">
        <f>-PV(B1213/100,$B$3,B1212/100,1)</f>
        <v/>
      </c>
      <c r="D1213" s="8">
        <f>B1212/100/12+(C1213-1)</f>
        <v/>
      </c>
      <c r="E1213" s="8">
        <f>E1212*(1+D1213)</f>
        <v/>
      </c>
    </row>
    <row r="1214">
      <c r="A1214" s="8" t="inlineStr">
        <is>
          <t>2019-09-01</t>
        </is>
      </c>
      <c r="B1214" s="6" t="n">
        <v>3.91</v>
      </c>
      <c r="C1214" s="8">
        <f>-PV(B1214/100,$B$3,B1213/100,1)</f>
        <v/>
      </c>
      <c r="D1214" s="8">
        <f>B1213/100/12+(C1214-1)</f>
        <v/>
      </c>
      <c r="E1214" s="8">
        <f>E1213*(1+D1214)</f>
        <v/>
      </c>
    </row>
    <row r="1215">
      <c r="A1215" s="8" t="inlineStr">
        <is>
          <t>2019-10-01</t>
        </is>
      </c>
      <c r="B1215" s="6" t="n">
        <v>3.92</v>
      </c>
      <c r="C1215" s="8">
        <f>-PV(B1215/100,$B$3,B1214/100,1)</f>
        <v/>
      </c>
      <c r="D1215" s="8">
        <f>B1214/100/12+(C1215-1)</f>
        <v/>
      </c>
      <c r="E1215" s="8">
        <f>E1214*(1+D1215)</f>
        <v/>
      </c>
    </row>
    <row r="1216">
      <c r="A1216" s="8" t="inlineStr">
        <is>
          <t>2019-11-01</t>
        </is>
      </c>
      <c r="B1216" s="6" t="n">
        <v>3.94</v>
      </c>
      <c r="C1216" s="8">
        <f>-PV(B1216/100,$B$3,B1215/100,1)</f>
        <v/>
      </c>
      <c r="D1216" s="8">
        <f>B1215/100/12+(C1216-1)</f>
        <v/>
      </c>
      <c r="E1216" s="8">
        <f>E1215*(1+D1216)</f>
        <v/>
      </c>
    </row>
    <row r="1217">
      <c r="A1217" s="8" t="inlineStr">
        <is>
          <t>2019-12-01</t>
        </is>
      </c>
      <c r="B1217" s="6" t="n">
        <v>3.88</v>
      </c>
      <c r="C1217" s="8">
        <f>-PV(B1217/100,$B$3,B1216/100,1)</f>
        <v/>
      </c>
      <c r="D1217" s="8">
        <f>B1216/100/12+(C1217-1)</f>
        <v/>
      </c>
      <c r="E1217" s="8">
        <f>E1216*(1+D1217)</f>
        <v/>
      </c>
    </row>
    <row r="1218">
      <c r="A1218" s="8" t="inlineStr">
        <is>
          <t>2020-01-01</t>
        </is>
      </c>
      <c r="B1218" s="6" t="n">
        <v>3.77</v>
      </c>
      <c r="C1218" s="8">
        <f>-PV(B1218/100,$B$3,B1217/100,1)</f>
        <v/>
      </c>
      <c r="D1218" s="8">
        <f>B1217/100/12+(C1218-1)</f>
        <v/>
      </c>
      <c r="E1218" s="8">
        <f>E1217*(1+D1218)</f>
        <v/>
      </c>
    </row>
    <row r="1219">
      <c r="A1219" s="8" t="inlineStr">
        <is>
          <t>2020-02-01</t>
        </is>
      </c>
      <c r="B1219" s="6" t="n">
        <v>3.61</v>
      </c>
      <c r="C1219" s="8">
        <f>-PV(B1219/100,$B$3,B1218/100,1)</f>
        <v/>
      </c>
      <c r="D1219" s="8">
        <f>B1218/100/12+(C1219-1)</f>
        <v/>
      </c>
      <c r="E1219" s="8">
        <f>E1218*(1+D1219)</f>
        <v/>
      </c>
    </row>
    <row r="1220">
      <c r="A1220" s="8" t="inlineStr">
        <is>
          <t>2020-03-01</t>
        </is>
      </c>
      <c r="B1220" s="6" t="n">
        <v>4.29</v>
      </c>
      <c r="C1220" s="8">
        <f>-PV(B1220/100,$B$3,B1219/100,1)</f>
        <v/>
      </c>
      <c r="D1220" s="8">
        <f>B1219/100/12+(C1220-1)</f>
        <v/>
      </c>
      <c r="E1220" s="8">
        <f>E1219*(1+D1220)</f>
        <v/>
      </c>
    </row>
    <row r="1221">
      <c r="A1221" s="8" t="inlineStr">
        <is>
          <t>2020-04-01</t>
        </is>
      </c>
      <c r="B1221" s="6" t="n">
        <v>4.13</v>
      </c>
      <c r="C1221" s="8">
        <f>-PV(B1221/100,$B$3,B1220/100,1)</f>
        <v/>
      </c>
      <c r="D1221" s="8">
        <f>B1220/100/12+(C1221-1)</f>
        <v/>
      </c>
      <c r="E1221" s="8">
        <f>E1220*(1+D1221)</f>
        <v/>
      </c>
    </row>
    <row r="1222">
      <c r="A1222" s="8" t="inlineStr">
        <is>
          <t>2020-05-01</t>
        </is>
      </c>
      <c r="B1222" s="6" t="n">
        <v>3.95</v>
      </c>
      <c r="C1222" s="8">
        <f>-PV(B1222/100,$B$3,B1221/100,1)</f>
        <v/>
      </c>
      <c r="D1222" s="8">
        <f>B1221/100/12+(C1222-1)</f>
        <v/>
      </c>
      <c r="E1222" s="8">
        <f>E1221*(1+D1222)</f>
        <v/>
      </c>
    </row>
    <row r="1223">
      <c r="A1223" s="8" t="inlineStr">
        <is>
          <t>2020-06-01</t>
        </is>
      </c>
      <c r="B1223" s="6" t="n">
        <v>3.64</v>
      </c>
      <c r="C1223" s="8">
        <f>-PV(B1223/100,$B$3,B1222/100,1)</f>
        <v/>
      </c>
      <c r="D1223" s="8">
        <f>B1222/100/12+(C1223-1)</f>
        <v/>
      </c>
      <c r="E1223" s="8">
        <f>E1222*(1+D1223)</f>
        <v/>
      </c>
    </row>
    <row r="1224">
      <c r="A1224" s="8" t="inlineStr">
        <is>
          <t>2020-07-01</t>
        </is>
      </c>
      <c r="B1224" s="6" t="n">
        <v>3.31</v>
      </c>
      <c r="C1224" s="8">
        <f>-PV(B1224/100,$B$3,B1223/100,1)</f>
        <v/>
      </c>
      <c r="D1224" s="8">
        <f>B1223/100/12+(C1224-1)</f>
        <v/>
      </c>
      <c r="E1224" s="8">
        <f>E1223*(1+D1224)</f>
        <v/>
      </c>
    </row>
    <row r="1225">
      <c r="A1225" s="8" t="inlineStr">
        <is>
          <t>2020-08-01</t>
        </is>
      </c>
      <c r="B1225" s="6" t="n">
        <v>3.27</v>
      </c>
      <c r="C1225" s="8">
        <f>-PV(B1225/100,$B$3,B1224/100,1)</f>
        <v/>
      </c>
      <c r="D1225" s="8">
        <f>B1224/100/12+(C1225-1)</f>
        <v/>
      </c>
      <c r="E1225" s="8">
        <f>E1224*(1+D1225)</f>
        <v/>
      </c>
    </row>
    <row r="1226">
      <c r="A1226" s="8" t="inlineStr">
        <is>
          <t>2020-09-01</t>
        </is>
      </c>
      <c r="B1226" s="6" t="n">
        <v>3.36</v>
      </c>
      <c r="C1226" s="8">
        <f>-PV(B1226/100,$B$3,B1225/100,1)</f>
        <v/>
      </c>
      <c r="D1226" s="8">
        <f>B1225/100/12+(C1226-1)</f>
        <v/>
      </c>
      <c r="E1226" s="8">
        <f>E1225*(1+D1226)</f>
        <v/>
      </c>
    </row>
    <row r="1227">
      <c r="A1227" s="8" t="inlineStr">
        <is>
          <t>2020-10-01</t>
        </is>
      </c>
      <c r="B1227" s="6" t="n">
        <v>3.44</v>
      </c>
      <c r="C1227" s="8">
        <f>-PV(B1227/100,$B$3,B1226/100,1)</f>
        <v/>
      </c>
      <c r="D1227" s="8">
        <f>B1226/100/12+(C1227-1)</f>
        <v/>
      </c>
      <c r="E1227" s="8">
        <f>E1226*(1+D1227)</f>
        <v/>
      </c>
    </row>
    <row r="1228">
      <c r="A1228" s="8" t="inlineStr">
        <is>
          <t>2020-11-01</t>
        </is>
      </c>
      <c r="B1228" s="6" t="n">
        <v>3.3</v>
      </c>
      <c r="C1228" s="8">
        <f>-PV(B1228/100,$B$3,B1227/100,1)</f>
        <v/>
      </c>
      <c r="D1228" s="8">
        <f>B1227/100/12+(C1228-1)</f>
        <v/>
      </c>
      <c r="E1228" s="8">
        <f>E1227*(1+D1228)</f>
        <v/>
      </c>
    </row>
    <row r="1229">
      <c r="A1229" s="8" t="inlineStr">
        <is>
          <t>2020-12-01</t>
        </is>
      </c>
      <c r="B1229" s="6" t="n">
        <v>3.16</v>
      </c>
      <c r="C1229" s="8">
        <f>-PV(B1229/100,$B$3,B1228/100,1)</f>
        <v/>
      </c>
      <c r="D1229" s="8">
        <f>B1228/100/12+(C1229-1)</f>
        <v/>
      </c>
      <c r="E1229" s="8">
        <f>E1228*(1+D1229)</f>
        <v/>
      </c>
    </row>
    <row r="1230">
      <c r="A1230" s="8" t="inlineStr">
        <is>
          <t>2021-01-01</t>
        </is>
      </c>
      <c r="B1230" s="6" t="n">
        <v>3.24</v>
      </c>
      <c r="C1230" s="8">
        <f>-PV(B1230/100,$B$3,B1229/100,1)</f>
        <v/>
      </c>
      <c r="D1230" s="8">
        <f>B1229/100/12+(C1230-1)</f>
        <v/>
      </c>
      <c r="E1230" s="8">
        <f>E1229*(1+D1230)</f>
        <v/>
      </c>
    </row>
    <row r="1231">
      <c r="A1231" s="8" t="inlineStr">
        <is>
          <t>2021-02-01</t>
        </is>
      </c>
      <c r="B1231" s="6" t="n">
        <v>3.42</v>
      </c>
      <c r="C1231" s="8">
        <f>-PV(B1231/100,$B$3,B1230/100,1)</f>
        <v/>
      </c>
      <c r="D1231" s="8">
        <f>B1230/100/12+(C1231-1)</f>
        <v/>
      </c>
      <c r="E1231" s="8">
        <f>E1230*(1+D1231)</f>
        <v/>
      </c>
    </row>
    <row r="1232">
      <c r="A1232" s="8" t="inlineStr">
        <is>
          <t>2021-03-01</t>
        </is>
      </c>
      <c r="B1232" s="6" t="n">
        <v>3.74</v>
      </c>
      <c r="C1232" s="8">
        <f>-PV(B1232/100,$B$3,B1231/100,1)</f>
        <v/>
      </c>
      <c r="D1232" s="8">
        <f>B1231/100/12+(C1232-1)</f>
        <v/>
      </c>
      <c r="E1232" s="8">
        <f>E1231*(1+D1232)</f>
        <v/>
      </c>
    </row>
    <row r="1233">
      <c r="A1233" s="8" t="inlineStr">
        <is>
          <t>2021-04-01</t>
        </is>
      </c>
      <c r="B1233" s="6" t="n">
        <v>3.6</v>
      </c>
      <c r="C1233" s="8">
        <f>-PV(B1233/100,$B$3,B1232/100,1)</f>
        <v/>
      </c>
      <c r="D1233" s="8">
        <f>B1232/100/12+(C1233-1)</f>
        <v/>
      </c>
      <c r="E1233" s="8">
        <f>E1232*(1+D1233)</f>
        <v/>
      </c>
    </row>
    <row r="1234">
      <c r="A1234" s="8" t="inlineStr">
        <is>
          <t>2021-05-01</t>
        </is>
      </c>
      <c r="B1234" s="6" t="n">
        <v>3.62</v>
      </c>
      <c r="C1234" s="8">
        <f>-PV(B1234/100,$B$3,B1233/100,1)</f>
        <v/>
      </c>
      <c r="D1234" s="8">
        <f>B1233/100/12+(C1234-1)</f>
        <v/>
      </c>
      <c r="E1234" s="8">
        <f>E1233*(1+D1234)</f>
        <v/>
      </c>
    </row>
    <row r="1235">
      <c r="A1235" s="8" t="inlineStr">
        <is>
          <t>2021-06-01</t>
        </is>
      </c>
      <c r="B1235" s="6" t="n">
        <v>3.44</v>
      </c>
      <c r="C1235" s="8">
        <f>-PV(B1235/100,$B$3,B1234/100,1)</f>
        <v/>
      </c>
      <c r="D1235" s="8">
        <f>B1234/100/12+(C1235-1)</f>
        <v/>
      </c>
      <c r="E1235" s="8">
        <f>E1234*(1+D1235)</f>
        <v/>
      </c>
    </row>
    <row r="1236">
      <c r="A1236" s="8" t="inlineStr">
        <is>
          <t>2021-07-01</t>
        </is>
      </c>
      <c r="B1236" s="6" t="n">
        <v>3.24</v>
      </c>
      <c r="C1236" s="8">
        <f>-PV(B1236/100,$B$3,B1235/100,1)</f>
        <v/>
      </c>
      <c r="D1236" s="8">
        <f>B1235/100/12+(C1236-1)</f>
        <v/>
      </c>
      <c r="E1236" s="8">
        <f>E1235*(1+D1236)</f>
        <v/>
      </c>
    </row>
    <row r="1237">
      <c r="A1237" s="8" t="inlineStr">
        <is>
          <t>2021-08-01</t>
        </is>
      </c>
      <c r="B1237" s="6" t="n">
        <v>3.24</v>
      </c>
      <c r="C1237" s="8">
        <f>-PV(B1237/100,$B$3,B1236/100,1)</f>
        <v/>
      </c>
      <c r="D1237" s="8">
        <f>B1236/100/12+(C1237-1)</f>
        <v/>
      </c>
      <c r="E1237" s="8">
        <f>E1236*(1+D1237)</f>
        <v/>
      </c>
    </row>
    <row r="1238">
      <c r="A1238" s="8" t="inlineStr">
        <is>
          <t>2021-09-01</t>
        </is>
      </c>
      <c r="B1238" s="6" t="n">
        <v>3.23</v>
      </c>
      <c r="C1238" s="8">
        <f>-PV(B1238/100,$B$3,B1237/100,1)</f>
        <v/>
      </c>
      <c r="D1238" s="8">
        <f>B1237/100/12+(C1238-1)</f>
        <v/>
      </c>
      <c r="E1238" s="8">
        <f>E1237*(1+D1238)</f>
        <v/>
      </c>
    </row>
    <row r="1239">
      <c r="A1239" s="8" t="inlineStr">
        <is>
          <t>2021-10-01</t>
        </is>
      </c>
      <c r="B1239" s="6" t="n">
        <v>3.35</v>
      </c>
      <c r="C1239" s="8">
        <f>-PV(B1239/100,$B$3,B1238/100,1)</f>
        <v/>
      </c>
      <c r="D1239" s="8">
        <f>B1238/100/12+(C1239-1)</f>
        <v/>
      </c>
      <c r="E1239" s="8">
        <f>E1238*(1+D1239)</f>
        <v/>
      </c>
    </row>
    <row r="1240">
      <c r="A1240" s="8" t="inlineStr">
        <is>
          <t>2021-11-01</t>
        </is>
      </c>
      <c r="B1240" s="6" t="n">
        <v>3.28</v>
      </c>
      <c r="C1240" s="8">
        <f>-PV(B1240/100,$B$3,B1239/100,1)</f>
        <v/>
      </c>
      <c r="D1240" s="8">
        <f>B1239/100/12+(C1240-1)</f>
        <v/>
      </c>
      <c r="E1240" s="8">
        <f>E1239*(1+D1240)</f>
        <v/>
      </c>
    </row>
    <row r="1241">
      <c r="A1241" s="8" t="inlineStr">
        <is>
          <t>2021-12-01</t>
        </is>
      </c>
      <c r="B1241" s="6" t="n">
        <v>3.3</v>
      </c>
      <c r="C1241" s="8">
        <f>-PV(B1241/100,$B$3,B1240/100,1)</f>
        <v/>
      </c>
      <c r="D1241" s="8">
        <f>B1240/100/12+(C1241-1)</f>
        <v/>
      </c>
      <c r="E1241" s="8">
        <f>E1240*(1+D1241)</f>
        <v/>
      </c>
    </row>
    <row r="1242">
      <c r="A1242" s="8" t="inlineStr">
        <is>
          <t>2022-01-01</t>
        </is>
      </c>
      <c r="B1242" s="6" t="n">
        <v>3.58</v>
      </c>
      <c r="C1242" s="8">
        <f>-PV(B1242/100,$B$3,B1241/100,1)</f>
        <v/>
      </c>
      <c r="D1242" s="8">
        <f>B1241/100/12+(C1242-1)</f>
        <v/>
      </c>
      <c r="E1242" s="8">
        <f>E1241*(1+D1242)</f>
        <v/>
      </c>
    </row>
    <row r="1243">
      <c r="A1243" s="8" t="inlineStr">
        <is>
          <t>2022-02-01</t>
        </is>
      </c>
      <c r="B1243" s="6" t="n">
        <v>3.97</v>
      </c>
      <c r="C1243" s="8">
        <f>-PV(B1243/100,$B$3,B1242/100,1)</f>
        <v/>
      </c>
      <c r="D1243" s="8">
        <f>B1242/100/12+(C1243-1)</f>
        <v/>
      </c>
      <c r="E1243" s="8">
        <f>E1242*(1+D1243)</f>
        <v/>
      </c>
    </row>
    <row r="1244">
      <c r="A1244" s="8" t="inlineStr">
        <is>
          <t>2022-03-01</t>
        </is>
      </c>
      <c r="B1244" s="6" t="n">
        <v>4.29</v>
      </c>
      <c r="C1244" s="8">
        <f>-PV(B1244/100,$B$3,B1243/100,1)</f>
        <v/>
      </c>
      <c r="D1244" s="8">
        <f>B1243/100/12+(C1244-1)</f>
        <v/>
      </c>
      <c r="E1244" s="8">
        <f>E1243*(1+D1244)</f>
        <v/>
      </c>
    </row>
    <row r="1245">
      <c r="A1245" s="8" t="inlineStr">
        <is>
          <t>2022-04-01</t>
        </is>
      </c>
      <c r="B1245" s="6" t="n">
        <v>4.66</v>
      </c>
      <c r="C1245" s="8">
        <f>-PV(B1245/100,$B$3,B1244/100,1)</f>
        <v/>
      </c>
      <c r="D1245" s="8">
        <f>B1244/100/12+(C1245-1)</f>
        <v/>
      </c>
      <c r="E1245" s="8">
        <f>E1244*(1+D1245)</f>
        <v/>
      </c>
    </row>
    <row r="1246">
      <c r="A1246" s="8" t="inlineStr">
        <is>
          <t>2022-05-01</t>
        </is>
      </c>
      <c r="B1246" s="6" t="n">
        <v>5.12</v>
      </c>
      <c r="C1246" s="8">
        <f>-PV(B1246/100,$B$3,B1245/100,1)</f>
        <v/>
      </c>
      <c r="D1246" s="8">
        <f>B1245/100/12+(C1246-1)</f>
        <v/>
      </c>
      <c r="E1246" s="8">
        <f>E1245*(1+D1246)</f>
        <v/>
      </c>
    </row>
    <row r="1247">
      <c r="A1247" s="8" t="inlineStr">
        <is>
          <t>2022-06-01</t>
        </is>
      </c>
      <c r="B1247" s="6" t="n">
        <v>5.27</v>
      </c>
      <c r="C1247" s="8">
        <f>-PV(B1247/100,$B$3,B1246/100,1)</f>
        <v/>
      </c>
      <c r="D1247" s="8">
        <f>B1246/100/12+(C1247-1)</f>
        <v/>
      </c>
      <c r="E1247" s="8">
        <f>E1246*(1+D1247)</f>
        <v/>
      </c>
    </row>
    <row r="1248">
      <c r="A1248" s="8" t="inlineStr">
        <is>
          <t>2022-07-01</t>
        </is>
      </c>
      <c r="B1248" s="6" t="n">
        <v>5.21</v>
      </c>
      <c r="C1248" s="8">
        <f>-PV(B1248/100,$B$3,B1247/100,1)</f>
        <v/>
      </c>
      <c r="D1248" s="8">
        <f>B1247/100/12+(C1248-1)</f>
        <v/>
      </c>
      <c r="E1248" s="8">
        <f>E1247*(1+D1248)</f>
        <v/>
      </c>
    </row>
    <row r="1249">
      <c r="A1249" s="8" t="inlineStr">
        <is>
          <t>2022-08-01</t>
        </is>
      </c>
      <c r="B1249" s="6" t="n">
        <v>5.15</v>
      </c>
      <c r="C1249" s="8">
        <f>-PV(B1249/100,$B$3,B1248/100,1)</f>
        <v/>
      </c>
      <c r="D1249" s="8">
        <f>B1248/100/12+(C1249-1)</f>
        <v/>
      </c>
      <c r="E1249" s="8">
        <f>E1248*(1+D1249)</f>
        <v/>
      </c>
    </row>
    <row r="1250">
      <c r="A1250" s="8" t="inlineStr">
        <is>
          <t>2022-09-01</t>
        </is>
      </c>
      <c r="B1250" s="6" t="n">
        <v>5.69</v>
      </c>
      <c r="C1250" s="8">
        <f>-PV(B1250/100,$B$3,B1249/100,1)</f>
        <v/>
      </c>
      <c r="D1250" s="8">
        <f>B1249/100/12+(C1250-1)</f>
        <v/>
      </c>
      <c r="E1250" s="8">
        <f>E1249*(1+D1250)</f>
        <v/>
      </c>
    </row>
    <row r="1251">
      <c r="A1251" s="8" t="inlineStr">
        <is>
          <t>2022-10-01</t>
        </is>
      </c>
      <c r="B1251" s="6" t="n">
        <v>6.26</v>
      </c>
      <c r="C1251" s="8">
        <f>-PV(B1251/100,$B$3,B1250/100,1)</f>
        <v/>
      </c>
      <c r="D1251" s="8">
        <f>B1250/100/12+(C1251-1)</f>
        <v/>
      </c>
      <c r="E1251" s="8">
        <f>E1250*(1+D1251)</f>
        <v/>
      </c>
    </row>
    <row r="1252">
      <c r="A1252" s="8" t="inlineStr">
        <is>
          <t>2022-11-01</t>
        </is>
      </c>
      <c r="B1252" s="6" t="n">
        <v>6.07</v>
      </c>
      <c r="C1252" s="8">
        <f>-PV(B1252/100,$B$3,B1251/100,1)</f>
        <v/>
      </c>
      <c r="D1252" s="8">
        <f>B1251/100/12+(C1252-1)</f>
        <v/>
      </c>
      <c r="E1252" s="8">
        <f>E1251*(1+D1252)</f>
        <v/>
      </c>
    </row>
    <row r="1253">
      <c r="A1253" s="8" t="inlineStr">
        <is>
          <t>2022-12-01</t>
        </is>
      </c>
      <c r="B1253" s="6" t="n">
        <v>5.59</v>
      </c>
      <c r="C1253" s="8">
        <f>-PV(B1253/100,$B$3,B1252/100,1)</f>
        <v/>
      </c>
      <c r="D1253" s="8">
        <f>B1252/100/12+(C1253-1)</f>
        <v/>
      </c>
      <c r="E1253" s="8">
        <f>E1252*(1+D1253)</f>
        <v/>
      </c>
    </row>
    <row r="1254">
      <c r="A1254" s="8" t="inlineStr">
        <is>
          <t>2023-01-01</t>
        </is>
      </c>
      <c r="B1254" s="6" t="n">
        <v>5.5</v>
      </c>
      <c r="C1254" s="8">
        <f>-PV(B1254/100,$B$3,B1253/100,1)</f>
        <v/>
      </c>
      <c r="D1254" s="8">
        <f>B1253/100/12+(C1254-1)</f>
        <v/>
      </c>
      <c r="E1254" s="8">
        <f>E1253*(1+D1254)</f>
        <v/>
      </c>
    </row>
    <row r="1255">
      <c r="A1255" s="8" t="inlineStr">
        <is>
          <t>2023-02-01</t>
        </is>
      </c>
      <c r="B1255" s="6" t="n">
        <v>5.59</v>
      </c>
      <c r="C1255" s="8">
        <f>-PV(B1255/100,$B$3,B1254/100,1)</f>
        <v/>
      </c>
      <c r="D1255" s="8">
        <f>B1254/100/12+(C1255-1)</f>
        <v/>
      </c>
      <c r="E1255" s="8">
        <f>E1254*(1+D1255)</f>
        <v/>
      </c>
    </row>
    <row r="1256">
      <c r="A1256" s="8" t="inlineStr">
        <is>
          <t>2023-03-01</t>
        </is>
      </c>
      <c r="B1256" s="6" t="n">
        <v>5.71</v>
      </c>
      <c r="C1256" s="8">
        <f>-PV(B1256/100,$B$3,B1255/100,1)</f>
        <v/>
      </c>
      <c r="D1256" s="8">
        <f>B1255/100/12+(C1256-1)</f>
        <v/>
      </c>
      <c r="E1256" s="8">
        <f>E1255*(1+D1256)</f>
        <v/>
      </c>
    </row>
    <row r="1257">
      <c r="A1257" s="8" t="inlineStr">
        <is>
          <t>2023-04-01</t>
        </is>
      </c>
      <c r="B1257" s="6" t="n">
        <v>5.53</v>
      </c>
      <c r="C1257" s="8">
        <f>-PV(B1257/100,$B$3,B1256/100,1)</f>
        <v/>
      </c>
      <c r="D1257" s="8">
        <f>B1256/100/12+(C1257-1)</f>
        <v/>
      </c>
      <c r="E1257" s="8">
        <f>E1256*(1+D1257)</f>
        <v/>
      </c>
    </row>
    <row r="1258">
      <c r="A1258" s="8" t="inlineStr">
        <is>
          <t>2023-05-01</t>
        </is>
      </c>
      <c r="B1258" s="6" t="n">
        <v>5.77</v>
      </c>
      <c r="C1258" s="8">
        <f>-PV(B1258/100,$B$3,B1257/100,1)</f>
        <v/>
      </c>
      <c r="D1258" s="8">
        <f>B1257/100/12+(C1258-1)</f>
        <v/>
      </c>
      <c r="E1258" s="8">
        <f>E1257*(1+D1258)</f>
        <v/>
      </c>
    </row>
    <row r="1259">
      <c r="A1259" s="8" t="inlineStr">
        <is>
          <t>2023-06-01</t>
        </is>
      </c>
      <c r="B1259" s="6" t="n">
        <v>5.75</v>
      </c>
      <c r="C1259" s="8">
        <f>-PV(B1259/100,$B$3,B1258/100,1)</f>
        <v/>
      </c>
      <c r="D1259" s="8">
        <f>B1258/100/12+(C1259-1)</f>
        <v/>
      </c>
      <c r="E1259" s="8">
        <f>E1258*(1+D1259)</f>
        <v/>
      </c>
    </row>
    <row r="1260">
      <c r="A1260" s="8" t="inlineStr">
        <is>
          <t>2023-07-01</t>
        </is>
      </c>
      <c r="B1260" s="6" t="n">
        <v>5.74</v>
      </c>
      <c r="C1260" s="8">
        <f>-PV(B1260/100,$B$3,B1259/100,1)</f>
        <v/>
      </c>
      <c r="D1260" s="8">
        <f>B1259/100/12+(C1260-1)</f>
        <v/>
      </c>
      <c r="E1260" s="8">
        <f>E1259*(1+D1260)</f>
        <v/>
      </c>
    </row>
    <row r="1261">
      <c r="A1261" s="8" t="inlineStr">
        <is>
          <t>2023-08-01</t>
        </is>
      </c>
      <c r="B1261" s="6" t="n">
        <v>6.02</v>
      </c>
      <c r="C1261" s="8">
        <f>-PV(B1261/100,$B$3,B1260/100,1)</f>
        <v/>
      </c>
      <c r="D1261" s="8">
        <f>B1260/100/12+(C1261-1)</f>
        <v/>
      </c>
      <c r="E1261" s="8">
        <f>E1260*(1+D1261)</f>
        <v/>
      </c>
    </row>
    <row r="1262">
      <c r="A1262" s="8" t="inlineStr">
        <is>
          <t>2023-09-01</t>
        </is>
      </c>
      <c r="B1262" s="6" t="n">
        <v>6.16</v>
      </c>
      <c r="C1262" s="8">
        <f>-PV(B1262/100,$B$3,B1261/100,1)</f>
        <v/>
      </c>
      <c r="D1262" s="8">
        <f>B1261/100/12+(C1262-1)</f>
        <v/>
      </c>
      <c r="E1262" s="8">
        <f>E1261*(1+D1262)</f>
        <v/>
      </c>
    </row>
    <row r="1263">
      <c r="A1263" s="8" t="inlineStr">
        <is>
          <t>2023-10-01</t>
        </is>
      </c>
      <c r="B1263" s="6" t="n">
        <v>6.63</v>
      </c>
      <c r="C1263" s="8">
        <f>-PV(B1263/100,$B$3,B1262/100,1)</f>
        <v/>
      </c>
      <c r="D1263" s="8">
        <f>B1262/100/12+(C1263-1)</f>
        <v/>
      </c>
      <c r="E1263" s="8">
        <f>E1262*(1+D1263)</f>
        <v/>
      </c>
    </row>
    <row r="1264">
      <c r="A1264" s="8" t="inlineStr">
        <is>
          <t>2023-11-01</t>
        </is>
      </c>
      <c r="B1264" s="6" t="n">
        <v>6.29</v>
      </c>
      <c r="C1264" s="8">
        <f>-PV(B1264/100,$B$3,B1263/100,1)</f>
        <v/>
      </c>
      <c r="D1264" s="8">
        <f>B1263/100/12+(C1264-1)</f>
        <v/>
      </c>
      <c r="E1264" s="8">
        <f>E1263*(1+D1264)</f>
        <v/>
      </c>
    </row>
    <row r="1265">
      <c r="A1265" s="8" t="inlineStr">
        <is>
          <t>2023-12-01</t>
        </is>
      </c>
      <c r="B1265" s="6" t="n">
        <v>5.64</v>
      </c>
      <c r="C1265" s="8">
        <f>-PV(B1265/100,$B$3,B1264/100,1)</f>
        <v/>
      </c>
      <c r="D1265" s="8">
        <f>B1264/100/12+(C1265-1)</f>
        <v/>
      </c>
      <c r="E1265" s="8">
        <f>E1264*(1+D1265)</f>
        <v/>
      </c>
    </row>
    <row r="1266">
      <c r="A1266" s="8" t="inlineStr">
        <is>
          <t>2024-01-01</t>
        </is>
      </c>
      <c r="B1266" s="6" t="n">
        <v>5.68</v>
      </c>
      <c r="C1266" s="8">
        <f>-PV(B1266/100,$B$3,B1265/100,1)</f>
        <v/>
      </c>
      <c r="D1266" s="8">
        <f>B1265/100/12+(C1266-1)</f>
        <v/>
      </c>
      <c r="E1266" s="8">
        <f>E1265*(1+D1266)</f>
        <v/>
      </c>
    </row>
    <row r="1267">
      <c r="A1267" s="8" t="inlineStr">
        <is>
          <t>2024-02-01</t>
        </is>
      </c>
      <c r="B1267" s="6" t="n">
        <v>5.77</v>
      </c>
      <c r="C1267" s="8">
        <f>-PV(B1267/100,$B$3,B1266/100,1)</f>
        <v/>
      </c>
      <c r="D1267" s="8">
        <f>B1266/100/12+(C1267-1)</f>
        <v/>
      </c>
      <c r="E1267" s="8">
        <f>E1266*(1+D1267)</f>
        <v/>
      </c>
    </row>
    <row r="1268">
      <c r="A1268" s="8" t="inlineStr">
        <is>
          <t>2024-03-01</t>
        </is>
      </c>
      <c r="B1268" s="6" t="n">
        <v>5.75</v>
      </c>
      <c r="C1268" s="8">
        <f>-PV(B1268/100,$B$3,B1267/100,1)</f>
        <v/>
      </c>
      <c r="D1268" s="8">
        <f>B1267/100/12+(C1268-1)</f>
        <v/>
      </c>
      <c r="E1268" s="8">
        <f>E1267*(1+D1268)</f>
        <v/>
      </c>
    </row>
    <row r="1269">
      <c r="A1269" s="8" t="inlineStr">
        <is>
          <t>2024-04-01</t>
        </is>
      </c>
      <c r="B1269" s="6" t="n">
        <v>6</v>
      </c>
      <c r="C1269" s="8">
        <f>-PV(B1269/100,$B$3,B1268/100,1)</f>
        <v/>
      </c>
      <c r="D1269" s="8">
        <f>B1268/100/12+(C1269-1)</f>
        <v/>
      </c>
      <c r="E1269" s="8">
        <f>E1268*(1+D1269)</f>
        <v/>
      </c>
    </row>
    <row r="1270">
      <c r="A1270" s="8" t="inlineStr">
        <is>
          <t>2024-05-01</t>
        </is>
      </c>
      <c r="B1270" s="6" t="n">
        <v>5.95</v>
      </c>
      <c r="C1270" s="8">
        <f>-PV(B1270/100,$B$3,B1269/100,1)</f>
        <v/>
      </c>
      <c r="D1270" s="8">
        <f>B1269/100/12+(C1270-1)</f>
        <v/>
      </c>
      <c r="E1270" s="8">
        <f>E1269*(1+D1270)</f>
        <v/>
      </c>
    </row>
    <row r="1271">
      <c r="A1271" s="8" t="inlineStr">
        <is>
          <t>2024-06-01</t>
        </is>
      </c>
      <c r="B1271" s="6" t="n">
        <v>5.82</v>
      </c>
      <c r="C1271" s="8">
        <f>-PV(B1271/100,$B$3,B1270/100,1)</f>
        <v/>
      </c>
      <c r="D1271" s="8">
        <f>B1270/100/12+(C1271-1)</f>
        <v/>
      </c>
      <c r="E1271" s="8">
        <f>E1270*(1+D1271)</f>
        <v/>
      </c>
    </row>
    <row r="1272">
      <c r="A1272" s="8" t="inlineStr">
        <is>
          <t>2024-07-01</t>
        </is>
      </c>
      <c r="B1272" s="6" t="n">
        <v>5.84</v>
      </c>
      <c r="C1272" s="8">
        <f>-PV(B1272/100,$B$3,B1271/100,1)</f>
        <v/>
      </c>
      <c r="D1272" s="8">
        <f>B1271/100/12+(C1272-1)</f>
        <v/>
      </c>
      <c r="E1272" s="8">
        <f>E1271*(1+D1272)</f>
        <v/>
      </c>
    </row>
    <row r="1273">
      <c r="A1273" s="8" t="inlineStr">
        <is>
          <t>2024-08-01</t>
        </is>
      </c>
      <c r="B1273" s="6" t="n">
        <v>5.6</v>
      </c>
      <c r="C1273" s="8">
        <f>-PV(B1273/100,$B$3,B1272/100,1)</f>
        <v/>
      </c>
      <c r="D1273" s="8">
        <f>B1272/100/12+(C1273-1)</f>
        <v/>
      </c>
      <c r="E1273" s="8">
        <f>E1272*(1+D1273)</f>
        <v/>
      </c>
    </row>
    <row r="1274">
      <c r="A1274" s="8" t="inlineStr">
        <is>
          <t>2024-09-01</t>
        </is>
      </c>
      <c r="B1274" s="6" t="n">
        <v>5.42</v>
      </c>
      <c r="C1274" s="8">
        <f>-PV(B1274/100,$B$3,B1273/100,1)</f>
        <v/>
      </c>
      <c r="D1274" s="8">
        <f>B1273/100/12+(C1274-1)</f>
        <v/>
      </c>
      <c r="E1274" s="8">
        <f>E1273*(1+D1274)</f>
        <v/>
      </c>
    </row>
    <row r="1275">
      <c r="A1275" s="8" t="inlineStr">
        <is>
          <t>2024-10-01</t>
        </is>
      </c>
      <c r="B1275" s="6" t="n">
        <v>5.63</v>
      </c>
      <c r="C1275" s="8">
        <f>-PV(B1275/100,$B$3,B1274/100,1)</f>
        <v/>
      </c>
      <c r="D1275" s="8">
        <f>B1274/100/12+(C1275-1)</f>
        <v/>
      </c>
      <c r="E1275" s="8">
        <f>E1274*(1+D1275)</f>
        <v/>
      </c>
    </row>
    <row r="1276">
      <c r="A1276" s="8" t="inlineStr">
        <is>
          <t>2024-11-01</t>
        </is>
      </c>
      <c r="B1276" s="6" t="n">
        <v>5.78</v>
      </c>
      <c r="C1276" s="8">
        <f>-PV(B1276/100,$B$3,B1275/100,1)</f>
        <v/>
      </c>
      <c r="D1276" s="8">
        <f>B1275/100/12+(C1276-1)</f>
        <v/>
      </c>
      <c r="E1276" s="8">
        <f>E1275*(1+D1276)</f>
        <v/>
      </c>
    </row>
    <row r="1277">
      <c r="A1277" s="8" t="inlineStr">
        <is>
          <t>2024-12-01</t>
        </is>
      </c>
      <c r="B1277" s="6" t="n">
        <v>5.8</v>
      </c>
      <c r="C1277" s="8">
        <f>-PV(B1277/100,$B$3,B1276/100,1)</f>
        <v/>
      </c>
      <c r="D1277" s="8">
        <f>B1276/100/12+(C1277-1)</f>
        <v/>
      </c>
      <c r="E1277" s="8">
        <f>E1276*(1+D1277)</f>
        <v/>
      </c>
    </row>
    <row r="1278">
      <c r="A1278" s="8" t="inlineStr">
        <is>
          <t>2025-01-01</t>
        </is>
      </c>
      <c r="B1278" s="6" t="n">
        <v>6.08</v>
      </c>
      <c r="C1278" s="8">
        <f>-PV(B1278/100,$B$3,B1277/100,1)</f>
        <v/>
      </c>
      <c r="D1278" s="8">
        <f>B1277/100/12+(C1278-1)</f>
        <v/>
      </c>
      <c r="E1278" s="8">
        <f>E1277*(1+D1278)</f>
        <v/>
      </c>
    </row>
    <row r="1279">
      <c r="A1279" s="8" t="inlineStr">
        <is>
          <t>2025-02-01</t>
        </is>
      </c>
      <c r="B1279" s="6" t="n">
        <v>5.92</v>
      </c>
      <c r="C1279" s="8">
        <f>-PV(B1279/100,$B$3,B1278/100,1)</f>
        <v/>
      </c>
      <c r="D1279" s="8">
        <f>B1278/100/12+(C1279-1)</f>
        <v/>
      </c>
      <c r="E1279" s="8">
        <f>E1278*(1+D1279)</f>
        <v/>
      </c>
    </row>
    <row r="1280">
      <c r="A1280" s="8" t="inlineStr">
        <is>
          <t>2025-03-01</t>
        </is>
      </c>
      <c r="B1280" s="6" t="n">
        <v>5.93</v>
      </c>
      <c r="C1280" s="8">
        <f>-PV(B1280/100,$B$3,B1279/100,1)</f>
        <v/>
      </c>
      <c r="D1280" s="8">
        <f>B1279/100/12+(C1280-1)</f>
        <v/>
      </c>
      <c r="E1280" s="8">
        <f>E1279*(1+D1280)</f>
        <v/>
      </c>
    </row>
    <row r="1281">
      <c r="A1281" s="8" t="inlineStr">
        <is>
          <t>2025-04-01</t>
        </is>
      </c>
      <c r="B1281" s="6" t="n">
        <v>6.18</v>
      </c>
      <c r="C1281" s="8">
        <f>-PV(B1281/100,$B$3,B1280/100,1)</f>
        <v/>
      </c>
      <c r="D1281" s="8">
        <f>B1280/100/12+(C1281-1)</f>
        <v/>
      </c>
      <c r="E1281" s="8">
        <f>E1280*(1+D1281)</f>
        <v/>
      </c>
    </row>
    <row r="1282">
      <c r="A1282" s="8" t="inlineStr">
        <is>
          <t>2025-05-01</t>
        </is>
      </c>
      <c r="B1282" s="6" t="n">
        <v>6.29</v>
      </c>
      <c r="C1282" s="8">
        <f>-PV(B1282/100,$B$3,B1281/100,1)</f>
        <v/>
      </c>
      <c r="D1282" s="8">
        <f>B1281/100/12+(C1282-1)</f>
        <v/>
      </c>
      <c r="E1282" s="8">
        <f>E1281*(1+D1282)</f>
        <v/>
      </c>
    </row>
    <row r="1283">
      <c r="A1283" s="8" t="inlineStr">
        <is>
          <t>2025-06-01</t>
        </is>
      </c>
      <c r="B1283" s="6" t="n">
        <v>6.15</v>
      </c>
      <c r="C1283" s="8">
        <f>-PV(B1283/100,$B$3,B1282/100,1)</f>
        <v/>
      </c>
      <c r="D1283" s="8">
        <f>B1282/100/12+(C1283-1)</f>
        <v/>
      </c>
      <c r="E1283" s="8">
        <f>E1282*(1+D1283)</f>
        <v/>
      </c>
    </row>
    <row r="1284">
      <c r="A1284" s="8" t="inlineStr">
        <is>
          <t>2025-07-01</t>
        </is>
      </c>
      <c r="B1284" s="6" t="n">
        <v>6.1</v>
      </c>
      <c r="C1284" s="8">
        <f>-PV(B1284/100,$B$3,B1283/100,1)</f>
        <v/>
      </c>
      <c r="D1284" s="8">
        <f>B1283/100/12+(C1284-1)</f>
        <v/>
      </c>
      <c r="E1284" s="8">
        <f>E1283*(1+D1284)</f>
        <v/>
      </c>
    </row>
    <row r="1285">
      <c r="A1285" s="8" t="inlineStr">
        <is>
          <t>2025-08-01</t>
        </is>
      </c>
      <c r="B1285" s="6" t="n">
        <v>6</v>
      </c>
      <c r="C1285" s="8">
        <f>-PV(B1285/100,$B$3,B1284/100,1)</f>
        <v/>
      </c>
      <c r="D1285" s="8">
        <f>B1284/100/12+(C1285-1)</f>
        <v/>
      </c>
      <c r="E1285" s="8">
        <f>E1284*(1+D1285)</f>
        <v/>
      </c>
    </row>
    <row r="1286">
      <c r="A1286" s="8" t="inlineStr">
        <is>
          <t>2025-09-01</t>
        </is>
      </c>
      <c r="B1286" s="6" t="n">
        <v>5.83</v>
      </c>
      <c r="C1286" s="8">
        <f>-PV(B1286/100,$B$3,B1285/100,1)</f>
        <v/>
      </c>
      <c r="D1286" s="8">
        <f>B1285/100/12+(C1286-1)</f>
        <v/>
      </c>
      <c r="E1286" s="8">
        <f>E1285*(1+D1286)</f>
        <v/>
      </c>
    </row>
    <row r="1287">
      <c r="A1287" s="8" t="inlineStr">
        <is>
          <t>2025-10-01</t>
        </is>
      </c>
      <c r="B1287" s="6" t="n">
        <v>5.74</v>
      </c>
      <c r="C1287" s="8">
        <f>-PV(B1287/100,$B$3,B1286/100,1)</f>
        <v/>
      </c>
      <c r="D1287" s="8">
        <f>B1286/100/12+(C1287-1)</f>
        <v/>
      </c>
      <c r="E1287" s="8">
        <f>E1286*(1+D1287)</f>
        <v/>
      </c>
    </row>
    <row r="1288">
      <c r="A1288" s="8" t="inlineStr">
        <is>
          <t>2025-11-01</t>
        </is>
      </c>
      <c r="B1288" s="6" t="n">
        <v>5.86</v>
      </c>
      <c r="C1288" s="8">
        <f>-PV(B1288/100,$B$3,B1287/100,1)</f>
        <v/>
      </c>
      <c r="D1288" s="8">
        <f>B1287/100/12+(C1288-1)</f>
        <v/>
      </c>
      <c r="E1288" s="8">
        <f>E1287*(1+D1288)</f>
        <v/>
      </c>
    </row>
    <row r="1289">
      <c r="A1289" s="8" t="inlineStr">
        <is>
          <t>2025-12-01</t>
        </is>
      </c>
      <c r="B1289" s="6" t="n">
        <v>5.9</v>
      </c>
      <c r="C1289" s="8">
        <f>-PV(B1289/100,$B$3,B1288/100,1)</f>
        <v/>
      </c>
      <c r="D1289" s="8">
        <f>B1288/100/12+(C1289-1)</f>
        <v/>
      </c>
      <c r="E1289" s="8">
        <f>E1288*(1+D1289)</f>
        <v/>
      </c>
    </row>
    <row r="1290">
      <c r="A1290" s="8" t="inlineStr">
        <is>
          <t>2026-01-01</t>
        </is>
      </c>
      <c r="B1290" s="6" t="n">
        <v>5.88</v>
      </c>
      <c r="C1290" s="8">
        <f>-PV(B1290/100,$B$3,B1289/100,1)</f>
        <v/>
      </c>
      <c r="D1290" s="8">
        <f>B1289/100/12+(C1290-1)</f>
        <v/>
      </c>
      <c r="E1290" s="8">
        <f>E1289*(1+D1290)</f>
        <v/>
      </c>
    </row>
    <row r="1291">
      <c r="A1291" s="8" t="inlineStr">
        <is>
          <t>2026-02-01</t>
        </is>
      </c>
      <c r="B1291" s="6" t="n">
        <v>5.81</v>
      </c>
      <c r="C1291" s="8">
        <f>-PV(B1291/100,$B$3,B1290/100,1)</f>
        <v/>
      </c>
      <c r="D1291" s="8">
        <f>B1290/100/12+(C1291-1)</f>
        <v/>
      </c>
      <c r="E1291" s="8">
        <f>E1290*(1+D1291)</f>
        <v/>
      </c>
    </row>
    <row r="1292">
      <c r="A1292" s="8" t="inlineStr">
        <is>
          <t>2026-03-01</t>
        </is>
      </c>
      <c r="B1292" s="6" t="n">
        <v>6.04</v>
      </c>
      <c r="C1292" s="8">
        <f>-PV(B1292/100,$B$3,B1291/100,1)</f>
        <v/>
      </c>
      <c r="D1292" s="8">
        <f>B1291/100/12+(C1292-1)</f>
        <v/>
      </c>
      <c r="E1292" s="8">
        <f>E1291*(1+D1292)</f>
        <v/>
      </c>
    </row>
    <row r="1293">
      <c r="A1293" s="8" t="inlineStr">
        <is>
          <t>2026-04-01</t>
        </is>
      </c>
      <c r="B1293" s="6" t="n">
        <v>6.03</v>
      </c>
      <c r="C1293" s="8">
        <f>-PV(B1293/100,$B$3,B1292/100,1)</f>
        <v/>
      </c>
      <c r="D1293" s="8">
        <f>B1292/100/12+(C1293-1)</f>
        <v/>
      </c>
      <c r="E1293" s="8">
        <f>E1292*(1+D1293)</f>
        <v/>
      </c>
    </row>
    <row r="1294">
      <c r="A1294" s="8" t="inlineStr">
        <is>
          <t>2026-05-01</t>
        </is>
      </c>
      <c r="B1294" s="6" t="n">
        <v>6.1</v>
      </c>
      <c r="C1294" s="8">
        <f>-PV(B1294/100,$B$3,B1293/100,1)</f>
        <v/>
      </c>
      <c r="D1294" s="8">
        <f>B1293/100/12+(C1294-1)</f>
        <v/>
      </c>
      <c r="E1294" s="8">
        <f>E1293*(1+D1294)</f>
        <v/>
      </c>
    </row>
  </sheetData>
  <hyperlinks>
    <hyperlink xmlns:r="http://schemas.openxmlformats.org/officeDocument/2006/relationships" ref="D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6" customWidth="1" min="4" max="4"/>
  </cols>
  <sheetData>
    <row r="1">
      <c r="A1" s="1" t="inlineStr">
        <is>
          <t>US equities (S&amp;P) — nominal total-return level = real-TR x CPI</t>
        </is>
      </c>
    </row>
    <row r="2">
      <c r="A2" s="2" t="inlineStr">
        <is>
          <t>Shiller real total-return index x Shiller CPI. (Dashboard extends to 2025 via S&amp;P500TR/FRED CPI.)</t>
        </is>
      </c>
      <c r="F2" s="5" t="inlineStr">
        <is>
          <t>Shiller source</t>
        </is>
      </c>
    </row>
    <row r="4">
      <c r="A4" s="7" t="inlineStr">
        <is>
          <t>Year</t>
        </is>
      </c>
      <c r="B4" s="7" t="inlineStr">
        <is>
          <t>Real-TR (raw)</t>
        </is>
      </c>
      <c r="C4" s="7" t="inlineStr">
        <is>
          <t>CPI (raw)</t>
        </is>
      </c>
      <c r="D4" s="7" t="inlineStr">
        <is>
          <t>Nominal = Real x CPI (formula)</t>
        </is>
      </c>
    </row>
    <row r="5">
      <c r="A5" s="8" t="n">
        <v>1871</v>
      </c>
      <c r="B5" s="6" t="n">
        <v>122.3435</v>
      </c>
      <c r="C5" s="6" t="n">
        <v>12.4006</v>
      </c>
      <c r="D5" s="8">
        <f>B5*C5</f>
        <v/>
      </c>
    </row>
    <row r="6">
      <c r="A6" s="8" t="n">
        <v>1872</v>
      </c>
      <c r="B6" s="6" t="n">
        <v>132.7327</v>
      </c>
      <c r="C6" s="6" t="n">
        <v>12.924</v>
      </c>
      <c r="D6" s="8">
        <f>B6*C6</f>
        <v/>
      </c>
    </row>
    <row r="7">
      <c r="A7" s="8" t="n">
        <v>1873</v>
      </c>
      <c r="B7" s="6" t="n">
        <v>136.9621</v>
      </c>
      <c r="C7" s="6" t="n">
        <v>12.6782</v>
      </c>
      <c r="D7" s="8">
        <f>B7*C7</f>
        <v/>
      </c>
    </row>
    <row r="8">
      <c r="A8" s="8" t="n">
        <v>1874</v>
      </c>
      <c r="B8" s="6" t="n">
        <v>148.9537</v>
      </c>
      <c r="C8" s="6" t="n">
        <v>11.9408</v>
      </c>
      <c r="D8" s="8">
        <f>B8*C8</f>
        <v/>
      </c>
    </row>
    <row r="9">
      <c r="A9" s="8" t="n">
        <v>1875</v>
      </c>
      <c r="B9" s="6" t="n">
        <v>164.9246</v>
      </c>
      <c r="C9" s="6" t="n">
        <v>11.2668</v>
      </c>
      <c r="D9" s="8">
        <f>B9*C9</f>
        <v/>
      </c>
    </row>
    <row r="10">
      <c r="A10" s="8" t="n">
        <v>1876</v>
      </c>
      <c r="B10" s="6" t="n">
        <v>173.0209</v>
      </c>
      <c r="C10" s="6" t="n">
        <v>10.5057</v>
      </c>
      <c r="D10" s="8">
        <f>B10*C10</f>
        <v/>
      </c>
    </row>
    <row r="11">
      <c r="A11" s="8" t="n">
        <v>1877</v>
      </c>
      <c r="B11" s="6" t="n">
        <v>150.9916</v>
      </c>
      <c r="C11" s="6" t="n">
        <v>10.1172</v>
      </c>
      <c r="D11" s="8">
        <f>B11*C11</f>
        <v/>
      </c>
    </row>
    <row r="12">
      <c r="A12" s="8" t="n">
        <v>1878</v>
      </c>
      <c r="B12" s="6" t="n">
        <v>203.0774</v>
      </c>
      <c r="C12" s="6" t="n">
        <v>8.6424</v>
      </c>
      <c r="D12" s="8">
        <f>B12*C12</f>
        <v/>
      </c>
    </row>
    <row r="13">
      <c r="A13" s="8" t="n">
        <v>1879</v>
      </c>
      <c r="B13" s="6" t="n">
        <v>262.6989</v>
      </c>
      <c r="C13" s="6" t="n">
        <v>8.5235</v>
      </c>
      <c r="D13" s="8">
        <f>B13*C13</f>
        <v/>
      </c>
    </row>
    <row r="14">
      <c r="A14" s="8" t="n">
        <v>1880</v>
      </c>
      <c r="B14" s="6" t="n">
        <v>310.8414</v>
      </c>
      <c r="C14" s="6" t="n">
        <v>9.5383</v>
      </c>
      <c r="D14" s="8">
        <f>B14*C14</f>
        <v/>
      </c>
    </row>
    <row r="15">
      <c r="A15" s="8" t="n">
        <v>1881</v>
      </c>
      <c r="B15" s="6" t="n">
        <v>380.8355</v>
      </c>
      <c r="C15" s="6" t="n">
        <v>9.776199999999999</v>
      </c>
      <c r="D15" s="8">
        <f>B15*C15</f>
        <v/>
      </c>
    </row>
    <row r="16">
      <c r="A16" s="8" t="n">
        <v>1882</v>
      </c>
      <c r="B16" s="6" t="n">
        <v>358.7411</v>
      </c>
      <c r="C16" s="6" t="n">
        <v>10.3074</v>
      </c>
      <c r="D16" s="8">
        <f>B16*C16</f>
        <v/>
      </c>
    </row>
    <row r="17">
      <c r="A17" s="8" t="n">
        <v>1883</v>
      </c>
      <c r="B17" s="6" t="n">
        <v>390.2915</v>
      </c>
      <c r="C17" s="6" t="n">
        <v>9.562099999999999</v>
      </c>
      <c r="D17" s="8">
        <f>B17*C17</f>
        <v/>
      </c>
    </row>
    <row r="18">
      <c r="A18" s="8" t="n">
        <v>1884</v>
      </c>
      <c r="B18" s="6" t="n">
        <v>378.3331</v>
      </c>
      <c r="C18" s="6" t="n">
        <v>8.816800000000001</v>
      </c>
      <c r="D18" s="8">
        <f>B18*C18</f>
        <v/>
      </c>
    </row>
    <row r="19">
      <c r="A19" s="8" t="n">
        <v>1885</v>
      </c>
      <c r="B19" s="6" t="n">
        <v>429.0405</v>
      </c>
      <c r="C19" s="6" t="n">
        <v>8.087400000000001</v>
      </c>
      <c r="D19" s="8">
        <f>B19*C19</f>
        <v/>
      </c>
    </row>
    <row r="20">
      <c r="A20" s="8" t="n">
        <v>1886</v>
      </c>
      <c r="B20" s="6" t="n">
        <v>547.6501</v>
      </c>
      <c r="C20" s="6" t="n">
        <v>7.7544</v>
      </c>
      <c r="D20" s="8">
        <f>B20*C20</f>
        <v/>
      </c>
    </row>
    <row r="21">
      <c r="A21" s="8" t="n">
        <v>1887</v>
      </c>
      <c r="B21" s="6" t="n">
        <v>567.2344000000001</v>
      </c>
      <c r="C21" s="6" t="n">
        <v>8.0398</v>
      </c>
      <c r="D21" s="8">
        <f>B21*C21</f>
        <v/>
      </c>
    </row>
    <row r="22">
      <c r="A22" s="8" t="n">
        <v>1888</v>
      </c>
      <c r="B22" s="6" t="n">
        <v>548.7686</v>
      </c>
      <c r="C22" s="6" t="n">
        <v>8.182499999999999</v>
      </c>
      <c r="D22" s="8">
        <f>B22*C22</f>
        <v/>
      </c>
    </row>
    <row r="23">
      <c r="A23" s="8" t="n">
        <v>1889</v>
      </c>
      <c r="B23" s="6" t="n">
        <v>620.3313000000001</v>
      </c>
      <c r="C23" s="6" t="n">
        <v>7.7385</v>
      </c>
      <c r="D23" s="8">
        <f>B23*C23</f>
        <v/>
      </c>
    </row>
    <row r="24">
      <c r="A24" s="8" t="n">
        <v>1890</v>
      </c>
      <c r="B24" s="6" t="n">
        <v>635.1733</v>
      </c>
      <c r="C24" s="6" t="n">
        <v>7.794</v>
      </c>
      <c r="D24" s="8">
        <f>B24*C24</f>
        <v/>
      </c>
    </row>
    <row r="25">
      <c r="A25" s="8" t="n">
        <v>1891</v>
      </c>
      <c r="B25" s="6" t="n">
        <v>636.2303000000001</v>
      </c>
      <c r="C25" s="6" t="n">
        <v>7.7702</v>
      </c>
      <c r="D25" s="8">
        <f>B25*C25</f>
        <v/>
      </c>
    </row>
    <row r="26">
      <c r="A26" s="8" t="n">
        <v>1892</v>
      </c>
      <c r="B26" s="6" t="n">
        <v>781.3372000000001</v>
      </c>
      <c r="C26" s="6" t="n">
        <v>7.2707</v>
      </c>
      <c r="D26" s="8">
        <f>B26*C26</f>
        <v/>
      </c>
    </row>
    <row r="27">
      <c r="A27" s="8" t="n">
        <v>1893</v>
      </c>
      <c r="B27" s="6" t="n">
        <v>684.9615</v>
      </c>
      <c r="C27" s="6" t="n">
        <v>7.4451</v>
      </c>
      <c r="D27" s="8">
        <f>B27*C27</f>
        <v/>
      </c>
    </row>
    <row r="28">
      <c r="A28" s="8" t="n">
        <v>1894</v>
      </c>
      <c r="B28" s="6" t="n">
        <v>744.9314000000001</v>
      </c>
      <c r="C28" s="6" t="n">
        <v>6.6602</v>
      </c>
      <c r="D28" s="8">
        <f>B28*C28</f>
        <v/>
      </c>
    </row>
    <row r="29">
      <c r="A29" s="8" t="n">
        <v>1895</v>
      </c>
      <c r="B29" s="6" t="n">
        <v>788.7683</v>
      </c>
      <c r="C29" s="6" t="n">
        <v>6.8029</v>
      </c>
      <c r="D29" s="8">
        <f>B29*C29</f>
        <v/>
      </c>
    </row>
    <row r="30">
      <c r="A30" s="8" t="n">
        <v>1896</v>
      </c>
      <c r="B30" s="6" t="n">
        <v>810.9416</v>
      </c>
      <c r="C30" s="6" t="n">
        <v>6.462</v>
      </c>
      <c r="D30" s="8">
        <f>B30*C30</f>
        <v/>
      </c>
    </row>
    <row r="31">
      <c r="A31" s="8" t="n">
        <v>1897</v>
      </c>
      <c r="B31" s="6" t="n">
        <v>885.4425</v>
      </c>
      <c r="C31" s="6" t="n">
        <v>6.4937</v>
      </c>
      <c r="D31" s="8">
        <f>B31*C31</f>
        <v/>
      </c>
    </row>
    <row r="32">
      <c r="A32" s="8" t="n">
        <v>1898</v>
      </c>
      <c r="B32" s="6" t="n">
        <v>1007.1088</v>
      </c>
      <c r="C32" s="6" t="n">
        <v>6.7474</v>
      </c>
      <c r="D32" s="8">
        <f>B32*C32</f>
        <v/>
      </c>
    </row>
    <row r="33">
      <c r="A33" s="8" t="n">
        <v>1899</v>
      </c>
      <c r="B33" s="6" t="n">
        <v>1202.1996</v>
      </c>
      <c r="C33" s="6" t="n">
        <v>7.2866</v>
      </c>
      <c r="D33" s="8">
        <f>B33*C33</f>
        <v/>
      </c>
    </row>
    <row r="34">
      <c r="A34" s="8" t="n">
        <v>1900</v>
      </c>
      <c r="B34" s="6" t="n">
        <v>1136.3006</v>
      </c>
      <c r="C34" s="6" t="n">
        <v>7.8099</v>
      </c>
      <c r="D34" s="8">
        <f>B34*C34</f>
        <v/>
      </c>
    </row>
    <row r="35">
      <c r="A35" s="8" t="n">
        <v>1901</v>
      </c>
      <c r="B35" s="6" t="n">
        <v>1534.853</v>
      </c>
      <c r="C35" s="6" t="n">
        <v>7.6909</v>
      </c>
      <c r="D35" s="8">
        <f>B35*C35</f>
        <v/>
      </c>
    </row>
    <row r="36">
      <c r="A36" s="8" t="n">
        <v>1902</v>
      </c>
      <c r="B36" s="6" t="n">
        <v>1610.0369</v>
      </c>
      <c r="C36" s="6" t="n">
        <v>8.182499999999999</v>
      </c>
      <c r="D36" s="8">
        <f>B36*C36</f>
        <v/>
      </c>
    </row>
    <row r="37">
      <c r="A37" s="8" t="n">
        <v>1903</v>
      </c>
      <c r="B37" s="6" t="n">
        <v>1415.9186</v>
      </c>
      <c r="C37" s="6" t="n">
        <v>8.285600000000001</v>
      </c>
      <c r="D37" s="8">
        <f>B37*C37</f>
        <v/>
      </c>
    </row>
    <row r="38">
      <c r="A38" s="8" t="n">
        <v>1904</v>
      </c>
      <c r="B38" s="6" t="n">
        <v>1461.729</v>
      </c>
      <c r="C38" s="6" t="n">
        <v>8.277699999999999</v>
      </c>
      <c r="D38" s="8">
        <f>B38*C38</f>
        <v/>
      </c>
    </row>
    <row r="39">
      <c r="A39" s="8" t="n">
        <v>1905</v>
      </c>
      <c r="B39" s="6" t="n">
        <v>1919.7515</v>
      </c>
      <c r="C39" s="6" t="n">
        <v>8.356999999999999</v>
      </c>
      <c r="D39" s="8">
        <f>B39*C39</f>
        <v/>
      </c>
    </row>
    <row r="40">
      <c r="A40" s="8" t="n">
        <v>1906</v>
      </c>
      <c r="B40" s="6" t="n">
        <v>2077.8432</v>
      </c>
      <c r="C40" s="6" t="n">
        <v>8.571</v>
      </c>
      <c r="D40" s="8">
        <f>B40*C40</f>
        <v/>
      </c>
    </row>
    <row r="41">
      <c r="A41" s="8" t="n">
        <v>1907</v>
      </c>
      <c r="B41" s="6" t="n">
        <v>1671.9374</v>
      </c>
      <c r="C41" s="6" t="n">
        <v>9.070499999999999</v>
      </c>
      <c r="D41" s="8">
        <f>B41*C41</f>
        <v/>
      </c>
    </row>
    <row r="42">
      <c r="A42" s="8" t="n">
        <v>1908</v>
      </c>
      <c r="B42" s="6" t="n">
        <v>1827.9539</v>
      </c>
      <c r="C42" s="6" t="n">
        <v>8.737500000000001</v>
      </c>
      <c r="D42" s="8">
        <f>B42*C42</f>
        <v/>
      </c>
    </row>
    <row r="43">
      <c r="A43" s="8" t="n">
        <v>1909</v>
      </c>
      <c r="B43" s="6" t="n">
        <v>2214.7862</v>
      </c>
      <c r="C43" s="6" t="n">
        <v>9.4353</v>
      </c>
      <c r="D43" s="8">
        <f>B43*C43</f>
        <v/>
      </c>
    </row>
    <row r="44">
      <c r="A44" s="8" t="n">
        <v>1910</v>
      </c>
      <c r="B44" s="6" t="n">
        <v>2156.7851</v>
      </c>
      <c r="C44" s="6" t="n">
        <v>9.7683</v>
      </c>
      <c r="D44" s="8">
        <f>B44*C44</f>
        <v/>
      </c>
    </row>
    <row r="45">
      <c r="A45" s="8" t="n">
        <v>1911</v>
      </c>
      <c r="B45" s="6" t="n">
        <v>2429.8707</v>
      </c>
      <c r="C45" s="6" t="n">
        <v>9.007099999999999</v>
      </c>
      <c r="D45" s="8">
        <f>B45*C45</f>
        <v/>
      </c>
    </row>
    <row r="46">
      <c r="A46" s="8" t="n">
        <v>1912</v>
      </c>
      <c r="B46" s="6" t="n">
        <v>2474.2642</v>
      </c>
      <c r="C46" s="6" t="n">
        <v>9.601800000000001</v>
      </c>
      <c r="D46" s="8">
        <f>B46*C46</f>
        <v/>
      </c>
    </row>
    <row r="47">
      <c r="A47" s="8" t="n">
        <v>1913</v>
      </c>
      <c r="B47" s="6" t="n">
        <v>2259.8857</v>
      </c>
      <c r="C47" s="6" t="n">
        <v>9.8833</v>
      </c>
      <c r="D47" s="8">
        <f>B47*C47</f>
        <v/>
      </c>
    </row>
    <row r="48">
      <c r="A48" s="8" t="n">
        <v>1914</v>
      </c>
      <c r="B48" s="6" t="n">
        <v>2204.5337</v>
      </c>
      <c r="C48" s="6" t="n">
        <v>10.0167</v>
      </c>
      <c r="D48" s="8">
        <f>B48*C48</f>
        <v/>
      </c>
    </row>
    <row r="49">
      <c r="A49" s="8" t="n">
        <v>1915</v>
      </c>
      <c r="B49" s="6" t="n">
        <v>2413.3488</v>
      </c>
      <c r="C49" s="6" t="n">
        <v>10.1083</v>
      </c>
      <c r="D49" s="8">
        <f>B49*C49</f>
        <v/>
      </c>
    </row>
    <row r="50">
      <c r="A50" s="8" t="n">
        <v>1916</v>
      </c>
      <c r="B50" s="6" t="n">
        <v>2686.194</v>
      </c>
      <c r="C50" s="6" t="n">
        <v>10.8833</v>
      </c>
      <c r="D50" s="8">
        <f>B50*C50</f>
        <v/>
      </c>
    </row>
    <row r="51">
      <c r="A51" s="8" t="n">
        <v>1917</v>
      </c>
      <c r="B51" s="6" t="n">
        <v>2184.5808</v>
      </c>
      <c r="C51" s="6" t="n">
        <v>12.825</v>
      </c>
      <c r="D51" s="8">
        <f>B51*C51</f>
        <v/>
      </c>
    </row>
    <row r="52">
      <c r="A52" s="8" t="n">
        <v>1918</v>
      </c>
      <c r="B52" s="6" t="n">
        <v>1794.8218</v>
      </c>
      <c r="C52" s="6" t="n">
        <v>15.0417</v>
      </c>
      <c r="D52" s="8">
        <f>B52*C52</f>
        <v/>
      </c>
    </row>
    <row r="53">
      <c r="A53" s="8" t="n">
        <v>1919</v>
      </c>
      <c r="B53" s="6" t="n">
        <v>1946.7001</v>
      </c>
      <c r="C53" s="6" t="n">
        <v>17.3333</v>
      </c>
      <c r="D53" s="8">
        <f>B53*C53</f>
        <v/>
      </c>
    </row>
    <row r="54">
      <c r="A54" s="8" t="n">
        <v>1920</v>
      </c>
      <c r="B54" s="6" t="n">
        <v>1625.6119</v>
      </c>
      <c r="C54" s="6" t="n">
        <v>20.0417</v>
      </c>
      <c r="D54" s="8">
        <f>B54*C54</f>
        <v/>
      </c>
    </row>
    <row r="55">
      <c r="A55" s="8" t="n">
        <v>1921</v>
      </c>
      <c r="B55" s="6" t="n">
        <v>1683.897</v>
      </c>
      <c r="C55" s="6" t="n">
        <v>17.85</v>
      </c>
      <c r="D55" s="8">
        <f>B55*C55</f>
        <v/>
      </c>
    </row>
    <row r="56">
      <c r="A56" s="8" t="n">
        <v>1922</v>
      </c>
      <c r="B56" s="6" t="n">
        <v>2346.7117</v>
      </c>
      <c r="C56" s="6" t="n">
        <v>16.75</v>
      </c>
      <c r="D56" s="8">
        <f>B56*C56</f>
        <v/>
      </c>
    </row>
    <row r="57">
      <c r="A57" s="8" t="n">
        <v>1923</v>
      </c>
      <c r="B57" s="6" t="n">
        <v>2486.422</v>
      </c>
      <c r="C57" s="6" t="n">
        <v>17.05</v>
      </c>
      <c r="D57" s="8">
        <f>B57*C57</f>
        <v/>
      </c>
    </row>
    <row r="58">
      <c r="A58" s="8" t="n">
        <v>1924</v>
      </c>
      <c r="B58" s="6" t="n">
        <v>2780.2933</v>
      </c>
      <c r="C58" s="6" t="n">
        <v>17.125</v>
      </c>
      <c r="D58" s="8">
        <f>B58*C58</f>
        <v/>
      </c>
    </row>
    <row r="59">
      <c r="A59" s="8" t="n">
        <v>1925</v>
      </c>
      <c r="B59" s="6" t="n">
        <v>3534.1334</v>
      </c>
      <c r="C59" s="6" t="n">
        <v>17.5417</v>
      </c>
      <c r="D59" s="8">
        <f>B59*C59</f>
        <v/>
      </c>
    </row>
    <row r="60">
      <c r="A60" s="8" t="n">
        <v>1926</v>
      </c>
      <c r="B60" s="6" t="n">
        <v>4165.1443</v>
      </c>
      <c r="C60" s="6" t="n">
        <v>17.7</v>
      </c>
      <c r="D60" s="8">
        <f>B60*C60</f>
        <v/>
      </c>
    </row>
    <row r="61">
      <c r="A61" s="8" t="n">
        <v>1927</v>
      </c>
      <c r="B61" s="6" t="n">
        <v>5447.8316</v>
      </c>
      <c r="C61" s="6" t="n">
        <v>17.3583</v>
      </c>
      <c r="D61" s="8">
        <f>B61*C61</f>
        <v/>
      </c>
    </row>
    <row r="62">
      <c r="A62" s="8" t="n">
        <v>1928</v>
      </c>
      <c r="B62" s="6" t="n">
        <v>7486.0112</v>
      </c>
      <c r="C62" s="6" t="n">
        <v>17.1583</v>
      </c>
      <c r="D62" s="8">
        <f>B62*C62</f>
        <v/>
      </c>
    </row>
    <row r="63">
      <c r="A63" s="8" t="n">
        <v>1929</v>
      </c>
      <c r="B63" s="6" t="n">
        <v>10113.0561</v>
      </c>
      <c r="C63" s="6" t="n">
        <v>17.1583</v>
      </c>
      <c r="D63" s="8">
        <f>B63*C63</f>
        <v/>
      </c>
    </row>
    <row r="64">
      <c r="A64" s="8" t="n">
        <v>1930</v>
      </c>
      <c r="B64" s="6" t="n">
        <v>8722.195900000001</v>
      </c>
      <c r="C64" s="6" t="n">
        <v>16.7</v>
      </c>
      <c r="D64" s="8">
        <f>B64*C64</f>
        <v/>
      </c>
    </row>
    <row r="65">
      <c r="A65" s="8" t="n">
        <v>1931</v>
      </c>
      <c r="B65" s="6" t="n">
        <v>6559.8314</v>
      </c>
      <c r="C65" s="6" t="n">
        <v>15.2083</v>
      </c>
      <c r="D65" s="8">
        <f>B65*C65</f>
        <v/>
      </c>
    </row>
    <row r="66">
      <c r="A66" s="8" t="n">
        <v>1932</v>
      </c>
      <c r="B66" s="6" t="n">
        <v>4082.734</v>
      </c>
      <c r="C66" s="6" t="n">
        <v>13.6417</v>
      </c>
      <c r="D66" s="8">
        <f>B66*C66</f>
        <v/>
      </c>
    </row>
    <row r="67">
      <c r="A67" s="8" t="n">
        <v>1933</v>
      </c>
      <c r="B67" s="6" t="n">
        <v>5997.3499</v>
      </c>
      <c r="C67" s="6" t="n">
        <v>12.9333</v>
      </c>
      <c r="D67" s="8">
        <f>B67*C67</f>
        <v/>
      </c>
    </row>
    <row r="68">
      <c r="A68" s="8" t="n">
        <v>1934</v>
      </c>
      <c r="B68" s="6" t="n">
        <v>6663.8983</v>
      </c>
      <c r="C68" s="6" t="n">
        <v>13.3833</v>
      </c>
      <c r="D68" s="8">
        <f>B68*C68</f>
        <v/>
      </c>
    </row>
    <row r="69">
      <c r="A69" s="8" t="n">
        <v>1935</v>
      </c>
      <c r="B69" s="6" t="n">
        <v>7344.9002</v>
      </c>
      <c r="C69" s="6" t="n">
        <v>13.725</v>
      </c>
      <c r="D69" s="8">
        <f>B69*C69</f>
        <v/>
      </c>
    </row>
    <row r="70">
      <c r="A70" s="8" t="n">
        <v>1936</v>
      </c>
      <c r="B70" s="6" t="n">
        <v>11001.299</v>
      </c>
      <c r="C70" s="6" t="n">
        <v>13.8667</v>
      </c>
      <c r="D70" s="8">
        <f>B70*C70</f>
        <v/>
      </c>
    </row>
    <row r="71">
      <c r="A71" s="8" t="n">
        <v>1937</v>
      </c>
      <c r="B71" s="6" t="n">
        <v>11016.3075</v>
      </c>
      <c r="C71" s="6" t="n">
        <v>14.3833</v>
      </c>
      <c r="D71" s="8">
        <f>B71*C71</f>
        <v/>
      </c>
    </row>
    <row r="72">
      <c r="A72" s="8" t="n">
        <v>1938</v>
      </c>
      <c r="B72" s="6" t="n">
        <v>8959.977699999999</v>
      </c>
      <c r="C72" s="6" t="n">
        <v>14.0917</v>
      </c>
      <c r="D72" s="8">
        <f>B72*C72</f>
        <v/>
      </c>
    </row>
    <row r="73">
      <c r="A73" s="8" t="n">
        <v>1939</v>
      </c>
      <c r="B73" s="6" t="n">
        <v>9991.312599999999</v>
      </c>
      <c r="C73" s="6" t="n">
        <v>13.9083</v>
      </c>
      <c r="D73" s="8">
        <f>B73*C73</f>
        <v/>
      </c>
    </row>
    <row r="74">
      <c r="A74" s="8" t="n">
        <v>1940</v>
      </c>
      <c r="B74" s="6" t="n">
        <v>9544.465399999999</v>
      </c>
      <c r="C74" s="6" t="n">
        <v>14.0083</v>
      </c>
      <c r="D74" s="8">
        <f>B74*C74</f>
        <v/>
      </c>
    </row>
    <row r="75">
      <c r="A75" s="8" t="n">
        <v>1941</v>
      </c>
      <c r="B75" s="6" t="n">
        <v>8657.479799999999</v>
      </c>
      <c r="C75" s="6" t="n">
        <v>14.725</v>
      </c>
      <c r="D75" s="8">
        <f>B75*C75</f>
        <v/>
      </c>
    </row>
    <row r="76">
      <c r="A76" s="8" t="n">
        <v>1942</v>
      </c>
      <c r="B76" s="6" t="n">
        <v>7429.3367</v>
      </c>
      <c r="C76" s="6" t="n">
        <v>16.3333</v>
      </c>
      <c r="D76" s="8">
        <f>B76*C76</f>
        <v/>
      </c>
    </row>
    <row r="77">
      <c r="A77" s="8" t="n">
        <v>1943</v>
      </c>
      <c r="B77" s="6" t="n">
        <v>9879.795899999999</v>
      </c>
      <c r="C77" s="6" t="n">
        <v>17.3083</v>
      </c>
      <c r="D77" s="8">
        <f>B77*C77</f>
        <v/>
      </c>
    </row>
    <row r="78">
      <c r="A78" s="8" t="n">
        <v>1944</v>
      </c>
      <c r="B78" s="6" t="n">
        <v>11089.5864</v>
      </c>
      <c r="C78" s="6" t="n">
        <v>17.5917</v>
      </c>
      <c r="D78" s="8">
        <f>B78*C78</f>
        <v/>
      </c>
    </row>
    <row r="79">
      <c r="A79" s="8" t="n">
        <v>1945</v>
      </c>
      <c r="B79" s="6" t="n">
        <v>13818.4766</v>
      </c>
      <c r="C79" s="6" t="n">
        <v>17.9917</v>
      </c>
      <c r="D79" s="8">
        <f>B79*C79</f>
        <v/>
      </c>
    </row>
    <row r="80">
      <c r="A80" s="8" t="n">
        <v>1946</v>
      </c>
      <c r="B80" s="6" t="n">
        <v>15043.2923</v>
      </c>
      <c r="C80" s="6" t="n">
        <v>19.5167</v>
      </c>
      <c r="D80" s="8">
        <f>B80*C80</f>
        <v/>
      </c>
    </row>
    <row r="81">
      <c r="A81" s="8" t="n">
        <v>1947</v>
      </c>
      <c r="B81" s="6" t="n">
        <v>12146.1565</v>
      </c>
      <c r="C81" s="6" t="n">
        <v>22.325</v>
      </c>
      <c r="D81" s="8">
        <f>B81*C81</f>
        <v/>
      </c>
    </row>
    <row r="82">
      <c r="A82" s="8" t="n">
        <v>1948</v>
      </c>
      <c r="B82" s="6" t="n">
        <v>12186.7554</v>
      </c>
      <c r="C82" s="6" t="n">
        <v>24.0417</v>
      </c>
      <c r="D82" s="8">
        <f>B82*C82</f>
        <v/>
      </c>
    </row>
    <row r="83">
      <c r="A83" s="8" t="n">
        <v>1949</v>
      </c>
      <c r="B83" s="6" t="n">
        <v>12847.4501</v>
      </c>
      <c r="C83" s="6" t="n">
        <v>23.8083</v>
      </c>
      <c r="D83" s="8">
        <f>B83*C83</f>
        <v/>
      </c>
    </row>
    <row r="84">
      <c r="A84" s="8" t="n">
        <v>1950</v>
      </c>
      <c r="B84" s="6" t="n">
        <v>16420.3555</v>
      </c>
      <c r="C84" s="6" t="n">
        <v>24.0667</v>
      </c>
      <c r="D84" s="8">
        <f>B84*C84</f>
        <v/>
      </c>
    </row>
    <row r="85">
      <c r="A85" s="8" t="n">
        <v>1951</v>
      </c>
      <c r="B85" s="6" t="n">
        <v>19808.1609</v>
      </c>
      <c r="C85" s="6" t="n">
        <v>25.9583</v>
      </c>
      <c r="D85" s="8">
        <f>B85*C85</f>
        <v/>
      </c>
    </row>
    <row r="86">
      <c r="A86" s="8" t="n">
        <v>1952</v>
      </c>
      <c r="B86" s="6" t="n">
        <v>22600.1565</v>
      </c>
      <c r="C86" s="6" t="n">
        <v>26.55</v>
      </c>
      <c r="D86" s="8">
        <f>B86*C86</f>
        <v/>
      </c>
    </row>
    <row r="87">
      <c r="A87" s="8" t="n">
        <v>1953</v>
      </c>
      <c r="B87" s="6" t="n">
        <v>23947.8791</v>
      </c>
      <c r="C87" s="6" t="n">
        <v>26.7667</v>
      </c>
      <c r="D87" s="8">
        <f>B87*C87</f>
        <v/>
      </c>
    </row>
    <row r="88">
      <c r="A88" s="8" t="n">
        <v>1954</v>
      </c>
      <c r="B88" s="6" t="n">
        <v>30337.6894</v>
      </c>
      <c r="C88" s="6" t="n">
        <v>26.85</v>
      </c>
      <c r="D88" s="8">
        <f>B88*C88</f>
        <v/>
      </c>
    </row>
    <row r="89">
      <c r="A89" s="8" t="n">
        <v>1955</v>
      </c>
      <c r="B89" s="6" t="n">
        <v>43308.3503</v>
      </c>
      <c r="C89" s="6" t="n">
        <v>26.775</v>
      </c>
      <c r="D89" s="8">
        <f>B89*C89</f>
        <v/>
      </c>
    </row>
    <row r="90">
      <c r="A90" s="8" t="n">
        <v>1956</v>
      </c>
      <c r="B90" s="6" t="n">
        <v>50973.1502</v>
      </c>
      <c r="C90" s="6" t="n">
        <v>27.1833</v>
      </c>
      <c r="D90" s="8">
        <f>B90*C90</f>
        <v/>
      </c>
    </row>
    <row r="91">
      <c r="A91" s="8" t="n">
        <v>1957</v>
      </c>
      <c r="B91" s="6" t="n">
        <v>48778.6607</v>
      </c>
      <c r="C91" s="6" t="n">
        <v>28.0917</v>
      </c>
      <c r="D91" s="8">
        <f>B91*C91</f>
        <v/>
      </c>
    </row>
    <row r="92">
      <c r="A92" s="8" t="n">
        <v>1958</v>
      </c>
      <c r="B92" s="6" t="n">
        <v>51550.0136</v>
      </c>
      <c r="C92" s="6" t="n">
        <v>28.8583</v>
      </c>
      <c r="D92" s="8">
        <f>B92*C92</f>
        <v/>
      </c>
    </row>
    <row r="93">
      <c r="A93" s="8" t="n">
        <v>1959</v>
      </c>
      <c r="B93" s="6" t="n">
        <v>65433.2626</v>
      </c>
      <c r="C93" s="6" t="n">
        <v>29.15</v>
      </c>
      <c r="D93" s="8">
        <f>B93*C93</f>
        <v/>
      </c>
    </row>
    <row r="94">
      <c r="A94" s="8" t="n">
        <v>1960</v>
      </c>
      <c r="B94" s="6" t="n">
        <v>64869.9411</v>
      </c>
      <c r="C94" s="6" t="n">
        <v>29.575</v>
      </c>
      <c r="D94" s="8">
        <f>B94*C94</f>
        <v/>
      </c>
    </row>
    <row r="95">
      <c r="A95" s="8" t="n">
        <v>1961</v>
      </c>
      <c r="B95" s="6" t="n">
        <v>78688.2133</v>
      </c>
      <c r="C95" s="6" t="n">
        <v>29.8917</v>
      </c>
      <c r="D95" s="8">
        <f>B95*C95</f>
        <v/>
      </c>
    </row>
    <row r="96">
      <c r="A96" s="8" t="n">
        <v>1962</v>
      </c>
      <c r="B96" s="6" t="n">
        <v>75423.9581</v>
      </c>
      <c r="C96" s="6" t="n">
        <v>30.25</v>
      </c>
      <c r="D96" s="8">
        <f>B96*C96</f>
        <v/>
      </c>
    </row>
    <row r="97">
      <c r="A97" s="8" t="n">
        <v>1963</v>
      </c>
      <c r="B97" s="6" t="n">
        <v>86297.5707</v>
      </c>
      <c r="C97" s="6" t="n">
        <v>30.625</v>
      </c>
      <c r="D97" s="8">
        <f>B97*C97</f>
        <v/>
      </c>
    </row>
    <row r="98">
      <c r="A98" s="8" t="n">
        <v>1964</v>
      </c>
      <c r="B98" s="6" t="n">
        <v>102278.8947</v>
      </c>
      <c r="C98" s="6" t="n">
        <v>31.0167</v>
      </c>
      <c r="D98" s="8">
        <f>B98*C98</f>
        <v/>
      </c>
    </row>
    <row r="99">
      <c r="A99" s="8" t="n">
        <v>1965</v>
      </c>
      <c r="B99" s="6" t="n">
        <v>112348.5758</v>
      </c>
      <c r="C99" s="6" t="n">
        <v>31.5083</v>
      </c>
      <c r="D99" s="8">
        <f>B99*C99</f>
        <v/>
      </c>
    </row>
    <row r="100">
      <c r="A100" s="8" t="n">
        <v>1966</v>
      </c>
      <c r="B100" s="6" t="n">
        <v>108780.6401</v>
      </c>
      <c r="C100" s="6" t="n">
        <v>32.4583</v>
      </c>
      <c r="D100" s="8">
        <f>B100*C100</f>
        <v/>
      </c>
    </row>
    <row r="101">
      <c r="A101" s="8" t="n">
        <v>1967</v>
      </c>
      <c r="B101" s="6" t="n">
        <v>117984.6367</v>
      </c>
      <c r="C101" s="6" t="n">
        <v>33.3583</v>
      </c>
      <c r="D101" s="8">
        <f>B101*C101</f>
        <v/>
      </c>
    </row>
    <row r="102">
      <c r="A102" s="8" t="n">
        <v>1968</v>
      </c>
      <c r="B102" s="6" t="n">
        <v>125282.4173</v>
      </c>
      <c r="C102" s="6" t="n">
        <v>34.7833</v>
      </c>
      <c r="D102" s="8">
        <f>B102*C102</f>
        <v/>
      </c>
    </row>
    <row r="103">
      <c r="A103" s="8" t="n">
        <v>1969</v>
      </c>
      <c r="B103" s="6" t="n">
        <v>121493.3597</v>
      </c>
      <c r="C103" s="6" t="n">
        <v>36.6833</v>
      </c>
      <c r="D103" s="8">
        <f>B103*C103</f>
        <v/>
      </c>
    </row>
    <row r="104">
      <c r="A104" s="8" t="n">
        <v>1970</v>
      </c>
      <c r="B104" s="6" t="n">
        <v>101156.6668</v>
      </c>
      <c r="C104" s="6" t="n">
        <v>38.825</v>
      </c>
      <c r="D104" s="8">
        <f>B104*C104</f>
        <v/>
      </c>
    </row>
    <row r="105">
      <c r="A105" s="8" t="n">
        <v>1971</v>
      </c>
      <c r="B105" s="6" t="n">
        <v>118575.5081</v>
      </c>
      <c r="C105" s="6" t="n">
        <v>40.4917</v>
      </c>
      <c r="D105" s="8">
        <f>B105*C105</f>
        <v/>
      </c>
    </row>
    <row r="106">
      <c r="A106" s="8" t="n">
        <v>1972</v>
      </c>
      <c r="B106" s="6" t="n">
        <v>131446.4183</v>
      </c>
      <c r="C106" s="6" t="n">
        <v>41.8167</v>
      </c>
      <c r="D106" s="8">
        <f>B106*C106</f>
        <v/>
      </c>
    </row>
    <row r="107">
      <c r="A107" s="8" t="n">
        <v>1973</v>
      </c>
      <c r="B107" s="6" t="n">
        <v>125462.3776</v>
      </c>
      <c r="C107" s="6" t="n">
        <v>44.4</v>
      </c>
      <c r="D107" s="8">
        <f>B107*C107</f>
        <v/>
      </c>
    </row>
    <row r="108">
      <c r="A108" s="8" t="n">
        <v>1974</v>
      </c>
      <c r="B108" s="6" t="n">
        <v>90210.8162</v>
      </c>
      <c r="C108" s="6" t="n">
        <v>49.3083</v>
      </c>
      <c r="D108" s="8">
        <f>B108*C108</f>
        <v/>
      </c>
    </row>
    <row r="109">
      <c r="A109" s="8" t="n">
        <v>1975</v>
      </c>
      <c r="B109" s="6" t="n">
        <v>89952.40889999999</v>
      </c>
      <c r="C109" s="6" t="n">
        <v>53.8167</v>
      </c>
      <c r="D109" s="8">
        <f>B109*C109</f>
        <v/>
      </c>
    </row>
    <row r="110">
      <c r="A110" s="8" t="n">
        <v>1976</v>
      </c>
      <c r="B110" s="6" t="n">
        <v>104772.7338</v>
      </c>
      <c r="C110" s="6" t="n">
        <v>56.9083</v>
      </c>
      <c r="D110" s="8">
        <f>B110*C110</f>
        <v/>
      </c>
    </row>
    <row r="111">
      <c r="A111" s="8" t="n">
        <v>1977</v>
      </c>
      <c r="B111" s="6" t="n">
        <v>98639.7721</v>
      </c>
      <c r="C111" s="6" t="n">
        <v>60.6083</v>
      </c>
      <c r="D111" s="8">
        <f>B111*C111</f>
        <v/>
      </c>
    </row>
    <row r="112">
      <c r="A112" s="8" t="n">
        <v>1978</v>
      </c>
      <c r="B112" s="6" t="n">
        <v>94089.5266</v>
      </c>
      <c r="C112" s="6" t="n">
        <v>65.2333</v>
      </c>
      <c r="D112" s="8">
        <f>B112*C112</f>
        <v/>
      </c>
    </row>
    <row r="113">
      <c r="A113" s="8" t="n">
        <v>1979</v>
      </c>
      <c r="B113" s="6" t="n">
        <v>95561.92200000001</v>
      </c>
      <c r="C113" s="6" t="n">
        <v>72.575</v>
      </c>
      <c r="D113" s="8">
        <f>B113*C113</f>
        <v/>
      </c>
    </row>
    <row r="114">
      <c r="A114" s="8" t="n">
        <v>1980</v>
      </c>
      <c r="B114" s="6" t="n">
        <v>102127.7116</v>
      </c>
      <c r="C114" s="6" t="n">
        <v>82.4083</v>
      </c>
      <c r="D114" s="8">
        <f>B114*C114</f>
        <v/>
      </c>
    </row>
    <row r="115">
      <c r="A115" s="8" t="n">
        <v>1981</v>
      </c>
      <c r="B115" s="6" t="n">
        <v>104885.1504</v>
      </c>
      <c r="C115" s="6" t="n">
        <v>90.925</v>
      </c>
      <c r="D115" s="8">
        <f>B115*C115</f>
        <v/>
      </c>
    </row>
    <row r="116">
      <c r="A116" s="8" t="n">
        <v>1982</v>
      </c>
      <c r="B116" s="6" t="n">
        <v>97642.08900000001</v>
      </c>
      <c r="C116" s="6" t="n">
        <v>96.5</v>
      </c>
      <c r="D116" s="8">
        <f>B116*C116</f>
        <v/>
      </c>
    </row>
    <row r="117">
      <c r="A117" s="8" t="n">
        <v>1983</v>
      </c>
      <c r="B117" s="6" t="n">
        <v>133108.436</v>
      </c>
      <c r="C117" s="6" t="n">
        <v>99.59999999999999</v>
      </c>
      <c r="D117" s="8">
        <f>B117*C117</f>
        <v/>
      </c>
    </row>
    <row r="118">
      <c r="A118" s="8" t="n">
        <v>1984</v>
      </c>
      <c r="B118" s="6" t="n">
        <v>133415.9963</v>
      </c>
      <c r="C118" s="6" t="n">
        <v>103.8833</v>
      </c>
      <c r="D118" s="8">
        <f>B118*C118</f>
        <v/>
      </c>
    </row>
    <row r="119">
      <c r="A119" s="8" t="n">
        <v>1985</v>
      </c>
      <c r="B119" s="6" t="n">
        <v>156736.0287</v>
      </c>
      <c r="C119" s="6" t="n">
        <v>107.5667</v>
      </c>
      <c r="D119" s="8">
        <f>B119*C119</f>
        <v/>
      </c>
    </row>
    <row r="120">
      <c r="A120" s="8" t="n">
        <v>1986</v>
      </c>
      <c r="B120" s="6" t="n">
        <v>202068.3239</v>
      </c>
      <c r="C120" s="6" t="n">
        <v>109.6083</v>
      </c>
      <c r="D120" s="8">
        <f>B120*C120</f>
        <v/>
      </c>
    </row>
    <row r="121">
      <c r="A121" s="8" t="n">
        <v>1987</v>
      </c>
      <c r="B121" s="6" t="n">
        <v>244024.9563</v>
      </c>
      <c r="C121" s="6" t="n">
        <v>113.625</v>
      </c>
      <c r="D121" s="8">
        <f>B121*C121</f>
        <v/>
      </c>
    </row>
    <row r="122">
      <c r="A122" s="8" t="n">
        <v>1988</v>
      </c>
      <c r="B122" s="6" t="n">
        <v>224524.2164</v>
      </c>
      <c r="C122" s="6" t="n">
        <v>118.2583</v>
      </c>
      <c r="D122" s="8">
        <f>B122*C122</f>
        <v/>
      </c>
    </row>
    <row r="123">
      <c r="A123" s="8" t="n">
        <v>1989</v>
      </c>
      <c r="B123" s="6" t="n">
        <v>269056.8403</v>
      </c>
      <c r="C123" s="6" t="n">
        <v>123.9667</v>
      </c>
      <c r="D123" s="8">
        <f>B123*C123</f>
        <v/>
      </c>
    </row>
    <row r="124">
      <c r="A124" s="8" t="n">
        <v>1990</v>
      </c>
      <c r="B124" s="6" t="n">
        <v>273576.2209</v>
      </c>
      <c r="C124" s="6" t="n">
        <v>130.6583</v>
      </c>
      <c r="D124" s="8">
        <f>B124*C124</f>
        <v/>
      </c>
    </row>
    <row r="125">
      <c r="A125" s="8" t="n">
        <v>1991</v>
      </c>
      <c r="B125" s="6" t="n">
        <v>305283.7948</v>
      </c>
      <c r="C125" s="6" t="n">
        <v>136.1917</v>
      </c>
      <c r="D125" s="8">
        <f>B125*C125</f>
        <v/>
      </c>
    </row>
    <row r="126">
      <c r="A126" s="8" t="n">
        <v>1992</v>
      </c>
      <c r="B126" s="6" t="n">
        <v>337664.4922</v>
      </c>
      <c r="C126" s="6" t="n">
        <v>140.3167</v>
      </c>
      <c r="D126" s="8">
        <f>B126*C126</f>
        <v/>
      </c>
    </row>
    <row r="127">
      <c r="A127" s="8" t="n">
        <v>1993</v>
      </c>
      <c r="B127" s="6" t="n">
        <v>366464.0964</v>
      </c>
      <c r="C127" s="6" t="n">
        <v>144.4583</v>
      </c>
      <c r="D127" s="8">
        <f>B127*C127</f>
        <v/>
      </c>
    </row>
    <row r="128">
      <c r="A128" s="8" t="n">
        <v>1994</v>
      </c>
      <c r="B128" s="6" t="n">
        <v>374379.326</v>
      </c>
      <c r="C128" s="6" t="n">
        <v>148.225</v>
      </c>
      <c r="D128" s="8">
        <f>B128*C128</f>
        <v/>
      </c>
    </row>
    <row r="129">
      <c r="A129" s="8" t="n">
        <v>1995</v>
      </c>
      <c r="B129" s="6" t="n">
        <v>440191.3241</v>
      </c>
      <c r="C129" s="6" t="n">
        <v>152.3833</v>
      </c>
      <c r="D129" s="8">
        <f>B129*C129</f>
        <v/>
      </c>
    </row>
    <row r="130">
      <c r="A130" s="8" t="n">
        <v>1996</v>
      </c>
      <c r="B130" s="6" t="n">
        <v>541758.4926999999</v>
      </c>
      <c r="C130" s="6" t="n">
        <v>156.85</v>
      </c>
      <c r="D130" s="8">
        <f>B130*C130</f>
        <v/>
      </c>
    </row>
    <row r="131">
      <c r="A131" s="8" t="n">
        <v>1997</v>
      </c>
      <c r="B131" s="6" t="n">
        <v>702335.848</v>
      </c>
      <c r="C131" s="6" t="n">
        <v>160.5167</v>
      </c>
      <c r="D131" s="8">
        <f>B131*C131</f>
        <v/>
      </c>
    </row>
    <row r="132">
      <c r="A132" s="8" t="n">
        <v>1998</v>
      </c>
      <c r="B132" s="6" t="n">
        <v>872898.6889</v>
      </c>
      <c r="C132" s="6" t="n">
        <v>163.0083</v>
      </c>
      <c r="D132" s="8">
        <f>B132*C132</f>
        <v/>
      </c>
    </row>
    <row r="133">
      <c r="A133" s="8" t="n">
        <v>1999</v>
      </c>
      <c r="B133" s="6" t="n">
        <v>1058775.633</v>
      </c>
      <c r="C133" s="6" t="n">
        <v>166.575</v>
      </c>
      <c r="D133" s="8">
        <f>B133*C133</f>
        <v/>
      </c>
    </row>
    <row r="134">
      <c r="A134" s="8" t="n">
        <v>2000</v>
      </c>
      <c r="B134" s="6" t="n">
        <v>1115557.8072</v>
      </c>
      <c r="C134" s="6" t="n">
        <v>172.2</v>
      </c>
      <c r="D134" s="8">
        <f>B134*C134</f>
        <v/>
      </c>
    </row>
    <row r="135">
      <c r="A135" s="8" t="n">
        <v>2001</v>
      </c>
      <c r="B135" s="6" t="n">
        <v>917523.0956999999</v>
      </c>
      <c r="C135" s="6" t="n">
        <v>177.0667</v>
      </c>
      <c r="D135" s="8">
        <f>B135*C135</f>
        <v/>
      </c>
    </row>
    <row r="136">
      <c r="A136" s="8" t="n">
        <v>2002</v>
      </c>
      <c r="B136" s="6" t="n">
        <v>765569.1722</v>
      </c>
      <c r="C136" s="6" t="n">
        <v>179.875</v>
      </c>
      <c r="D136" s="8">
        <f>B136*C136</f>
        <v/>
      </c>
    </row>
    <row r="137">
      <c r="A137" s="8" t="n">
        <v>2003</v>
      </c>
      <c r="B137" s="6" t="n">
        <v>737261.6658</v>
      </c>
      <c r="C137" s="6" t="n">
        <v>183.9583</v>
      </c>
      <c r="D137" s="8">
        <f>B137*C137</f>
        <v/>
      </c>
    </row>
    <row r="138">
      <c r="A138" s="8" t="n">
        <v>2004</v>
      </c>
      <c r="B138" s="6" t="n">
        <v>856230.3955</v>
      </c>
      <c r="C138" s="6" t="n">
        <v>188.8833</v>
      </c>
      <c r="D138" s="8">
        <f>B138*C138</f>
        <v/>
      </c>
    </row>
    <row r="139">
      <c r="A139" s="8" t="n">
        <v>2005</v>
      </c>
      <c r="B139" s="6" t="n">
        <v>899305.0554</v>
      </c>
      <c r="C139" s="6" t="n">
        <v>195.2917</v>
      </c>
      <c r="D139" s="8">
        <f>B139*C139</f>
        <v/>
      </c>
    </row>
    <row r="140">
      <c r="A140" s="8" t="n">
        <v>2006</v>
      </c>
      <c r="B140" s="6" t="n">
        <v>963079.2733999999</v>
      </c>
      <c r="C140" s="6" t="n">
        <v>201.5917</v>
      </c>
      <c r="D140" s="8">
        <f>B140*C140</f>
        <v/>
      </c>
    </row>
    <row r="141">
      <c r="A141" s="8" t="n">
        <v>2007</v>
      </c>
      <c r="B141" s="6" t="n">
        <v>1073669.7417</v>
      </c>
      <c r="C141" s="6" t="n">
        <v>207.3424</v>
      </c>
      <c r="D141" s="8">
        <f>B141*C141</f>
        <v/>
      </c>
    </row>
    <row r="142">
      <c r="A142" s="8" t="n">
        <v>2008</v>
      </c>
      <c r="B142" s="6" t="n">
        <v>871162.9577</v>
      </c>
      <c r="C142" s="6" t="n">
        <v>215.3025</v>
      </c>
      <c r="D142" s="8">
        <f>B142*C142</f>
        <v/>
      </c>
    </row>
    <row r="143">
      <c r="A143" s="8" t="n">
        <v>2009</v>
      </c>
      <c r="B143" s="6" t="n">
        <v>698404.3829</v>
      </c>
      <c r="C143" s="6" t="n">
        <v>214.537</v>
      </c>
      <c r="D143" s="8">
        <f>B143*C143</f>
        <v/>
      </c>
    </row>
    <row r="144">
      <c r="A144" s="8" t="n">
        <v>2010</v>
      </c>
      <c r="B144" s="6" t="n">
        <v>845043.0095</v>
      </c>
      <c r="C144" s="6" t="n">
        <v>218.0555</v>
      </c>
      <c r="D144" s="8">
        <f>B144*C144</f>
        <v/>
      </c>
    </row>
    <row r="145">
      <c r="A145" s="8" t="n">
        <v>2011</v>
      </c>
      <c r="B145" s="6" t="n">
        <v>929871.4538</v>
      </c>
      <c r="C145" s="6" t="n">
        <v>224.9392</v>
      </c>
      <c r="D145" s="8">
        <f>B145*C145</f>
        <v/>
      </c>
    </row>
    <row r="146">
      <c r="A146" s="8" t="n">
        <v>2012</v>
      </c>
      <c r="B146" s="6" t="n">
        <v>1010841.762</v>
      </c>
      <c r="C146" s="6" t="n">
        <v>229.5939</v>
      </c>
      <c r="D146" s="8">
        <f>B146*C146</f>
        <v/>
      </c>
    </row>
    <row r="147">
      <c r="A147" s="8" t="n">
        <v>2013</v>
      </c>
      <c r="B147" s="6" t="n">
        <v>1211335.6384</v>
      </c>
      <c r="C147" s="6" t="n">
        <v>232.9571</v>
      </c>
      <c r="D147" s="8">
        <f>B147*C147</f>
        <v/>
      </c>
    </row>
    <row r="148">
      <c r="A148" s="8" t="n">
        <v>2014</v>
      </c>
      <c r="B148" s="6" t="n">
        <v>1429003.8774</v>
      </c>
      <c r="C148" s="6" t="n">
        <v>236.7362</v>
      </c>
      <c r="D148" s="8">
        <f>B148*C148</f>
        <v/>
      </c>
    </row>
    <row r="149">
      <c r="A149" s="8" t="n">
        <v>2015</v>
      </c>
      <c r="B149" s="6" t="n">
        <v>1553792.1445</v>
      </c>
      <c r="C149" s="6" t="n">
        <v>237.017</v>
      </c>
      <c r="D149" s="8">
        <f>B149*C149</f>
        <v/>
      </c>
    </row>
    <row r="150">
      <c r="A150" s="8" t="n">
        <v>2016</v>
      </c>
      <c r="B150" s="6" t="n">
        <v>1590624.1496</v>
      </c>
      <c r="C150" s="6" t="n">
        <v>240.0072</v>
      </c>
      <c r="D150" s="8">
        <f>B150*C150</f>
        <v/>
      </c>
    </row>
    <row r="151">
      <c r="A151" s="8" t="n">
        <v>2017</v>
      </c>
      <c r="B151" s="6" t="n">
        <v>1860091.8559</v>
      </c>
      <c r="C151" s="6" t="n">
        <v>245.1196</v>
      </c>
      <c r="D151" s="8">
        <f>B151*C151</f>
        <v/>
      </c>
    </row>
    <row r="152">
      <c r="A152" s="8" t="n">
        <v>2018</v>
      </c>
      <c r="B152" s="6" t="n">
        <v>2073964.816</v>
      </c>
      <c r="C152" s="6" t="n">
        <v>251.1068</v>
      </c>
      <c r="D152" s="8">
        <f>B152*C152</f>
        <v/>
      </c>
    </row>
    <row r="153">
      <c r="A153" s="8" t="n">
        <v>2019</v>
      </c>
      <c r="B153" s="6" t="n">
        <v>2203832.1893</v>
      </c>
      <c r="C153" s="6" t="n">
        <v>255.6574</v>
      </c>
      <c r="D153" s="8">
        <f>B153*C153</f>
        <v/>
      </c>
    </row>
    <row r="154">
      <c r="A154" s="8" t="n">
        <v>2020</v>
      </c>
      <c r="B154" s="6" t="n">
        <v>2452002.2222</v>
      </c>
      <c r="C154" s="6" t="n">
        <v>258.8112</v>
      </c>
      <c r="D154" s="8">
        <f>B154*C154</f>
        <v/>
      </c>
    </row>
    <row r="155">
      <c r="A155" s="8" t="n">
        <v>2021</v>
      </c>
      <c r="B155" s="6" t="n">
        <v>3152096.5525</v>
      </c>
      <c r="C155" s="6" t="n">
        <v>270.9698</v>
      </c>
      <c r="D155" s="8">
        <f>B155*C155</f>
        <v/>
      </c>
    </row>
    <row r="156">
      <c r="A156" s="8" t="n">
        <v>2022</v>
      </c>
      <c r="B156" s="6" t="n">
        <v>2850792.722</v>
      </c>
      <c r="C156" s="6" t="n">
        <v>292.6549</v>
      </c>
      <c r="D156" s="8">
        <f>B156*C156</f>
        <v/>
      </c>
    </row>
    <row r="157">
      <c r="A157" s="8" t="n">
        <v>2023</v>
      </c>
      <c r="B157" s="6" t="n">
        <v>2904080.8613</v>
      </c>
      <c r="C157" s="6" t="n">
        <v>304.7016</v>
      </c>
      <c r="D157" s="8">
        <f>B157*C157</f>
        <v/>
      </c>
    </row>
    <row r="158">
      <c r="A158" s="8" t="n">
        <v>2024</v>
      </c>
      <c r="B158" s="6" t="n">
        <v>3510610.9845</v>
      </c>
      <c r="C158" s="6" t="n">
        <v>312.9937</v>
      </c>
      <c r="D158" s="8">
        <f>B158*C158</f>
        <v/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US Aggregate Bond — synthetic pre-1986 blend (70% 5y-Tsy + 30% 7y-corp), then VBMFX</t>
        </is>
      </c>
    </row>
    <row r="2">
      <c r="A2" s="2" t="inlineStr">
        <is>
          <t>Each leg repriced monthly as a constant-maturity par bond; blended 70/30; compounded; spliced to Vanguard VBMFX (the real Agg fund) at 1986. Validated vs VBMFX at r=0.95.</t>
        </is>
      </c>
    </row>
    <row r="3">
      <c r="A3" t="inlineStr">
        <is>
          <t>w_Tsy =</t>
        </is>
      </c>
      <c r="B3" s="6" t="n">
        <v>0.7</v>
      </c>
      <c r="D3" s="5" t="inlineStr">
        <is>
          <t>FRED GS5 (5y Treasury)</t>
        </is>
      </c>
    </row>
    <row r="4">
      <c r="A4" t="inlineStr">
        <is>
          <t>w_Corp =</t>
        </is>
      </c>
      <c r="B4" s="6" t="n">
        <v>0.3</v>
      </c>
      <c r="D4" s="5" t="inlineStr">
        <is>
          <t>FRED BAA (Baa corporate)</t>
        </is>
      </c>
    </row>
    <row r="5">
      <c r="D5" s="5" t="inlineStr">
        <is>
          <t>Vanguard VBMFX (1986+)</t>
        </is>
      </c>
    </row>
    <row r="6">
      <c r="A6" s="7" t="inlineStr">
        <is>
          <t>Date</t>
        </is>
      </c>
      <c r="B6" s="7" t="inlineStr">
        <is>
          <t>5y Tsy % (raw)</t>
        </is>
      </c>
      <c r="C6" s="7" t="inlineStr">
        <is>
          <t>Baa % (raw)</t>
        </is>
      </c>
      <c r="D6" s="7" t="inlineStr">
        <is>
          <t>5y par px</t>
        </is>
      </c>
      <c r="E6" s="7" t="inlineStr">
        <is>
          <t>7y par px</t>
        </is>
      </c>
      <c r="F6" s="7" t="inlineStr">
        <is>
          <t>Blended TR (formula)</t>
        </is>
      </c>
      <c r="G6" s="7" t="inlineStr">
        <is>
          <t>Synthetic index (formula)</t>
        </is>
      </c>
    </row>
    <row r="7">
      <c r="A7" s="8" t="inlineStr">
        <is>
          <t>1953-04-01</t>
        </is>
      </c>
      <c r="B7" s="6" t="n">
        <v>2.62</v>
      </c>
      <c r="C7" s="6" t="n">
        <v>3.65</v>
      </c>
      <c r="D7" s="8" t="n">
        <v>1</v>
      </c>
      <c r="E7" s="8" t="n">
        <v>1</v>
      </c>
      <c r="F7" s="8" t="n">
        <v>0</v>
      </c>
      <c r="G7" s="8" t="n">
        <v>1</v>
      </c>
    </row>
    <row r="8">
      <c r="A8" s="8" t="inlineStr">
        <is>
          <t>1953-05-01</t>
        </is>
      </c>
      <c r="B8" s="6" t="n">
        <v>2.87</v>
      </c>
      <c r="C8" s="6" t="n">
        <v>3.78</v>
      </c>
      <c r="D8" s="8">
        <f>-PV(B8/100,5,B7/100,1)</f>
        <v/>
      </c>
      <c r="E8" s="8">
        <f>-PV(C8/100,7,C7/100,1)</f>
        <v/>
      </c>
      <c r="F8" s="8">
        <f>$B$3*(B7/100/12+(D8-1))+$B$4*(C7/100/12+(E8-1))</f>
        <v/>
      </c>
      <c r="G8" s="8">
        <f>G7*(1+F8)</f>
        <v/>
      </c>
    </row>
    <row r="9">
      <c r="A9" s="8" t="inlineStr">
        <is>
          <t>1953-06-01</t>
        </is>
      </c>
      <c r="B9" s="6" t="n">
        <v>2.94</v>
      </c>
      <c r="C9" s="6" t="n">
        <v>3.86</v>
      </c>
      <c r="D9" s="8">
        <f>-PV(B9/100,5,B8/100,1)</f>
        <v/>
      </c>
      <c r="E9" s="8">
        <f>-PV(C9/100,7,C8/100,1)</f>
        <v/>
      </c>
      <c r="F9" s="8">
        <f>$B$3*(B8/100/12+(D9-1))+$B$4*(C8/100/12+(E9-1))</f>
        <v/>
      </c>
      <c r="G9" s="8">
        <f>G8*(1+F9)</f>
        <v/>
      </c>
    </row>
    <row r="10">
      <c r="A10" s="8" t="inlineStr">
        <is>
          <t>1953-07-01</t>
        </is>
      </c>
      <c r="B10" s="6" t="n">
        <v>2.75</v>
      </c>
      <c r="C10" s="6" t="n">
        <v>3.86</v>
      </c>
      <c r="D10" s="8">
        <f>-PV(B10/100,5,B9/100,1)</f>
        <v/>
      </c>
      <c r="E10" s="8">
        <f>-PV(C10/100,7,C9/100,1)</f>
        <v/>
      </c>
      <c r="F10" s="8">
        <f>$B$3*(B9/100/12+(D10-1))+$B$4*(C9/100/12+(E10-1))</f>
        <v/>
      </c>
      <c r="G10" s="8">
        <f>G9*(1+F10)</f>
        <v/>
      </c>
    </row>
    <row r="11">
      <c r="A11" s="8" t="inlineStr">
        <is>
          <t>1953-08-01</t>
        </is>
      </c>
      <c r="B11" s="6" t="n">
        <v>2.8</v>
      </c>
      <c r="C11" s="6" t="n">
        <v>3.85</v>
      </c>
      <c r="D11" s="8">
        <f>-PV(B11/100,5,B10/100,1)</f>
        <v/>
      </c>
      <c r="E11" s="8">
        <f>-PV(C11/100,7,C10/100,1)</f>
        <v/>
      </c>
      <c r="F11" s="8">
        <f>$B$3*(B10/100/12+(D11-1))+$B$4*(C10/100/12+(E11-1))</f>
        <v/>
      </c>
      <c r="G11" s="8">
        <f>G10*(1+F11)</f>
        <v/>
      </c>
    </row>
    <row r="12">
      <c r="A12" s="8" t="inlineStr">
        <is>
          <t>1953-09-01</t>
        </is>
      </c>
      <c r="B12" s="6" t="n">
        <v>2.71</v>
      </c>
      <c r="C12" s="6" t="n">
        <v>3.88</v>
      </c>
      <c r="D12" s="8">
        <f>-PV(B12/100,5,B11/100,1)</f>
        <v/>
      </c>
      <c r="E12" s="8">
        <f>-PV(C12/100,7,C11/100,1)</f>
        <v/>
      </c>
      <c r="F12" s="8">
        <f>$B$3*(B11/100/12+(D12-1))+$B$4*(C11/100/12+(E12-1))</f>
        <v/>
      </c>
      <c r="G12" s="8">
        <f>G11*(1+F12)</f>
        <v/>
      </c>
    </row>
    <row r="13">
      <c r="A13" s="8" t="inlineStr">
        <is>
          <t>1953-10-01</t>
        </is>
      </c>
      <c r="B13" s="6" t="n">
        <v>2.43</v>
      </c>
      <c r="C13" s="6" t="n">
        <v>3.82</v>
      </c>
      <c r="D13" s="8">
        <f>-PV(B13/100,5,B12/100,1)</f>
        <v/>
      </c>
      <c r="E13" s="8">
        <f>-PV(C13/100,7,C12/100,1)</f>
        <v/>
      </c>
      <c r="F13" s="8">
        <f>$B$3*(B12/100/12+(D13-1))+$B$4*(C12/100/12+(E13-1))</f>
        <v/>
      </c>
      <c r="G13" s="8">
        <f>G12*(1+F13)</f>
        <v/>
      </c>
    </row>
    <row r="14">
      <c r="A14" s="8" t="inlineStr">
        <is>
          <t>1953-11-01</t>
        </is>
      </c>
      <c r="B14" s="6" t="n">
        <v>2.42</v>
      </c>
      <c r="C14" s="6" t="n">
        <v>3.75</v>
      </c>
      <c r="D14" s="8">
        <f>-PV(B14/100,5,B13/100,1)</f>
        <v/>
      </c>
      <c r="E14" s="8">
        <f>-PV(C14/100,7,C13/100,1)</f>
        <v/>
      </c>
      <c r="F14" s="8">
        <f>$B$3*(B13/100/12+(D14-1))+$B$4*(C13/100/12+(E14-1))</f>
        <v/>
      </c>
      <c r="G14" s="8">
        <f>G13*(1+F14)</f>
        <v/>
      </c>
    </row>
    <row r="15">
      <c r="A15" s="8" t="inlineStr">
        <is>
          <t>1953-12-01</t>
        </is>
      </c>
      <c r="B15" s="6" t="n">
        <v>2.32</v>
      </c>
      <c r="C15" s="6" t="n">
        <v>3.74</v>
      </c>
      <c r="D15" s="8">
        <f>-PV(B15/100,5,B14/100,1)</f>
        <v/>
      </c>
      <c r="E15" s="8">
        <f>-PV(C15/100,7,C14/100,1)</f>
        <v/>
      </c>
      <c r="F15" s="8">
        <f>$B$3*(B14/100/12+(D15-1))+$B$4*(C14/100/12+(E15-1))</f>
        <v/>
      </c>
      <c r="G15" s="8">
        <f>G14*(1+F15)</f>
        <v/>
      </c>
    </row>
    <row r="16">
      <c r="A16" s="8" t="inlineStr">
        <is>
          <t>1954-01-01</t>
        </is>
      </c>
      <c r="B16" s="6" t="n">
        <v>2.17</v>
      </c>
      <c r="C16" s="6" t="n">
        <v>3.71</v>
      </c>
      <c r="D16" s="8">
        <f>-PV(B16/100,5,B15/100,1)</f>
        <v/>
      </c>
      <c r="E16" s="8">
        <f>-PV(C16/100,7,C15/100,1)</f>
        <v/>
      </c>
      <c r="F16" s="8">
        <f>$B$3*(B15/100/12+(D16-1))+$B$4*(C15/100/12+(E16-1))</f>
        <v/>
      </c>
      <c r="G16" s="8">
        <f>G15*(1+F16)</f>
        <v/>
      </c>
    </row>
    <row r="17">
      <c r="A17" s="8" t="inlineStr">
        <is>
          <t>1954-02-01</t>
        </is>
      </c>
      <c r="B17" s="6" t="n">
        <v>2.04</v>
      </c>
      <c r="C17" s="6" t="n">
        <v>3.61</v>
      </c>
      <c r="D17" s="8">
        <f>-PV(B17/100,5,B16/100,1)</f>
        <v/>
      </c>
      <c r="E17" s="8">
        <f>-PV(C17/100,7,C16/100,1)</f>
        <v/>
      </c>
      <c r="F17" s="8">
        <f>$B$3*(B16/100/12+(D17-1))+$B$4*(C16/100/12+(E17-1))</f>
        <v/>
      </c>
      <c r="G17" s="8">
        <f>G16*(1+F17)</f>
        <v/>
      </c>
    </row>
    <row r="18">
      <c r="A18" s="8" t="inlineStr">
        <is>
          <t>1954-03-01</t>
        </is>
      </c>
      <c r="B18" s="6" t="n">
        <v>1.93</v>
      </c>
      <c r="C18" s="6" t="n">
        <v>3.51</v>
      </c>
      <c r="D18" s="8">
        <f>-PV(B18/100,5,B17/100,1)</f>
        <v/>
      </c>
      <c r="E18" s="8">
        <f>-PV(C18/100,7,C17/100,1)</f>
        <v/>
      </c>
      <c r="F18" s="8">
        <f>$B$3*(B17/100/12+(D18-1))+$B$4*(C17/100/12+(E18-1))</f>
        <v/>
      </c>
      <c r="G18" s="8">
        <f>G17*(1+F18)</f>
        <v/>
      </c>
    </row>
    <row r="19">
      <c r="A19" s="8" t="inlineStr">
        <is>
          <t>1954-04-01</t>
        </is>
      </c>
      <c r="B19" s="6" t="n">
        <v>1.87</v>
      </c>
      <c r="C19" s="6" t="n">
        <v>3.47</v>
      </c>
      <c r="D19" s="8">
        <f>-PV(B19/100,5,B18/100,1)</f>
        <v/>
      </c>
      <c r="E19" s="8">
        <f>-PV(C19/100,7,C18/100,1)</f>
        <v/>
      </c>
      <c r="F19" s="8">
        <f>$B$3*(B18/100/12+(D19-1))+$B$4*(C18/100/12+(E19-1))</f>
        <v/>
      </c>
      <c r="G19" s="8">
        <f>G18*(1+F19)</f>
        <v/>
      </c>
    </row>
    <row r="20">
      <c r="A20" s="8" t="inlineStr">
        <is>
          <t>1954-05-01</t>
        </is>
      </c>
      <c r="B20" s="6" t="n">
        <v>1.92</v>
      </c>
      <c r="C20" s="6" t="n">
        <v>3.47</v>
      </c>
      <c r="D20" s="8">
        <f>-PV(B20/100,5,B19/100,1)</f>
        <v/>
      </c>
      <c r="E20" s="8">
        <f>-PV(C20/100,7,C19/100,1)</f>
        <v/>
      </c>
      <c r="F20" s="8">
        <f>$B$3*(B19/100/12+(D20-1))+$B$4*(C19/100/12+(E20-1))</f>
        <v/>
      </c>
      <c r="G20" s="8">
        <f>G19*(1+F20)</f>
        <v/>
      </c>
    </row>
    <row r="21">
      <c r="A21" s="8" t="inlineStr">
        <is>
          <t>1954-06-01</t>
        </is>
      </c>
      <c r="B21" s="6" t="n">
        <v>1.92</v>
      </c>
      <c r="C21" s="6" t="n">
        <v>3.49</v>
      </c>
      <c r="D21" s="8">
        <f>-PV(B21/100,5,B20/100,1)</f>
        <v/>
      </c>
      <c r="E21" s="8">
        <f>-PV(C21/100,7,C20/100,1)</f>
        <v/>
      </c>
      <c r="F21" s="8">
        <f>$B$3*(B20/100/12+(D21-1))+$B$4*(C20/100/12+(E21-1))</f>
        <v/>
      </c>
      <c r="G21" s="8">
        <f>G20*(1+F21)</f>
        <v/>
      </c>
    </row>
    <row r="22">
      <c r="A22" s="8" t="inlineStr">
        <is>
          <t>1954-07-01</t>
        </is>
      </c>
      <c r="B22" s="6" t="n">
        <v>1.85</v>
      </c>
      <c r="C22" s="6" t="n">
        <v>3.5</v>
      </c>
      <c r="D22" s="8">
        <f>-PV(B22/100,5,B21/100,1)</f>
        <v/>
      </c>
      <c r="E22" s="8">
        <f>-PV(C22/100,7,C21/100,1)</f>
        <v/>
      </c>
      <c r="F22" s="8">
        <f>$B$3*(B21/100/12+(D22-1))+$B$4*(C21/100/12+(E22-1))</f>
        <v/>
      </c>
      <c r="G22" s="8">
        <f>G21*(1+F22)</f>
        <v/>
      </c>
    </row>
    <row r="23">
      <c r="A23" s="8" t="inlineStr">
        <is>
          <t>1954-08-01</t>
        </is>
      </c>
      <c r="B23" s="6" t="n">
        <v>1.9</v>
      </c>
      <c r="C23" s="6" t="n">
        <v>3.49</v>
      </c>
      <c r="D23" s="8">
        <f>-PV(B23/100,5,B22/100,1)</f>
        <v/>
      </c>
      <c r="E23" s="8">
        <f>-PV(C23/100,7,C22/100,1)</f>
        <v/>
      </c>
      <c r="F23" s="8">
        <f>$B$3*(B22/100/12+(D23-1))+$B$4*(C22/100/12+(E23-1))</f>
        <v/>
      </c>
      <c r="G23" s="8">
        <f>G22*(1+F23)</f>
        <v/>
      </c>
    </row>
    <row r="24">
      <c r="A24" s="8" t="inlineStr">
        <is>
          <t>1954-09-01</t>
        </is>
      </c>
      <c r="B24" s="6" t="n">
        <v>1.96</v>
      </c>
      <c r="C24" s="6" t="n">
        <v>3.47</v>
      </c>
      <c r="D24" s="8">
        <f>-PV(B24/100,5,B23/100,1)</f>
        <v/>
      </c>
      <c r="E24" s="8">
        <f>-PV(C24/100,7,C23/100,1)</f>
        <v/>
      </c>
      <c r="F24" s="8">
        <f>$B$3*(B23/100/12+(D24-1))+$B$4*(C23/100/12+(E24-1))</f>
        <v/>
      </c>
      <c r="G24" s="8">
        <f>G23*(1+F24)</f>
        <v/>
      </c>
    </row>
    <row r="25">
      <c r="A25" s="8" t="inlineStr">
        <is>
          <t>1954-10-01</t>
        </is>
      </c>
      <c r="B25" s="6" t="n">
        <v>2.02</v>
      </c>
      <c r="C25" s="6" t="n">
        <v>3.46</v>
      </c>
      <c r="D25" s="8">
        <f>-PV(B25/100,5,B24/100,1)</f>
        <v/>
      </c>
      <c r="E25" s="8">
        <f>-PV(C25/100,7,C24/100,1)</f>
        <v/>
      </c>
      <c r="F25" s="8">
        <f>$B$3*(B24/100/12+(D25-1))+$B$4*(C24/100/12+(E25-1))</f>
        <v/>
      </c>
      <c r="G25" s="8">
        <f>G24*(1+F25)</f>
        <v/>
      </c>
    </row>
    <row r="26">
      <c r="A26" s="8" t="inlineStr">
        <is>
          <t>1954-11-01</t>
        </is>
      </c>
      <c r="B26" s="6" t="n">
        <v>2.09</v>
      </c>
      <c r="C26" s="6" t="n">
        <v>3.45</v>
      </c>
      <c r="D26" s="8">
        <f>-PV(B26/100,5,B25/100,1)</f>
        <v/>
      </c>
      <c r="E26" s="8">
        <f>-PV(C26/100,7,C25/100,1)</f>
        <v/>
      </c>
      <c r="F26" s="8">
        <f>$B$3*(B25/100/12+(D26-1))+$B$4*(C25/100/12+(E26-1))</f>
        <v/>
      </c>
      <c r="G26" s="8">
        <f>G25*(1+F26)</f>
        <v/>
      </c>
    </row>
    <row r="27">
      <c r="A27" s="8" t="inlineStr">
        <is>
          <t>1954-12-01</t>
        </is>
      </c>
      <c r="B27" s="6" t="n">
        <v>2.16</v>
      </c>
      <c r="C27" s="6" t="n">
        <v>3.45</v>
      </c>
      <c r="D27" s="8">
        <f>-PV(B27/100,5,B26/100,1)</f>
        <v/>
      </c>
      <c r="E27" s="8">
        <f>-PV(C27/100,7,C26/100,1)</f>
        <v/>
      </c>
      <c r="F27" s="8">
        <f>$B$3*(B26/100/12+(D27-1))+$B$4*(C26/100/12+(E27-1))</f>
        <v/>
      </c>
      <c r="G27" s="8">
        <f>G26*(1+F27)</f>
        <v/>
      </c>
    </row>
    <row r="28">
      <c r="A28" s="8" t="inlineStr">
        <is>
          <t>1955-01-01</t>
        </is>
      </c>
      <c r="B28" s="6" t="n">
        <v>2.32</v>
      </c>
      <c r="C28" s="6" t="n">
        <v>3.45</v>
      </c>
      <c r="D28" s="8">
        <f>-PV(B28/100,5,B27/100,1)</f>
        <v/>
      </c>
      <c r="E28" s="8">
        <f>-PV(C28/100,7,C27/100,1)</f>
        <v/>
      </c>
      <c r="F28" s="8">
        <f>$B$3*(B27/100/12+(D28-1))+$B$4*(C27/100/12+(E28-1))</f>
        <v/>
      </c>
      <c r="G28" s="8">
        <f>G27*(1+F28)</f>
        <v/>
      </c>
    </row>
    <row r="29">
      <c r="A29" s="8" t="inlineStr">
        <is>
          <t>1955-02-01</t>
        </is>
      </c>
      <c r="B29" s="6" t="n">
        <v>2.38</v>
      </c>
      <c r="C29" s="6" t="n">
        <v>3.47</v>
      </c>
      <c r="D29" s="8">
        <f>-PV(B29/100,5,B28/100,1)</f>
        <v/>
      </c>
      <c r="E29" s="8">
        <f>-PV(C29/100,7,C28/100,1)</f>
        <v/>
      </c>
      <c r="F29" s="8">
        <f>$B$3*(B28/100/12+(D29-1))+$B$4*(C28/100/12+(E29-1))</f>
        <v/>
      </c>
      <c r="G29" s="8">
        <f>G28*(1+F29)</f>
        <v/>
      </c>
    </row>
    <row r="30">
      <c r="A30" s="8" t="inlineStr">
        <is>
          <t>1955-03-01</t>
        </is>
      </c>
      <c r="B30" s="6" t="n">
        <v>2.48</v>
      </c>
      <c r="C30" s="6" t="n">
        <v>3.48</v>
      </c>
      <c r="D30" s="8">
        <f>-PV(B30/100,5,B29/100,1)</f>
        <v/>
      </c>
      <c r="E30" s="8">
        <f>-PV(C30/100,7,C29/100,1)</f>
        <v/>
      </c>
      <c r="F30" s="8">
        <f>$B$3*(B29/100/12+(D30-1))+$B$4*(C29/100/12+(E30-1))</f>
        <v/>
      </c>
      <c r="G30" s="8">
        <f>G29*(1+F30)</f>
        <v/>
      </c>
    </row>
    <row r="31">
      <c r="A31" s="8" t="inlineStr">
        <is>
          <t>1955-04-01</t>
        </is>
      </c>
      <c r="B31" s="6" t="n">
        <v>2.55</v>
      </c>
      <c r="C31" s="6" t="n">
        <v>3.49</v>
      </c>
      <c r="D31" s="8">
        <f>-PV(B31/100,5,B30/100,1)</f>
        <v/>
      </c>
      <c r="E31" s="8">
        <f>-PV(C31/100,7,C30/100,1)</f>
        <v/>
      </c>
      <c r="F31" s="8">
        <f>$B$3*(B30/100/12+(D31-1))+$B$4*(C30/100/12+(E31-1))</f>
        <v/>
      </c>
      <c r="G31" s="8">
        <f>G30*(1+F31)</f>
        <v/>
      </c>
    </row>
    <row r="32">
      <c r="A32" s="8" t="inlineStr">
        <is>
          <t>1955-05-01</t>
        </is>
      </c>
      <c r="B32" s="6" t="n">
        <v>2.56</v>
      </c>
      <c r="C32" s="6" t="n">
        <v>3.5</v>
      </c>
      <c r="D32" s="8">
        <f>-PV(B32/100,5,B31/100,1)</f>
        <v/>
      </c>
      <c r="E32" s="8">
        <f>-PV(C32/100,7,C31/100,1)</f>
        <v/>
      </c>
      <c r="F32" s="8">
        <f>$B$3*(B31/100/12+(D32-1))+$B$4*(C31/100/12+(E32-1))</f>
        <v/>
      </c>
      <c r="G32" s="8">
        <f>G31*(1+F32)</f>
        <v/>
      </c>
    </row>
    <row r="33">
      <c r="A33" s="8" t="inlineStr">
        <is>
          <t>1955-06-01</t>
        </is>
      </c>
      <c r="B33" s="6" t="n">
        <v>2.59</v>
      </c>
      <c r="C33" s="6" t="n">
        <v>3.51</v>
      </c>
      <c r="D33" s="8">
        <f>-PV(B33/100,5,B32/100,1)</f>
        <v/>
      </c>
      <c r="E33" s="8">
        <f>-PV(C33/100,7,C32/100,1)</f>
        <v/>
      </c>
      <c r="F33" s="8">
        <f>$B$3*(B32/100/12+(D33-1))+$B$4*(C32/100/12+(E33-1))</f>
        <v/>
      </c>
      <c r="G33" s="8">
        <f>G32*(1+F33)</f>
        <v/>
      </c>
    </row>
    <row r="34">
      <c r="A34" s="8" t="inlineStr">
        <is>
          <t>1955-07-01</t>
        </is>
      </c>
      <c r="B34" s="6" t="n">
        <v>2.72</v>
      </c>
      <c r="C34" s="6" t="n">
        <v>3.52</v>
      </c>
      <c r="D34" s="8">
        <f>-PV(B34/100,5,B33/100,1)</f>
        <v/>
      </c>
      <c r="E34" s="8">
        <f>-PV(C34/100,7,C33/100,1)</f>
        <v/>
      </c>
      <c r="F34" s="8">
        <f>$B$3*(B33/100/12+(D34-1))+$B$4*(C33/100/12+(E34-1))</f>
        <v/>
      </c>
      <c r="G34" s="8">
        <f>G33*(1+F34)</f>
        <v/>
      </c>
    </row>
    <row r="35">
      <c r="A35" s="8" t="inlineStr">
        <is>
          <t>1955-08-01</t>
        </is>
      </c>
      <c r="B35" s="6" t="n">
        <v>2.86</v>
      </c>
      <c r="C35" s="6" t="n">
        <v>3.56</v>
      </c>
      <c r="D35" s="8">
        <f>-PV(B35/100,5,B34/100,1)</f>
        <v/>
      </c>
      <c r="E35" s="8">
        <f>-PV(C35/100,7,C34/100,1)</f>
        <v/>
      </c>
      <c r="F35" s="8">
        <f>$B$3*(B34/100/12+(D35-1))+$B$4*(C34/100/12+(E35-1))</f>
        <v/>
      </c>
      <c r="G35" s="8">
        <f>G34*(1+F35)</f>
        <v/>
      </c>
    </row>
    <row r="36">
      <c r="A36" s="8" t="inlineStr">
        <is>
          <t>1955-09-01</t>
        </is>
      </c>
      <c r="B36" s="6" t="n">
        <v>2.85</v>
      </c>
      <c r="C36" s="6" t="n">
        <v>3.59</v>
      </c>
      <c r="D36" s="8">
        <f>-PV(B36/100,5,B35/100,1)</f>
        <v/>
      </c>
      <c r="E36" s="8">
        <f>-PV(C36/100,7,C35/100,1)</f>
        <v/>
      </c>
      <c r="F36" s="8">
        <f>$B$3*(B35/100/12+(D36-1))+$B$4*(C35/100/12+(E36-1))</f>
        <v/>
      </c>
      <c r="G36" s="8">
        <f>G35*(1+F36)</f>
        <v/>
      </c>
    </row>
    <row r="37">
      <c r="A37" s="8" t="inlineStr">
        <is>
          <t>1955-10-01</t>
        </is>
      </c>
      <c r="B37" s="6" t="n">
        <v>2.76</v>
      </c>
      <c r="C37" s="6" t="n">
        <v>3.59</v>
      </c>
      <c r="D37" s="8">
        <f>-PV(B37/100,5,B36/100,1)</f>
        <v/>
      </c>
      <c r="E37" s="8">
        <f>-PV(C37/100,7,C36/100,1)</f>
        <v/>
      </c>
      <c r="F37" s="8">
        <f>$B$3*(B36/100/12+(D37-1))+$B$4*(C36/100/12+(E37-1))</f>
        <v/>
      </c>
      <c r="G37" s="8">
        <f>G36*(1+F37)</f>
        <v/>
      </c>
    </row>
    <row r="38">
      <c r="A38" s="8" t="inlineStr">
        <is>
          <t>1955-11-01</t>
        </is>
      </c>
      <c r="B38" s="6" t="n">
        <v>2.81</v>
      </c>
      <c r="C38" s="6" t="n">
        <v>3.58</v>
      </c>
      <c r="D38" s="8">
        <f>-PV(B38/100,5,B37/100,1)</f>
        <v/>
      </c>
      <c r="E38" s="8">
        <f>-PV(C38/100,7,C37/100,1)</f>
        <v/>
      </c>
      <c r="F38" s="8">
        <f>$B$3*(B37/100/12+(D38-1))+$B$4*(C37/100/12+(E38-1))</f>
        <v/>
      </c>
      <c r="G38" s="8">
        <f>G37*(1+F38)</f>
        <v/>
      </c>
    </row>
    <row r="39">
      <c r="A39" s="8" t="inlineStr">
        <is>
          <t>1955-12-01</t>
        </is>
      </c>
      <c r="B39" s="6" t="n">
        <v>2.93</v>
      </c>
      <c r="C39" s="6" t="n">
        <v>3.62</v>
      </c>
      <c r="D39" s="8">
        <f>-PV(B39/100,5,B38/100,1)</f>
        <v/>
      </c>
      <c r="E39" s="8">
        <f>-PV(C39/100,7,C38/100,1)</f>
        <v/>
      </c>
      <c r="F39" s="8">
        <f>$B$3*(B38/100/12+(D39-1))+$B$4*(C38/100/12+(E39-1))</f>
        <v/>
      </c>
      <c r="G39" s="8">
        <f>G38*(1+F39)</f>
        <v/>
      </c>
    </row>
    <row r="40">
      <c r="A40" s="8" t="inlineStr">
        <is>
          <t>1956-01-01</t>
        </is>
      </c>
      <c r="B40" s="6" t="n">
        <v>2.84</v>
      </c>
      <c r="C40" s="6" t="n">
        <v>3.6</v>
      </c>
      <c r="D40" s="8">
        <f>-PV(B40/100,5,B39/100,1)</f>
        <v/>
      </c>
      <c r="E40" s="8">
        <f>-PV(C40/100,7,C39/100,1)</f>
        <v/>
      </c>
      <c r="F40" s="8">
        <f>$B$3*(B39/100/12+(D40-1))+$B$4*(C39/100/12+(E40-1))</f>
        <v/>
      </c>
      <c r="G40" s="8">
        <f>G39*(1+F40)</f>
        <v/>
      </c>
    </row>
    <row r="41">
      <c r="A41" s="8" t="inlineStr">
        <is>
          <t>1956-02-01</t>
        </is>
      </c>
      <c r="B41" s="6" t="n">
        <v>2.74</v>
      </c>
      <c r="C41" s="6" t="n">
        <v>3.58</v>
      </c>
      <c r="D41" s="8">
        <f>-PV(B41/100,5,B40/100,1)</f>
        <v/>
      </c>
      <c r="E41" s="8">
        <f>-PV(C41/100,7,C40/100,1)</f>
        <v/>
      </c>
      <c r="F41" s="8">
        <f>$B$3*(B40/100/12+(D41-1))+$B$4*(C40/100/12+(E41-1))</f>
        <v/>
      </c>
      <c r="G41" s="8">
        <f>G40*(1+F41)</f>
        <v/>
      </c>
    </row>
    <row r="42">
      <c r="A42" s="8" t="inlineStr">
        <is>
          <t>1956-03-01</t>
        </is>
      </c>
      <c r="B42" s="6" t="n">
        <v>2.93</v>
      </c>
      <c r="C42" s="6" t="n">
        <v>3.6</v>
      </c>
      <c r="D42" s="8">
        <f>-PV(B42/100,5,B41/100,1)</f>
        <v/>
      </c>
      <c r="E42" s="8">
        <f>-PV(C42/100,7,C41/100,1)</f>
        <v/>
      </c>
      <c r="F42" s="8">
        <f>$B$3*(B41/100/12+(D42-1))+$B$4*(C41/100/12+(E42-1))</f>
        <v/>
      </c>
      <c r="G42" s="8">
        <f>G41*(1+F42)</f>
        <v/>
      </c>
    </row>
    <row r="43">
      <c r="A43" s="8" t="inlineStr">
        <is>
          <t>1956-04-01</t>
        </is>
      </c>
      <c r="B43" s="6" t="n">
        <v>3.2</v>
      </c>
      <c r="C43" s="6" t="n">
        <v>3.68</v>
      </c>
      <c r="D43" s="8">
        <f>-PV(B43/100,5,B42/100,1)</f>
        <v/>
      </c>
      <c r="E43" s="8">
        <f>-PV(C43/100,7,C42/100,1)</f>
        <v/>
      </c>
      <c r="F43" s="8">
        <f>$B$3*(B42/100/12+(D43-1))+$B$4*(C42/100/12+(E43-1))</f>
        <v/>
      </c>
      <c r="G43" s="8">
        <f>G42*(1+F43)</f>
        <v/>
      </c>
    </row>
    <row r="44">
      <c r="A44" s="8" t="inlineStr">
        <is>
          <t>1956-05-01</t>
        </is>
      </c>
      <c r="B44" s="6" t="n">
        <v>3.08</v>
      </c>
      <c r="C44" s="6" t="n">
        <v>3.73</v>
      </c>
      <c r="D44" s="8">
        <f>-PV(B44/100,5,B43/100,1)</f>
        <v/>
      </c>
      <c r="E44" s="8">
        <f>-PV(C44/100,7,C43/100,1)</f>
        <v/>
      </c>
      <c r="F44" s="8">
        <f>$B$3*(B43/100/12+(D44-1))+$B$4*(C43/100/12+(E44-1))</f>
        <v/>
      </c>
      <c r="G44" s="8">
        <f>G43*(1+F44)</f>
        <v/>
      </c>
    </row>
    <row r="45">
      <c r="A45" s="8" t="inlineStr">
        <is>
          <t>1956-06-01</t>
        </is>
      </c>
      <c r="B45" s="6" t="n">
        <v>2.97</v>
      </c>
      <c r="C45" s="6" t="n">
        <v>3.76</v>
      </c>
      <c r="D45" s="8">
        <f>-PV(B45/100,5,B44/100,1)</f>
        <v/>
      </c>
      <c r="E45" s="8">
        <f>-PV(C45/100,7,C44/100,1)</f>
        <v/>
      </c>
      <c r="F45" s="8">
        <f>$B$3*(B44/100/12+(D45-1))+$B$4*(C44/100/12+(E45-1))</f>
        <v/>
      </c>
      <c r="G45" s="8">
        <f>G44*(1+F45)</f>
        <v/>
      </c>
    </row>
    <row r="46">
      <c r="A46" s="8" t="inlineStr">
        <is>
          <t>1956-07-01</t>
        </is>
      </c>
      <c r="B46" s="6" t="n">
        <v>3.12</v>
      </c>
      <c r="C46" s="6" t="n">
        <v>3.8</v>
      </c>
      <c r="D46" s="8">
        <f>-PV(B46/100,5,B45/100,1)</f>
        <v/>
      </c>
      <c r="E46" s="8">
        <f>-PV(C46/100,7,C45/100,1)</f>
        <v/>
      </c>
      <c r="F46" s="8">
        <f>$B$3*(B45/100/12+(D46-1))+$B$4*(C45/100/12+(E46-1))</f>
        <v/>
      </c>
      <c r="G46" s="8">
        <f>G45*(1+F46)</f>
        <v/>
      </c>
    </row>
    <row r="47">
      <c r="A47" s="8" t="inlineStr">
        <is>
          <t>1956-08-01</t>
        </is>
      </c>
      <c r="B47" s="6" t="n">
        <v>3.41</v>
      </c>
      <c r="C47" s="6" t="n">
        <v>3.93</v>
      </c>
      <c r="D47" s="8">
        <f>-PV(B47/100,5,B46/100,1)</f>
        <v/>
      </c>
      <c r="E47" s="8">
        <f>-PV(C47/100,7,C46/100,1)</f>
        <v/>
      </c>
      <c r="F47" s="8">
        <f>$B$3*(B46/100/12+(D47-1))+$B$4*(C46/100/12+(E47-1))</f>
        <v/>
      </c>
      <c r="G47" s="8">
        <f>G46*(1+F47)</f>
        <v/>
      </c>
    </row>
    <row r="48">
      <c r="A48" s="8" t="inlineStr">
        <is>
          <t>1956-09-01</t>
        </is>
      </c>
      <c r="B48" s="6" t="n">
        <v>3.47</v>
      </c>
      <c r="C48" s="6" t="n">
        <v>4.07</v>
      </c>
      <c r="D48" s="8">
        <f>-PV(B48/100,5,B47/100,1)</f>
        <v/>
      </c>
      <c r="E48" s="8">
        <f>-PV(C48/100,7,C47/100,1)</f>
        <v/>
      </c>
      <c r="F48" s="8">
        <f>$B$3*(B47/100/12+(D48-1))+$B$4*(C47/100/12+(E48-1))</f>
        <v/>
      </c>
      <c r="G48" s="8">
        <f>G47*(1+F48)</f>
        <v/>
      </c>
    </row>
    <row r="49">
      <c r="A49" s="8" t="inlineStr">
        <is>
          <t>1956-10-01</t>
        </is>
      </c>
      <c r="B49" s="6" t="n">
        <v>3.4</v>
      </c>
      <c r="C49" s="6" t="n">
        <v>4.17</v>
      </c>
      <c r="D49" s="8">
        <f>-PV(B49/100,5,B48/100,1)</f>
        <v/>
      </c>
      <c r="E49" s="8">
        <f>-PV(C49/100,7,C48/100,1)</f>
        <v/>
      </c>
      <c r="F49" s="8">
        <f>$B$3*(B48/100/12+(D49-1))+$B$4*(C48/100/12+(E49-1))</f>
        <v/>
      </c>
      <c r="G49" s="8">
        <f>G48*(1+F49)</f>
        <v/>
      </c>
    </row>
    <row r="50">
      <c r="A50" s="8" t="inlineStr">
        <is>
          <t>1956-11-01</t>
        </is>
      </c>
      <c r="B50" s="6" t="n">
        <v>3.56</v>
      </c>
      <c r="C50" s="6" t="n">
        <v>4.24</v>
      </c>
      <c r="D50" s="8">
        <f>-PV(B50/100,5,B49/100,1)</f>
        <v/>
      </c>
      <c r="E50" s="8">
        <f>-PV(C50/100,7,C49/100,1)</f>
        <v/>
      </c>
      <c r="F50" s="8">
        <f>$B$3*(B49/100/12+(D50-1))+$B$4*(C49/100/12+(E50-1))</f>
        <v/>
      </c>
      <c r="G50" s="8">
        <f>G49*(1+F50)</f>
        <v/>
      </c>
    </row>
    <row r="51">
      <c r="A51" s="8" t="inlineStr">
        <is>
          <t>1956-12-01</t>
        </is>
      </c>
      <c r="B51" s="6" t="n">
        <v>3.7</v>
      </c>
      <c r="C51" s="6" t="n">
        <v>4.37</v>
      </c>
      <c r="D51" s="8">
        <f>-PV(B51/100,5,B50/100,1)</f>
        <v/>
      </c>
      <c r="E51" s="8">
        <f>-PV(C51/100,7,C50/100,1)</f>
        <v/>
      </c>
      <c r="F51" s="8">
        <f>$B$3*(B50/100/12+(D51-1))+$B$4*(C50/100/12+(E51-1))</f>
        <v/>
      </c>
      <c r="G51" s="8">
        <f>G50*(1+F51)</f>
        <v/>
      </c>
    </row>
    <row r="52">
      <c r="A52" s="8" t="inlineStr">
        <is>
          <t>1957-01-01</t>
        </is>
      </c>
      <c r="B52" s="6" t="n">
        <v>3.47</v>
      </c>
      <c r="C52" s="6" t="n">
        <v>4.49</v>
      </c>
      <c r="D52" s="8">
        <f>-PV(B52/100,5,B51/100,1)</f>
        <v/>
      </c>
      <c r="E52" s="8">
        <f>-PV(C52/100,7,C51/100,1)</f>
        <v/>
      </c>
      <c r="F52" s="8">
        <f>$B$3*(B51/100/12+(D52-1))+$B$4*(C51/100/12+(E52-1))</f>
        <v/>
      </c>
      <c r="G52" s="8">
        <f>G51*(1+F52)</f>
        <v/>
      </c>
    </row>
    <row r="53">
      <c r="A53" s="8" t="inlineStr">
        <is>
          <t>1957-02-01</t>
        </is>
      </c>
      <c r="B53" s="6" t="n">
        <v>3.39</v>
      </c>
      <c r="C53" s="6" t="n">
        <v>4.47</v>
      </c>
      <c r="D53" s="8">
        <f>-PV(B53/100,5,B52/100,1)</f>
        <v/>
      </c>
      <c r="E53" s="8">
        <f>-PV(C53/100,7,C52/100,1)</f>
        <v/>
      </c>
      <c r="F53" s="8">
        <f>$B$3*(B52/100/12+(D53-1))+$B$4*(C52/100/12+(E53-1))</f>
        <v/>
      </c>
      <c r="G53" s="8">
        <f>G52*(1+F53)</f>
        <v/>
      </c>
    </row>
    <row r="54">
      <c r="A54" s="8" t="inlineStr">
        <is>
          <t>1957-03-01</t>
        </is>
      </c>
      <c r="B54" s="6" t="n">
        <v>3.46</v>
      </c>
      <c r="C54" s="6" t="n">
        <v>4.43</v>
      </c>
      <c r="D54" s="8">
        <f>-PV(B54/100,5,B53/100,1)</f>
        <v/>
      </c>
      <c r="E54" s="8">
        <f>-PV(C54/100,7,C53/100,1)</f>
        <v/>
      </c>
      <c r="F54" s="8">
        <f>$B$3*(B53/100/12+(D54-1))+$B$4*(C53/100/12+(E54-1))</f>
        <v/>
      </c>
      <c r="G54" s="8">
        <f>G53*(1+F54)</f>
        <v/>
      </c>
    </row>
    <row r="55">
      <c r="A55" s="8" t="inlineStr">
        <is>
          <t>1957-04-01</t>
        </is>
      </c>
      <c r="B55" s="6" t="n">
        <v>3.53</v>
      </c>
      <c r="C55" s="6" t="n">
        <v>4.44</v>
      </c>
      <c r="D55" s="8">
        <f>-PV(B55/100,5,B54/100,1)</f>
        <v/>
      </c>
      <c r="E55" s="8">
        <f>-PV(C55/100,7,C54/100,1)</f>
        <v/>
      </c>
      <c r="F55" s="8">
        <f>$B$3*(B54/100/12+(D55-1))+$B$4*(C54/100/12+(E55-1))</f>
        <v/>
      </c>
      <c r="G55" s="8">
        <f>G54*(1+F55)</f>
        <v/>
      </c>
    </row>
    <row r="56">
      <c r="A56" s="8" t="inlineStr">
        <is>
          <t>1957-05-01</t>
        </is>
      </c>
      <c r="B56" s="6" t="n">
        <v>3.64</v>
      </c>
      <c r="C56" s="6" t="n">
        <v>4.52</v>
      </c>
      <c r="D56" s="8">
        <f>-PV(B56/100,5,B55/100,1)</f>
        <v/>
      </c>
      <c r="E56" s="8">
        <f>-PV(C56/100,7,C55/100,1)</f>
        <v/>
      </c>
      <c r="F56" s="8">
        <f>$B$3*(B55/100/12+(D56-1))+$B$4*(C55/100/12+(E56-1))</f>
        <v/>
      </c>
      <c r="G56" s="8">
        <f>G55*(1+F56)</f>
        <v/>
      </c>
    </row>
    <row r="57">
      <c r="A57" s="8" t="inlineStr">
        <is>
          <t>1957-06-01</t>
        </is>
      </c>
      <c r="B57" s="6" t="n">
        <v>3.83</v>
      </c>
      <c r="C57" s="6" t="n">
        <v>4.63</v>
      </c>
      <c r="D57" s="8">
        <f>-PV(B57/100,5,B56/100,1)</f>
        <v/>
      </c>
      <c r="E57" s="8">
        <f>-PV(C57/100,7,C56/100,1)</f>
        <v/>
      </c>
      <c r="F57" s="8">
        <f>$B$3*(B56/100/12+(D57-1))+$B$4*(C56/100/12+(E57-1))</f>
        <v/>
      </c>
      <c r="G57" s="8">
        <f>G56*(1+F57)</f>
        <v/>
      </c>
    </row>
    <row r="58">
      <c r="A58" s="8" t="inlineStr">
        <is>
          <t>1957-07-01</t>
        </is>
      </c>
      <c r="B58" s="6" t="n">
        <v>4</v>
      </c>
      <c r="C58" s="6" t="n">
        <v>4.73</v>
      </c>
      <c r="D58" s="8">
        <f>-PV(B58/100,5,B57/100,1)</f>
        <v/>
      </c>
      <c r="E58" s="8">
        <f>-PV(C58/100,7,C57/100,1)</f>
        <v/>
      </c>
      <c r="F58" s="8">
        <f>$B$3*(B57/100/12+(D58-1))+$B$4*(C57/100/12+(E58-1))</f>
        <v/>
      </c>
      <c r="G58" s="8">
        <f>G57*(1+F58)</f>
        <v/>
      </c>
    </row>
    <row r="59">
      <c r="A59" s="8" t="inlineStr">
        <is>
          <t>1957-08-01</t>
        </is>
      </c>
      <c r="B59" s="6" t="n">
        <v>4</v>
      </c>
      <c r="C59" s="6" t="n">
        <v>4.82</v>
      </c>
      <c r="D59" s="8">
        <f>-PV(B59/100,5,B58/100,1)</f>
        <v/>
      </c>
      <c r="E59" s="8">
        <f>-PV(C59/100,7,C58/100,1)</f>
        <v/>
      </c>
      <c r="F59" s="8">
        <f>$B$3*(B58/100/12+(D59-1))+$B$4*(C58/100/12+(E59-1))</f>
        <v/>
      </c>
      <c r="G59" s="8">
        <f>G58*(1+F59)</f>
        <v/>
      </c>
    </row>
    <row r="60">
      <c r="A60" s="8" t="inlineStr">
        <is>
          <t>1957-09-01</t>
        </is>
      </c>
      <c r="B60" s="6" t="n">
        <v>4.03</v>
      </c>
      <c r="C60" s="6" t="n">
        <v>4.93</v>
      </c>
      <c r="D60" s="8">
        <f>-PV(B60/100,5,B59/100,1)</f>
        <v/>
      </c>
      <c r="E60" s="8">
        <f>-PV(C60/100,7,C59/100,1)</f>
        <v/>
      </c>
      <c r="F60" s="8">
        <f>$B$3*(B59/100/12+(D60-1))+$B$4*(C59/100/12+(E60-1))</f>
        <v/>
      </c>
      <c r="G60" s="8">
        <f>G59*(1+F60)</f>
        <v/>
      </c>
    </row>
    <row r="61">
      <c r="A61" s="8" t="inlineStr">
        <is>
          <t>1957-10-01</t>
        </is>
      </c>
      <c r="B61" s="6" t="n">
        <v>4.08</v>
      </c>
      <c r="C61" s="6" t="n">
        <v>4.99</v>
      </c>
      <c r="D61" s="8">
        <f>-PV(B61/100,5,B60/100,1)</f>
        <v/>
      </c>
      <c r="E61" s="8">
        <f>-PV(C61/100,7,C60/100,1)</f>
        <v/>
      </c>
      <c r="F61" s="8">
        <f>$B$3*(B60/100/12+(D61-1))+$B$4*(C60/100/12+(E61-1))</f>
        <v/>
      </c>
      <c r="G61" s="8">
        <f>G60*(1+F61)</f>
        <v/>
      </c>
    </row>
    <row r="62">
      <c r="A62" s="8" t="inlineStr">
        <is>
          <t>1957-11-01</t>
        </is>
      </c>
      <c r="B62" s="6" t="n">
        <v>3.72</v>
      </c>
      <c r="C62" s="6" t="n">
        <v>5.09</v>
      </c>
      <c r="D62" s="8">
        <f>-PV(B62/100,5,B61/100,1)</f>
        <v/>
      </c>
      <c r="E62" s="8">
        <f>-PV(C62/100,7,C61/100,1)</f>
        <v/>
      </c>
      <c r="F62" s="8">
        <f>$B$3*(B61/100/12+(D62-1))+$B$4*(C61/100/12+(E62-1))</f>
        <v/>
      </c>
      <c r="G62" s="8">
        <f>G61*(1+F62)</f>
        <v/>
      </c>
    </row>
    <row r="63">
      <c r="A63" s="8" t="inlineStr">
        <is>
          <t>1957-12-01</t>
        </is>
      </c>
      <c r="B63" s="6" t="n">
        <v>3.08</v>
      </c>
      <c r="C63" s="6" t="n">
        <v>5.03</v>
      </c>
      <c r="D63" s="8">
        <f>-PV(B63/100,5,B62/100,1)</f>
        <v/>
      </c>
      <c r="E63" s="8">
        <f>-PV(C63/100,7,C62/100,1)</f>
        <v/>
      </c>
      <c r="F63" s="8">
        <f>$B$3*(B62/100/12+(D63-1))+$B$4*(C62/100/12+(E63-1))</f>
        <v/>
      </c>
      <c r="G63" s="8">
        <f>G62*(1+F63)</f>
        <v/>
      </c>
    </row>
    <row r="64">
      <c r="A64" s="8" t="inlineStr">
        <is>
          <t>1958-01-01</t>
        </is>
      </c>
      <c r="B64" s="6" t="n">
        <v>2.88</v>
      </c>
      <c r="C64" s="6" t="n">
        <v>4.83</v>
      </c>
      <c r="D64" s="8">
        <f>-PV(B64/100,5,B63/100,1)</f>
        <v/>
      </c>
      <c r="E64" s="8">
        <f>-PV(C64/100,7,C63/100,1)</f>
        <v/>
      </c>
      <c r="F64" s="8">
        <f>$B$3*(B63/100/12+(D64-1))+$B$4*(C63/100/12+(E64-1))</f>
        <v/>
      </c>
      <c r="G64" s="8">
        <f>G63*(1+F64)</f>
        <v/>
      </c>
    </row>
    <row r="65">
      <c r="A65" s="8" t="inlineStr">
        <is>
          <t>1958-02-01</t>
        </is>
      </c>
      <c r="B65" s="6" t="n">
        <v>2.78</v>
      </c>
      <c r="C65" s="6" t="n">
        <v>4.66</v>
      </c>
      <c r="D65" s="8">
        <f>-PV(B65/100,5,B64/100,1)</f>
        <v/>
      </c>
      <c r="E65" s="8">
        <f>-PV(C65/100,7,C64/100,1)</f>
        <v/>
      </c>
      <c r="F65" s="8">
        <f>$B$3*(B64/100/12+(D65-1))+$B$4*(C64/100/12+(E65-1))</f>
        <v/>
      </c>
      <c r="G65" s="8">
        <f>G64*(1+F65)</f>
        <v/>
      </c>
    </row>
    <row r="66">
      <c r="A66" s="8" t="inlineStr">
        <is>
          <t>1958-03-01</t>
        </is>
      </c>
      <c r="B66" s="6" t="n">
        <v>2.64</v>
      </c>
      <c r="C66" s="6" t="n">
        <v>4.68</v>
      </c>
      <c r="D66" s="8">
        <f>-PV(B66/100,5,B65/100,1)</f>
        <v/>
      </c>
      <c r="E66" s="8">
        <f>-PV(C66/100,7,C65/100,1)</f>
        <v/>
      </c>
      <c r="F66" s="8">
        <f>$B$3*(B65/100/12+(D66-1))+$B$4*(C65/100/12+(E66-1))</f>
        <v/>
      </c>
      <c r="G66" s="8">
        <f>G65*(1+F66)</f>
        <v/>
      </c>
    </row>
    <row r="67">
      <c r="A67" s="8" t="inlineStr">
        <is>
          <t>1958-04-01</t>
        </is>
      </c>
      <c r="B67" s="6" t="n">
        <v>2.46</v>
      </c>
      <c r="C67" s="6" t="n">
        <v>4.67</v>
      </c>
      <c r="D67" s="8">
        <f>-PV(B67/100,5,B66/100,1)</f>
        <v/>
      </c>
      <c r="E67" s="8">
        <f>-PV(C67/100,7,C66/100,1)</f>
        <v/>
      </c>
      <c r="F67" s="8">
        <f>$B$3*(B66/100/12+(D67-1))+$B$4*(C66/100/12+(E67-1))</f>
        <v/>
      </c>
      <c r="G67" s="8">
        <f>G66*(1+F67)</f>
        <v/>
      </c>
    </row>
    <row r="68">
      <c r="A68" s="8" t="inlineStr">
        <is>
          <t>1958-05-01</t>
        </is>
      </c>
      <c r="B68" s="6" t="n">
        <v>2.41</v>
      </c>
      <c r="C68" s="6" t="n">
        <v>4.62</v>
      </c>
      <c r="D68" s="8">
        <f>-PV(B68/100,5,B67/100,1)</f>
        <v/>
      </c>
      <c r="E68" s="8">
        <f>-PV(C68/100,7,C67/100,1)</f>
        <v/>
      </c>
      <c r="F68" s="8">
        <f>$B$3*(B67/100/12+(D68-1))+$B$4*(C67/100/12+(E68-1))</f>
        <v/>
      </c>
      <c r="G68" s="8">
        <f>G67*(1+F68)</f>
        <v/>
      </c>
    </row>
    <row r="69">
      <c r="A69" s="8" t="inlineStr">
        <is>
          <t>1958-06-01</t>
        </is>
      </c>
      <c r="B69" s="6" t="n">
        <v>2.46</v>
      </c>
      <c r="C69" s="6" t="n">
        <v>4.55</v>
      </c>
      <c r="D69" s="8">
        <f>-PV(B69/100,5,B68/100,1)</f>
        <v/>
      </c>
      <c r="E69" s="8">
        <f>-PV(C69/100,7,C68/100,1)</f>
        <v/>
      </c>
      <c r="F69" s="8">
        <f>$B$3*(B68/100/12+(D69-1))+$B$4*(C68/100/12+(E69-1))</f>
        <v/>
      </c>
      <c r="G69" s="8">
        <f>G68*(1+F69)</f>
        <v/>
      </c>
    </row>
    <row r="70">
      <c r="A70" s="8" t="inlineStr">
        <is>
          <t>1958-07-01</t>
        </is>
      </c>
      <c r="B70" s="6" t="n">
        <v>2.77</v>
      </c>
      <c r="C70" s="6" t="n">
        <v>4.53</v>
      </c>
      <c r="D70" s="8">
        <f>-PV(B70/100,5,B69/100,1)</f>
        <v/>
      </c>
      <c r="E70" s="8">
        <f>-PV(C70/100,7,C69/100,1)</f>
        <v/>
      </c>
      <c r="F70" s="8">
        <f>$B$3*(B69/100/12+(D70-1))+$B$4*(C69/100/12+(E70-1))</f>
        <v/>
      </c>
      <c r="G70" s="8">
        <f>G69*(1+F70)</f>
        <v/>
      </c>
    </row>
    <row r="71">
      <c r="A71" s="8" t="inlineStr">
        <is>
          <t>1958-08-01</t>
        </is>
      </c>
      <c r="B71" s="6" t="n">
        <v>3.29</v>
      </c>
      <c r="C71" s="6" t="n">
        <v>4.67</v>
      </c>
      <c r="D71" s="8">
        <f>-PV(B71/100,5,B70/100,1)</f>
        <v/>
      </c>
      <c r="E71" s="8">
        <f>-PV(C71/100,7,C70/100,1)</f>
        <v/>
      </c>
      <c r="F71" s="8">
        <f>$B$3*(B70/100/12+(D71-1))+$B$4*(C70/100/12+(E71-1))</f>
        <v/>
      </c>
      <c r="G71" s="8">
        <f>G70*(1+F71)</f>
        <v/>
      </c>
    </row>
    <row r="72">
      <c r="A72" s="8" t="inlineStr">
        <is>
          <t>1958-09-01</t>
        </is>
      </c>
      <c r="B72" s="6" t="n">
        <v>3.69</v>
      </c>
      <c r="C72" s="6" t="n">
        <v>4.87</v>
      </c>
      <c r="D72" s="8">
        <f>-PV(B72/100,5,B71/100,1)</f>
        <v/>
      </c>
      <c r="E72" s="8">
        <f>-PV(C72/100,7,C71/100,1)</f>
        <v/>
      </c>
      <c r="F72" s="8">
        <f>$B$3*(B71/100/12+(D72-1))+$B$4*(C71/100/12+(E72-1))</f>
        <v/>
      </c>
      <c r="G72" s="8">
        <f>G71*(1+F72)</f>
        <v/>
      </c>
    </row>
    <row r="73">
      <c r="A73" s="8" t="inlineStr">
        <is>
          <t>1958-10-01</t>
        </is>
      </c>
      <c r="B73" s="6" t="n">
        <v>3.78</v>
      </c>
      <c r="C73" s="6" t="n">
        <v>4.92</v>
      </c>
      <c r="D73" s="8">
        <f>-PV(B73/100,5,B72/100,1)</f>
        <v/>
      </c>
      <c r="E73" s="8">
        <f>-PV(C73/100,7,C72/100,1)</f>
        <v/>
      </c>
      <c r="F73" s="8">
        <f>$B$3*(B72/100/12+(D73-1))+$B$4*(C72/100/12+(E73-1))</f>
        <v/>
      </c>
      <c r="G73" s="8">
        <f>G72*(1+F73)</f>
        <v/>
      </c>
    </row>
    <row r="74">
      <c r="A74" s="8" t="inlineStr">
        <is>
          <t>1958-11-01</t>
        </is>
      </c>
      <c r="B74" s="6" t="n">
        <v>3.7</v>
      </c>
      <c r="C74" s="6" t="n">
        <v>4.87</v>
      </c>
      <c r="D74" s="8">
        <f>-PV(B74/100,5,B73/100,1)</f>
        <v/>
      </c>
      <c r="E74" s="8">
        <f>-PV(C74/100,7,C73/100,1)</f>
        <v/>
      </c>
      <c r="F74" s="8">
        <f>$B$3*(B73/100/12+(D74-1))+$B$4*(C73/100/12+(E74-1))</f>
        <v/>
      </c>
      <c r="G74" s="8">
        <f>G73*(1+F74)</f>
        <v/>
      </c>
    </row>
    <row r="75">
      <c r="A75" s="8" t="inlineStr">
        <is>
          <t>1958-12-01</t>
        </is>
      </c>
      <c r="B75" s="6" t="n">
        <v>3.82</v>
      </c>
      <c r="C75" s="6" t="n">
        <v>4.85</v>
      </c>
      <c r="D75" s="8">
        <f>-PV(B75/100,5,B74/100,1)</f>
        <v/>
      </c>
      <c r="E75" s="8">
        <f>-PV(C75/100,7,C74/100,1)</f>
        <v/>
      </c>
      <c r="F75" s="8">
        <f>$B$3*(B74/100/12+(D75-1))+$B$4*(C74/100/12+(E75-1))</f>
        <v/>
      </c>
      <c r="G75" s="8">
        <f>G74*(1+F75)</f>
        <v/>
      </c>
    </row>
    <row r="76">
      <c r="A76" s="8" t="inlineStr">
        <is>
          <t>1959-01-01</t>
        </is>
      </c>
      <c r="B76" s="6" t="n">
        <v>4.01</v>
      </c>
      <c r="C76" s="6" t="n">
        <v>4.87</v>
      </c>
      <c r="D76" s="8">
        <f>-PV(B76/100,5,B75/100,1)</f>
        <v/>
      </c>
      <c r="E76" s="8">
        <f>-PV(C76/100,7,C75/100,1)</f>
        <v/>
      </c>
      <c r="F76" s="8">
        <f>$B$3*(B75/100/12+(D76-1))+$B$4*(C75/100/12+(E76-1))</f>
        <v/>
      </c>
      <c r="G76" s="8">
        <f>G75*(1+F76)</f>
        <v/>
      </c>
    </row>
    <row r="77">
      <c r="A77" s="8" t="inlineStr">
        <is>
          <t>1959-02-01</t>
        </is>
      </c>
      <c r="B77" s="6" t="n">
        <v>3.96</v>
      </c>
      <c r="C77" s="6" t="n">
        <v>4.89</v>
      </c>
      <c r="D77" s="8">
        <f>-PV(B77/100,5,B76/100,1)</f>
        <v/>
      </c>
      <c r="E77" s="8">
        <f>-PV(C77/100,7,C76/100,1)</f>
        <v/>
      </c>
      <c r="F77" s="8">
        <f>$B$3*(B76/100/12+(D77-1))+$B$4*(C76/100/12+(E77-1))</f>
        <v/>
      </c>
      <c r="G77" s="8">
        <f>G76*(1+F77)</f>
        <v/>
      </c>
    </row>
    <row r="78">
      <c r="A78" s="8" t="inlineStr">
        <is>
          <t>1959-03-01</t>
        </is>
      </c>
      <c r="B78" s="6" t="n">
        <v>3.99</v>
      </c>
      <c r="C78" s="6" t="n">
        <v>4.85</v>
      </c>
      <c r="D78" s="8">
        <f>-PV(B78/100,5,B77/100,1)</f>
        <v/>
      </c>
      <c r="E78" s="8">
        <f>-PV(C78/100,7,C77/100,1)</f>
        <v/>
      </c>
      <c r="F78" s="8">
        <f>$B$3*(B77/100/12+(D78-1))+$B$4*(C77/100/12+(E78-1))</f>
        <v/>
      </c>
      <c r="G78" s="8">
        <f>G77*(1+F78)</f>
        <v/>
      </c>
    </row>
    <row r="79">
      <c r="A79" s="8" t="inlineStr">
        <is>
          <t>1959-04-01</t>
        </is>
      </c>
      <c r="B79" s="6" t="n">
        <v>4.12</v>
      </c>
      <c r="C79" s="6" t="n">
        <v>4.86</v>
      </c>
      <c r="D79" s="8">
        <f>-PV(B79/100,5,B78/100,1)</f>
        <v/>
      </c>
      <c r="E79" s="8">
        <f>-PV(C79/100,7,C78/100,1)</f>
        <v/>
      </c>
      <c r="F79" s="8">
        <f>$B$3*(B78/100/12+(D79-1))+$B$4*(C78/100/12+(E79-1))</f>
        <v/>
      </c>
      <c r="G79" s="8">
        <f>G78*(1+F79)</f>
        <v/>
      </c>
    </row>
    <row r="80">
      <c r="A80" s="8" t="inlineStr">
        <is>
          <t>1959-05-01</t>
        </is>
      </c>
      <c r="B80" s="6" t="n">
        <v>4.35</v>
      </c>
      <c r="C80" s="6" t="n">
        <v>4.96</v>
      </c>
      <c r="D80" s="8">
        <f>-PV(B80/100,5,B79/100,1)</f>
        <v/>
      </c>
      <c r="E80" s="8">
        <f>-PV(C80/100,7,C79/100,1)</f>
        <v/>
      </c>
      <c r="F80" s="8">
        <f>$B$3*(B79/100/12+(D80-1))+$B$4*(C79/100/12+(E80-1))</f>
        <v/>
      </c>
      <c r="G80" s="8">
        <f>G79*(1+F80)</f>
        <v/>
      </c>
    </row>
    <row r="81">
      <c r="A81" s="8" t="inlineStr">
        <is>
          <t>1959-06-01</t>
        </is>
      </c>
      <c r="B81" s="6" t="n">
        <v>4.5</v>
      </c>
      <c r="C81" s="6" t="n">
        <v>5.04</v>
      </c>
      <c r="D81" s="8">
        <f>-PV(B81/100,5,B80/100,1)</f>
        <v/>
      </c>
      <c r="E81" s="8">
        <f>-PV(C81/100,7,C80/100,1)</f>
        <v/>
      </c>
      <c r="F81" s="8">
        <f>$B$3*(B80/100/12+(D81-1))+$B$4*(C80/100/12+(E81-1))</f>
        <v/>
      </c>
      <c r="G81" s="8">
        <f>G80*(1+F81)</f>
        <v/>
      </c>
    </row>
    <row r="82">
      <c r="A82" s="8" t="inlineStr">
        <is>
          <t>1959-07-01</t>
        </is>
      </c>
      <c r="B82" s="6" t="n">
        <v>4.58</v>
      </c>
      <c r="C82" s="6" t="n">
        <v>5.08</v>
      </c>
      <c r="D82" s="8">
        <f>-PV(B82/100,5,B81/100,1)</f>
        <v/>
      </c>
      <c r="E82" s="8">
        <f>-PV(C82/100,7,C81/100,1)</f>
        <v/>
      </c>
      <c r="F82" s="8">
        <f>$B$3*(B81/100/12+(D82-1))+$B$4*(C81/100/12+(E82-1))</f>
        <v/>
      </c>
      <c r="G82" s="8">
        <f>G81*(1+F82)</f>
        <v/>
      </c>
    </row>
    <row r="83">
      <c r="A83" s="8" t="inlineStr">
        <is>
          <t>1959-08-01</t>
        </is>
      </c>
      <c r="B83" s="6" t="n">
        <v>4.57</v>
      </c>
      <c r="C83" s="6" t="n">
        <v>5.09</v>
      </c>
      <c r="D83" s="8">
        <f>-PV(B83/100,5,B82/100,1)</f>
        <v/>
      </c>
      <c r="E83" s="8">
        <f>-PV(C83/100,7,C82/100,1)</f>
        <v/>
      </c>
      <c r="F83" s="8">
        <f>$B$3*(B82/100/12+(D83-1))+$B$4*(C82/100/12+(E83-1))</f>
        <v/>
      </c>
      <c r="G83" s="8">
        <f>G82*(1+F83)</f>
        <v/>
      </c>
    </row>
    <row r="84">
      <c r="A84" s="8" t="inlineStr">
        <is>
          <t>1959-09-01</t>
        </is>
      </c>
      <c r="B84" s="6" t="n">
        <v>4.9</v>
      </c>
      <c r="C84" s="6" t="n">
        <v>5.18</v>
      </c>
      <c r="D84" s="8">
        <f>-PV(B84/100,5,B83/100,1)</f>
        <v/>
      </c>
      <c r="E84" s="8">
        <f>-PV(C84/100,7,C83/100,1)</f>
        <v/>
      </c>
      <c r="F84" s="8">
        <f>$B$3*(B83/100/12+(D84-1))+$B$4*(C83/100/12+(E84-1))</f>
        <v/>
      </c>
      <c r="G84" s="8">
        <f>G83*(1+F84)</f>
        <v/>
      </c>
    </row>
    <row r="85">
      <c r="A85" s="8" t="inlineStr">
        <is>
          <t>1959-10-01</t>
        </is>
      </c>
      <c r="B85" s="6" t="n">
        <v>4.72</v>
      </c>
      <c r="C85" s="6" t="n">
        <v>5.28</v>
      </c>
      <c r="D85" s="8">
        <f>-PV(B85/100,5,B84/100,1)</f>
        <v/>
      </c>
      <c r="E85" s="8">
        <f>-PV(C85/100,7,C84/100,1)</f>
        <v/>
      </c>
      <c r="F85" s="8">
        <f>$B$3*(B84/100/12+(D85-1))+$B$4*(C84/100/12+(E85-1))</f>
        <v/>
      </c>
      <c r="G85" s="8">
        <f>G84*(1+F85)</f>
        <v/>
      </c>
    </row>
    <row r="86">
      <c r="A86" s="8" t="inlineStr">
        <is>
          <t>1959-11-01</t>
        </is>
      </c>
      <c r="B86" s="6" t="n">
        <v>4.75</v>
      </c>
      <c r="C86" s="6" t="n">
        <v>5.26</v>
      </c>
      <c r="D86" s="8">
        <f>-PV(B86/100,5,B85/100,1)</f>
        <v/>
      </c>
      <c r="E86" s="8">
        <f>-PV(C86/100,7,C85/100,1)</f>
        <v/>
      </c>
      <c r="F86" s="8">
        <f>$B$3*(B85/100/12+(D86-1))+$B$4*(C85/100/12+(E86-1))</f>
        <v/>
      </c>
      <c r="G86" s="8">
        <f>G85*(1+F86)</f>
        <v/>
      </c>
    </row>
    <row r="87">
      <c r="A87" s="8" t="inlineStr">
        <is>
          <t>1959-12-01</t>
        </is>
      </c>
      <c r="B87" s="6" t="n">
        <v>5.01</v>
      </c>
      <c r="C87" s="6" t="n">
        <v>5.28</v>
      </c>
      <c r="D87" s="8">
        <f>-PV(B87/100,5,B86/100,1)</f>
        <v/>
      </c>
      <c r="E87" s="8">
        <f>-PV(C87/100,7,C86/100,1)</f>
        <v/>
      </c>
      <c r="F87" s="8">
        <f>$B$3*(B86/100/12+(D87-1))+$B$4*(C86/100/12+(E87-1))</f>
        <v/>
      </c>
      <c r="G87" s="8">
        <f>G86*(1+F87)</f>
        <v/>
      </c>
    </row>
    <row r="88">
      <c r="A88" s="8" t="inlineStr">
        <is>
          <t>1960-01-01</t>
        </is>
      </c>
      <c r="B88" s="6" t="n">
        <v>4.92</v>
      </c>
      <c r="C88" s="6" t="n">
        <v>5.34</v>
      </c>
      <c r="D88" s="8">
        <f>-PV(B88/100,5,B87/100,1)</f>
        <v/>
      </c>
      <c r="E88" s="8">
        <f>-PV(C88/100,7,C87/100,1)</f>
        <v/>
      </c>
      <c r="F88" s="8">
        <f>$B$3*(B87/100/12+(D88-1))+$B$4*(C87/100/12+(E88-1))</f>
        <v/>
      </c>
      <c r="G88" s="8">
        <f>G87*(1+F88)</f>
        <v/>
      </c>
    </row>
    <row r="89">
      <c r="A89" s="8" t="inlineStr">
        <is>
          <t>1960-02-01</t>
        </is>
      </c>
      <c r="B89" s="6" t="n">
        <v>4.69</v>
      </c>
      <c r="C89" s="6" t="n">
        <v>5.34</v>
      </c>
      <c r="D89" s="8">
        <f>-PV(B89/100,5,B88/100,1)</f>
        <v/>
      </c>
      <c r="E89" s="8">
        <f>-PV(C89/100,7,C88/100,1)</f>
        <v/>
      </c>
      <c r="F89" s="8">
        <f>$B$3*(B88/100/12+(D89-1))+$B$4*(C88/100/12+(E89-1))</f>
        <v/>
      </c>
      <c r="G89" s="8">
        <f>G88*(1+F89)</f>
        <v/>
      </c>
    </row>
    <row r="90">
      <c r="A90" s="8" t="inlineStr">
        <is>
          <t>1960-03-01</t>
        </is>
      </c>
      <c r="B90" s="6" t="n">
        <v>4.31</v>
      </c>
      <c r="C90" s="6" t="n">
        <v>5.25</v>
      </c>
      <c r="D90" s="8">
        <f>-PV(B90/100,5,B89/100,1)</f>
        <v/>
      </c>
      <c r="E90" s="8">
        <f>-PV(C90/100,7,C89/100,1)</f>
        <v/>
      </c>
      <c r="F90" s="8">
        <f>$B$3*(B89/100/12+(D90-1))+$B$4*(C89/100/12+(E90-1))</f>
        <v/>
      </c>
      <c r="G90" s="8">
        <f>G89*(1+F90)</f>
        <v/>
      </c>
    </row>
    <row r="91">
      <c r="A91" s="8" t="inlineStr">
        <is>
          <t>1960-04-01</t>
        </is>
      </c>
      <c r="B91" s="6" t="n">
        <v>4.29</v>
      </c>
      <c r="C91" s="6" t="n">
        <v>5.2</v>
      </c>
      <c r="D91" s="8">
        <f>-PV(B91/100,5,B90/100,1)</f>
        <v/>
      </c>
      <c r="E91" s="8">
        <f>-PV(C91/100,7,C90/100,1)</f>
        <v/>
      </c>
      <c r="F91" s="8">
        <f>$B$3*(B90/100/12+(D91-1))+$B$4*(C90/100/12+(E91-1))</f>
        <v/>
      </c>
      <c r="G91" s="8">
        <f>G90*(1+F91)</f>
        <v/>
      </c>
    </row>
    <row r="92">
      <c r="A92" s="8" t="inlineStr">
        <is>
          <t>1960-05-01</t>
        </is>
      </c>
      <c r="B92" s="6" t="n">
        <v>4.49</v>
      </c>
      <c r="C92" s="6" t="n">
        <v>5.28</v>
      </c>
      <c r="D92" s="8">
        <f>-PV(B92/100,5,B91/100,1)</f>
        <v/>
      </c>
      <c r="E92" s="8">
        <f>-PV(C92/100,7,C91/100,1)</f>
        <v/>
      </c>
      <c r="F92" s="8">
        <f>$B$3*(B91/100/12+(D92-1))+$B$4*(C91/100/12+(E92-1))</f>
        <v/>
      </c>
      <c r="G92" s="8">
        <f>G91*(1+F92)</f>
        <v/>
      </c>
    </row>
    <row r="93">
      <c r="A93" s="8" t="inlineStr">
        <is>
          <t>1960-06-01</t>
        </is>
      </c>
      <c r="B93" s="6" t="n">
        <v>4.12</v>
      </c>
      <c r="C93" s="6" t="n">
        <v>5.26</v>
      </c>
      <c r="D93" s="8">
        <f>-PV(B93/100,5,B92/100,1)</f>
        <v/>
      </c>
      <c r="E93" s="8">
        <f>-PV(C93/100,7,C92/100,1)</f>
        <v/>
      </c>
      <c r="F93" s="8">
        <f>$B$3*(B92/100/12+(D93-1))+$B$4*(C92/100/12+(E93-1))</f>
        <v/>
      </c>
      <c r="G93" s="8">
        <f>G92*(1+F93)</f>
        <v/>
      </c>
    </row>
    <row r="94">
      <c r="A94" s="8" t="inlineStr">
        <is>
          <t>1960-07-01</t>
        </is>
      </c>
      <c r="B94" s="6" t="n">
        <v>3.79</v>
      </c>
      <c r="C94" s="6" t="n">
        <v>5.22</v>
      </c>
      <c r="D94" s="8">
        <f>-PV(B94/100,5,B93/100,1)</f>
        <v/>
      </c>
      <c r="E94" s="8">
        <f>-PV(C94/100,7,C93/100,1)</f>
        <v/>
      </c>
      <c r="F94" s="8">
        <f>$B$3*(B93/100/12+(D94-1))+$B$4*(C93/100/12+(E94-1))</f>
        <v/>
      </c>
      <c r="G94" s="8">
        <f>G93*(1+F94)</f>
        <v/>
      </c>
    </row>
    <row r="95">
      <c r="A95" s="8" t="inlineStr">
        <is>
          <t>1960-08-01</t>
        </is>
      </c>
      <c r="B95" s="6" t="n">
        <v>3.62</v>
      </c>
      <c r="C95" s="6" t="n">
        <v>5.08</v>
      </c>
      <c r="D95" s="8">
        <f>-PV(B95/100,5,B94/100,1)</f>
        <v/>
      </c>
      <c r="E95" s="8">
        <f>-PV(C95/100,7,C94/100,1)</f>
        <v/>
      </c>
      <c r="F95" s="8">
        <f>$B$3*(B94/100/12+(D95-1))+$B$4*(C94/100/12+(E95-1))</f>
        <v/>
      </c>
      <c r="G95" s="8">
        <f>G94*(1+F95)</f>
        <v/>
      </c>
    </row>
    <row r="96">
      <c r="A96" s="8" t="inlineStr">
        <is>
          <t>1960-09-01</t>
        </is>
      </c>
      <c r="B96" s="6" t="n">
        <v>3.61</v>
      </c>
      <c r="C96" s="6" t="n">
        <v>5.01</v>
      </c>
      <c r="D96" s="8">
        <f>-PV(B96/100,5,B95/100,1)</f>
        <v/>
      </c>
      <c r="E96" s="8">
        <f>-PV(C96/100,7,C95/100,1)</f>
        <v/>
      </c>
      <c r="F96" s="8">
        <f>$B$3*(B95/100/12+(D96-1))+$B$4*(C95/100/12+(E96-1))</f>
        <v/>
      </c>
      <c r="G96" s="8">
        <f>G95*(1+F96)</f>
        <v/>
      </c>
    </row>
    <row r="97">
      <c r="A97" s="8" t="inlineStr">
        <is>
          <t>1960-10-01</t>
        </is>
      </c>
      <c r="B97" s="6" t="n">
        <v>3.76</v>
      </c>
      <c r="C97" s="6" t="n">
        <v>5.11</v>
      </c>
      <c r="D97" s="8">
        <f>-PV(B97/100,5,B96/100,1)</f>
        <v/>
      </c>
      <c r="E97" s="8">
        <f>-PV(C97/100,7,C96/100,1)</f>
        <v/>
      </c>
      <c r="F97" s="8">
        <f>$B$3*(B96/100/12+(D97-1))+$B$4*(C96/100/12+(E97-1))</f>
        <v/>
      </c>
      <c r="G97" s="8">
        <f>G96*(1+F97)</f>
        <v/>
      </c>
    </row>
    <row r="98">
      <c r="A98" s="8" t="inlineStr">
        <is>
          <t>1960-11-01</t>
        </is>
      </c>
      <c r="B98" s="6" t="n">
        <v>3.81</v>
      </c>
      <c r="C98" s="6" t="n">
        <v>5.08</v>
      </c>
      <c r="D98" s="8">
        <f>-PV(B98/100,5,B97/100,1)</f>
        <v/>
      </c>
      <c r="E98" s="8">
        <f>-PV(C98/100,7,C97/100,1)</f>
        <v/>
      </c>
      <c r="F98" s="8">
        <f>$B$3*(B97/100/12+(D98-1))+$B$4*(C97/100/12+(E98-1))</f>
        <v/>
      </c>
      <c r="G98" s="8">
        <f>G97*(1+F98)</f>
        <v/>
      </c>
    </row>
    <row r="99">
      <c r="A99" s="8" t="inlineStr">
        <is>
          <t>1960-12-01</t>
        </is>
      </c>
      <c r="B99" s="6" t="n">
        <v>3.67</v>
      </c>
      <c r="C99" s="6" t="n">
        <v>5.1</v>
      </c>
      <c r="D99" s="8">
        <f>-PV(B99/100,5,B98/100,1)</f>
        <v/>
      </c>
      <c r="E99" s="8">
        <f>-PV(C99/100,7,C98/100,1)</f>
        <v/>
      </c>
      <c r="F99" s="8">
        <f>$B$3*(B98/100/12+(D99-1))+$B$4*(C98/100/12+(E99-1))</f>
        <v/>
      </c>
      <c r="G99" s="8">
        <f>G98*(1+F99)</f>
        <v/>
      </c>
    </row>
    <row r="100">
      <c r="A100" s="8" t="inlineStr">
        <is>
          <t>1961-01-01</t>
        </is>
      </c>
      <c r="B100" s="6" t="n">
        <v>3.67</v>
      </c>
      <c r="C100" s="6" t="n">
        <v>5.1</v>
      </c>
      <c r="D100" s="8">
        <f>-PV(B100/100,5,B99/100,1)</f>
        <v/>
      </c>
      <c r="E100" s="8">
        <f>-PV(C100/100,7,C99/100,1)</f>
        <v/>
      </c>
      <c r="F100" s="8">
        <f>$B$3*(B99/100/12+(D100-1))+$B$4*(C99/100/12+(E100-1))</f>
        <v/>
      </c>
      <c r="G100" s="8">
        <f>G99*(1+F100)</f>
        <v/>
      </c>
    </row>
    <row r="101">
      <c r="A101" s="8" t="inlineStr">
        <is>
          <t>1961-02-01</t>
        </is>
      </c>
      <c r="B101" s="6" t="n">
        <v>3.66</v>
      </c>
      <c r="C101" s="6" t="n">
        <v>5.07</v>
      </c>
      <c r="D101" s="8">
        <f>-PV(B101/100,5,B100/100,1)</f>
        <v/>
      </c>
      <c r="E101" s="8">
        <f>-PV(C101/100,7,C100/100,1)</f>
        <v/>
      </c>
      <c r="F101" s="8">
        <f>$B$3*(B100/100/12+(D101-1))+$B$4*(C100/100/12+(E101-1))</f>
        <v/>
      </c>
      <c r="G101" s="8">
        <f>G100*(1+F101)</f>
        <v/>
      </c>
    </row>
    <row r="102">
      <c r="A102" s="8" t="inlineStr">
        <is>
          <t>1961-03-01</t>
        </is>
      </c>
      <c r="B102" s="6" t="n">
        <v>3.6</v>
      </c>
      <c r="C102" s="6" t="n">
        <v>5.02</v>
      </c>
      <c r="D102" s="8">
        <f>-PV(B102/100,5,B101/100,1)</f>
        <v/>
      </c>
      <c r="E102" s="8">
        <f>-PV(C102/100,7,C101/100,1)</f>
        <v/>
      </c>
      <c r="F102" s="8">
        <f>$B$3*(B101/100/12+(D102-1))+$B$4*(C101/100/12+(E102-1))</f>
        <v/>
      </c>
      <c r="G102" s="8">
        <f>G101*(1+F102)</f>
        <v/>
      </c>
    </row>
    <row r="103">
      <c r="A103" s="8" t="inlineStr">
        <is>
          <t>1961-04-01</t>
        </is>
      </c>
      <c r="B103" s="6" t="n">
        <v>3.57</v>
      </c>
      <c r="C103" s="6" t="n">
        <v>5.01</v>
      </c>
      <c r="D103" s="8">
        <f>-PV(B103/100,5,B102/100,1)</f>
        <v/>
      </c>
      <c r="E103" s="8">
        <f>-PV(C103/100,7,C102/100,1)</f>
        <v/>
      </c>
      <c r="F103" s="8">
        <f>$B$3*(B102/100/12+(D103-1))+$B$4*(C102/100/12+(E103-1))</f>
        <v/>
      </c>
      <c r="G103" s="8">
        <f>G102*(1+F103)</f>
        <v/>
      </c>
    </row>
    <row r="104">
      <c r="A104" s="8" t="inlineStr">
        <is>
          <t>1961-05-01</t>
        </is>
      </c>
      <c r="B104" s="6" t="n">
        <v>3.47</v>
      </c>
      <c r="C104" s="6" t="n">
        <v>5.01</v>
      </c>
      <c r="D104" s="8">
        <f>-PV(B104/100,5,B103/100,1)</f>
        <v/>
      </c>
      <c r="E104" s="8">
        <f>-PV(C104/100,7,C103/100,1)</f>
        <v/>
      </c>
      <c r="F104" s="8">
        <f>$B$3*(B103/100/12+(D104-1))+$B$4*(C103/100/12+(E104-1))</f>
        <v/>
      </c>
      <c r="G104" s="8">
        <f>G103*(1+F104)</f>
        <v/>
      </c>
    </row>
    <row r="105">
      <c r="A105" s="8" t="inlineStr">
        <is>
          <t>1961-06-01</t>
        </is>
      </c>
      <c r="B105" s="6" t="n">
        <v>3.81</v>
      </c>
      <c r="C105" s="6" t="n">
        <v>5.03</v>
      </c>
      <c r="D105" s="8">
        <f>-PV(B105/100,5,B104/100,1)</f>
        <v/>
      </c>
      <c r="E105" s="8">
        <f>-PV(C105/100,7,C104/100,1)</f>
        <v/>
      </c>
      <c r="F105" s="8">
        <f>$B$3*(B104/100/12+(D105-1))+$B$4*(C104/100/12+(E105-1))</f>
        <v/>
      </c>
      <c r="G105" s="8">
        <f>G104*(1+F105)</f>
        <v/>
      </c>
    </row>
    <row r="106">
      <c r="A106" s="8" t="inlineStr">
        <is>
          <t>1961-07-01</t>
        </is>
      </c>
      <c r="B106" s="6" t="n">
        <v>3.84</v>
      </c>
      <c r="C106" s="6" t="n">
        <v>5.09</v>
      </c>
      <c r="D106" s="8">
        <f>-PV(B106/100,5,B105/100,1)</f>
        <v/>
      </c>
      <c r="E106" s="8">
        <f>-PV(C106/100,7,C105/100,1)</f>
        <v/>
      </c>
      <c r="F106" s="8">
        <f>$B$3*(B105/100/12+(D106-1))+$B$4*(C105/100/12+(E106-1))</f>
        <v/>
      </c>
      <c r="G106" s="8">
        <f>G105*(1+F106)</f>
        <v/>
      </c>
    </row>
    <row r="107">
      <c r="A107" s="8" t="inlineStr">
        <is>
          <t>1961-08-01</t>
        </is>
      </c>
      <c r="B107" s="6" t="n">
        <v>3.96</v>
      </c>
      <c r="C107" s="6" t="n">
        <v>5.11</v>
      </c>
      <c r="D107" s="8">
        <f>-PV(B107/100,5,B106/100,1)</f>
        <v/>
      </c>
      <c r="E107" s="8">
        <f>-PV(C107/100,7,C106/100,1)</f>
        <v/>
      </c>
      <c r="F107" s="8">
        <f>$B$3*(B106/100/12+(D107-1))+$B$4*(C106/100/12+(E107-1))</f>
        <v/>
      </c>
      <c r="G107" s="8">
        <f>G106*(1+F107)</f>
        <v/>
      </c>
    </row>
    <row r="108">
      <c r="A108" s="8" t="inlineStr">
        <is>
          <t>1961-09-01</t>
        </is>
      </c>
      <c r="B108" s="6" t="n">
        <v>3.9</v>
      </c>
      <c r="C108" s="6" t="n">
        <v>5.12</v>
      </c>
      <c r="D108" s="8">
        <f>-PV(B108/100,5,B107/100,1)</f>
        <v/>
      </c>
      <c r="E108" s="8">
        <f>-PV(C108/100,7,C107/100,1)</f>
        <v/>
      </c>
      <c r="F108" s="8">
        <f>$B$3*(B107/100/12+(D108-1))+$B$4*(C107/100/12+(E108-1))</f>
        <v/>
      </c>
      <c r="G108" s="8">
        <f>G107*(1+F108)</f>
        <v/>
      </c>
    </row>
    <row r="109">
      <c r="A109" s="8" t="inlineStr">
        <is>
          <t>1961-10-01</t>
        </is>
      </c>
      <c r="B109" s="6" t="n">
        <v>3.8</v>
      </c>
      <c r="C109" s="6" t="n">
        <v>5.13</v>
      </c>
      <c r="D109" s="8">
        <f>-PV(B109/100,5,B108/100,1)</f>
        <v/>
      </c>
      <c r="E109" s="8">
        <f>-PV(C109/100,7,C108/100,1)</f>
        <v/>
      </c>
      <c r="F109" s="8">
        <f>$B$3*(B108/100/12+(D109-1))+$B$4*(C108/100/12+(E109-1))</f>
        <v/>
      </c>
      <c r="G109" s="8">
        <f>G108*(1+F109)</f>
        <v/>
      </c>
    </row>
    <row r="110">
      <c r="A110" s="8" t="inlineStr">
        <is>
          <t>1961-11-01</t>
        </is>
      </c>
      <c r="B110" s="6" t="n">
        <v>3.82</v>
      </c>
      <c r="C110" s="6" t="n">
        <v>5.11</v>
      </c>
      <c r="D110" s="8">
        <f>-PV(B110/100,5,B109/100,1)</f>
        <v/>
      </c>
      <c r="E110" s="8">
        <f>-PV(C110/100,7,C109/100,1)</f>
        <v/>
      </c>
      <c r="F110" s="8">
        <f>$B$3*(B109/100/12+(D110-1))+$B$4*(C109/100/12+(E110-1))</f>
        <v/>
      </c>
      <c r="G110" s="8">
        <f>G109*(1+F110)</f>
        <v/>
      </c>
    </row>
    <row r="111">
      <c r="A111" s="8" t="inlineStr">
        <is>
          <t>1961-12-01</t>
        </is>
      </c>
      <c r="B111" s="6" t="n">
        <v>3.91</v>
      </c>
      <c r="C111" s="6" t="n">
        <v>5.1</v>
      </c>
      <c r="D111" s="8">
        <f>-PV(B111/100,5,B110/100,1)</f>
        <v/>
      </c>
      <c r="E111" s="8">
        <f>-PV(C111/100,7,C110/100,1)</f>
        <v/>
      </c>
      <c r="F111" s="8">
        <f>$B$3*(B110/100/12+(D111-1))+$B$4*(C110/100/12+(E111-1))</f>
        <v/>
      </c>
      <c r="G111" s="8">
        <f>G110*(1+F111)</f>
        <v/>
      </c>
    </row>
    <row r="112">
      <c r="A112" s="8" t="inlineStr">
        <is>
          <t>1962-01-01</t>
        </is>
      </c>
      <c r="B112" s="6" t="n">
        <v>3.94</v>
      </c>
      <c r="C112" s="6" t="n">
        <v>5.08</v>
      </c>
      <c r="D112" s="8">
        <f>-PV(B112/100,5,B111/100,1)</f>
        <v/>
      </c>
      <c r="E112" s="8">
        <f>-PV(C112/100,7,C111/100,1)</f>
        <v/>
      </c>
      <c r="F112" s="8">
        <f>$B$3*(B111/100/12+(D112-1))+$B$4*(C111/100/12+(E112-1))</f>
        <v/>
      </c>
      <c r="G112" s="8">
        <f>G111*(1+F112)</f>
        <v/>
      </c>
    </row>
    <row r="113">
      <c r="A113" s="8" t="inlineStr">
        <is>
          <t>1962-02-01</t>
        </is>
      </c>
      <c r="B113" s="6" t="n">
        <v>3.89</v>
      </c>
      <c r="C113" s="6" t="n">
        <v>5.07</v>
      </c>
      <c r="D113" s="8">
        <f>-PV(B113/100,5,B112/100,1)</f>
        <v/>
      </c>
      <c r="E113" s="8">
        <f>-PV(C113/100,7,C112/100,1)</f>
        <v/>
      </c>
      <c r="F113" s="8">
        <f>$B$3*(B112/100/12+(D113-1))+$B$4*(C112/100/12+(E113-1))</f>
        <v/>
      </c>
      <c r="G113" s="8">
        <f>G112*(1+F113)</f>
        <v/>
      </c>
    </row>
    <row r="114">
      <c r="A114" s="8" t="inlineStr">
        <is>
          <t>1962-03-01</t>
        </is>
      </c>
      <c r="B114" s="6" t="n">
        <v>3.68</v>
      </c>
      <c r="C114" s="6" t="n">
        <v>5.04</v>
      </c>
      <c r="D114" s="8">
        <f>-PV(B114/100,5,B113/100,1)</f>
        <v/>
      </c>
      <c r="E114" s="8">
        <f>-PV(C114/100,7,C113/100,1)</f>
        <v/>
      </c>
      <c r="F114" s="8">
        <f>$B$3*(B113/100/12+(D114-1))+$B$4*(C113/100/12+(E114-1))</f>
        <v/>
      </c>
      <c r="G114" s="8">
        <f>G113*(1+F114)</f>
        <v/>
      </c>
    </row>
    <row r="115">
      <c r="A115" s="8" t="inlineStr">
        <is>
          <t>1962-04-01</t>
        </is>
      </c>
      <c r="B115" s="6" t="n">
        <v>3.6</v>
      </c>
      <c r="C115" s="6" t="n">
        <v>5.02</v>
      </c>
      <c r="D115" s="8">
        <f>-PV(B115/100,5,B114/100,1)</f>
        <v/>
      </c>
      <c r="E115" s="8">
        <f>-PV(C115/100,7,C114/100,1)</f>
        <v/>
      </c>
      <c r="F115" s="8">
        <f>$B$3*(B114/100/12+(D115-1))+$B$4*(C114/100/12+(E115-1))</f>
        <v/>
      </c>
      <c r="G115" s="8">
        <f>G114*(1+F115)</f>
        <v/>
      </c>
    </row>
    <row r="116">
      <c r="A116" s="8" t="inlineStr">
        <is>
          <t>1962-05-01</t>
        </is>
      </c>
      <c r="B116" s="6" t="n">
        <v>3.66</v>
      </c>
      <c r="C116" s="6" t="n">
        <v>5</v>
      </c>
      <c r="D116" s="8">
        <f>-PV(B116/100,5,B115/100,1)</f>
        <v/>
      </c>
      <c r="E116" s="8">
        <f>-PV(C116/100,7,C115/100,1)</f>
        <v/>
      </c>
      <c r="F116" s="8">
        <f>$B$3*(B115/100/12+(D116-1))+$B$4*(C115/100/12+(E116-1))</f>
        <v/>
      </c>
      <c r="G116" s="8">
        <f>G115*(1+F116)</f>
        <v/>
      </c>
    </row>
    <row r="117">
      <c r="A117" s="8" t="inlineStr">
        <is>
          <t>1962-06-01</t>
        </is>
      </c>
      <c r="B117" s="6" t="n">
        <v>3.64</v>
      </c>
      <c r="C117" s="6" t="n">
        <v>5.02</v>
      </c>
      <c r="D117" s="8">
        <f>-PV(B117/100,5,B116/100,1)</f>
        <v/>
      </c>
      <c r="E117" s="8">
        <f>-PV(C117/100,7,C116/100,1)</f>
        <v/>
      </c>
      <c r="F117" s="8">
        <f>$B$3*(B116/100/12+(D117-1))+$B$4*(C116/100/12+(E117-1))</f>
        <v/>
      </c>
      <c r="G117" s="8">
        <f>G116*(1+F117)</f>
        <v/>
      </c>
    </row>
    <row r="118">
      <c r="A118" s="8" t="inlineStr">
        <is>
          <t>1962-07-01</t>
        </is>
      </c>
      <c r="B118" s="6" t="n">
        <v>3.8</v>
      </c>
      <c r="C118" s="6" t="n">
        <v>5.05</v>
      </c>
      <c r="D118" s="8">
        <f>-PV(B118/100,5,B117/100,1)</f>
        <v/>
      </c>
      <c r="E118" s="8">
        <f>-PV(C118/100,7,C117/100,1)</f>
        <v/>
      </c>
      <c r="F118" s="8">
        <f>$B$3*(B117/100/12+(D118-1))+$B$4*(C117/100/12+(E118-1))</f>
        <v/>
      </c>
      <c r="G118" s="8">
        <f>G117*(1+F118)</f>
        <v/>
      </c>
    </row>
    <row r="119">
      <c r="A119" s="8" t="inlineStr">
        <is>
          <t>1962-08-01</t>
        </is>
      </c>
      <c r="B119" s="6" t="n">
        <v>3.71</v>
      </c>
      <c r="C119" s="6" t="n">
        <v>5.06</v>
      </c>
      <c r="D119" s="8">
        <f>-PV(B119/100,5,B118/100,1)</f>
        <v/>
      </c>
      <c r="E119" s="8">
        <f>-PV(C119/100,7,C118/100,1)</f>
        <v/>
      </c>
      <c r="F119" s="8">
        <f>$B$3*(B118/100/12+(D119-1))+$B$4*(C118/100/12+(E119-1))</f>
        <v/>
      </c>
      <c r="G119" s="8">
        <f>G118*(1+F119)</f>
        <v/>
      </c>
    </row>
    <row r="120">
      <c r="A120" s="8" t="inlineStr">
        <is>
          <t>1962-09-01</t>
        </is>
      </c>
      <c r="B120" s="6" t="n">
        <v>3.7</v>
      </c>
      <c r="C120" s="6" t="n">
        <v>5.03</v>
      </c>
      <c r="D120" s="8">
        <f>-PV(B120/100,5,B119/100,1)</f>
        <v/>
      </c>
      <c r="E120" s="8">
        <f>-PV(C120/100,7,C119/100,1)</f>
        <v/>
      </c>
      <c r="F120" s="8">
        <f>$B$3*(B119/100/12+(D120-1))+$B$4*(C119/100/12+(E120-1))</f>
        <v/>
      </c>
      <c r="G120" s="8">
        <f>G119*(1+F120)</f>
        <v/>
      </c>
    </row>
    <row r="121">
      <c r="A121" s="8" t="inlineStr">
        <is>
          <t>1962-10-01</t>
        </is>
      </c>
      <c r="B121" s="6" t="n">
        <v>3.64</v>
      </c>
      <c r="C121" s="6" t="n">
        <v>4.99</v>
      </c>
      <c r="D121" s="8">
        <f>-PV(B121/100,5,B120/100,1)</f>
        <v/>
      </c>
      <c r="E121" s="8">
        <f>-PV(C121/100,7,C120/100,1)</f>
        <v/>
      </c>
      <c r="F121" s="8">
        <f>$B$3*(B120/100/12+(D121-1))+$B$4*(C120/100/12+(E121-1))</f>
        <v/>
      </c>
      <c r="G121" s="8">
        <f>G120*(1+F121)</f>
        <v/>
      </c>
    </row>
    <row r="122">
      <c r="A122" s="8" t="inlineStr">
        <is>
          <t>1962-11-01</t>
        </is>
      </c>
      <c r="B122" s="6" t="n">
        <v>3.6</v>
      </c>
      <c r="C122" s="6" t="n">
        <v>4.96</v>
      </c>
      <c r="D122" s="8">
        <f>-PV(B122/100,5,B121/100,1)</f>
        <v/>
      </c>
      <c r="E122" s="8">
        <f>-PV(C122/100,7,C121/100,1)</f>
        <v/>
      </c>
      <c r="F122" s="8">
        <f>$B$3*(B121/100/12+(D122-1))+$B$4*(C121/100/12+(E122-1))</f>
        <v/>
      </c>
      <c r="G122" s="8">
        <f>G121*(1+F122)</f>
        <v/>
      </c>
    </row>
    <row r="123">
      <c r="A123" s="8" t="inlineStr">
        <is>
          <t>1962-12-01</t>
        </is>
      </c>
      <c r="B123" s="6" t="n">
        <v>3.56</v>
      </c>
      <c r="C123" s="6" t="n">
        <v>4.92</v>
      </c>
      <c r="D123" s="8">
        <f>-PV(B123/100,5,B122/100,1)</f>
        <v/>
      </c>
      <c r="E123" s="8">
        <f>-PV(C123/100,7,C122/100,1)</f>
        <v/>
      </c>
      <c r="F123" s="8">
        <f>$B$3*(B122/100/12+(D123-1))+$B$4*(C122/100/12+(E123-1))</f>
        <v/>
      </c>
      <c r="G123" s="8">
        <f>G122*(1+F123)</f>
        <v/>
      </c>
    </row>
    <row r="124">
      <c r="A124" s="8" t="inlineStr">
        <is>
          <t>1963-01-01</t>
        </is>
      </c>
      <c r="B124" s="6" t="n">
        <v>3.58</v>
      </c>
      <c r="C124" s="6" t="n">
        <v>4.91</v>
      </c>
      <c r="D124" s="8">
        <f>-PV(B124/100,5,B123/100,1)</f>
        <v/>
      </c>
      <c r="E124" s="8">
        <f>-PV(C124/100,7,C123/100,1)</f>
        <v/>
      </c>
      <c r="F124" s="8">
        <f>$B$3*(B123/100/12+(D124-1))+$B$4*(C123/100/12+(E124-1))</f>
        <v/>
      </c>
      <c r="G124" s="8">
        <f>G123*(1+F124)</f>
        <v/>
      </c>
    </row>
    <row r="125">
      <c r="A125" s="8" t="inlineStr">
        <is>
          <t>1963-02-01</t>
        </is>
      </c>
      <c r="B125" s="6" t="n">
        <v>3.66</v>
      </c>
      <c r="C125" s="6" t="n">
        <v>4.89</v>
      </c>
      <c r="D125" s="8">
        <f>-PV(B125/100,5,B124/100,1)</f>
        <v/>
      </c>
      <c r="E125" s="8">
        <f>-PV(C125/100,7,C124/100,1)</f>
        <v/>
      </c>
      <c r="F125" s="8">
        <f>$B$3*(B124/100/12+(D125-1))+$B$4*(C124/100/12+(E125-1))</f>
        <v/>
      </c>
      <c r="G125" s="8">
        <f>G124*(1+F125)</f>
        <v/>
      </c>
    </row>
    <row r="126">
      <c r="A126" s="8" t="inlineStr">
        <is>
          <t>1963-03-01</t>
        </is>
      </c>
      <c r="B126" s="6" t="n">
        <v>3.68</v>
      </c>
      <c r="C126" s="6" t="n">
        <v>4.88</v>
      </c>
      <c r="D126" s="8">
        <f>-PV(B126/100,5,B125/100,1)</f>
        <v/>
      </c>
      <c r="E126" s="8">
        <f>-PV(C126/100,7,C125/100,1)</f>
        <v/>
      </c>
      <c r="F126" s="8">
        <f>$B$3*(B125/100/12+(D126-1))+$B$4*(C125/100/12+(E126-1))</f>
        <v/>
      </c>
      <c r="G126" s="8">
        <f>G125*(1+F126)</f>
        <v/>
      </c>
    </row>
    <row r="127">
      <c r="A127" s="8" t="inlineStr">
        <is>
          <t>1963-04-01</t>
        </is>
      </c>
      <c r="B127" s="6" t="n">
        <v>3.74</v>
      </c>
      <c r="C127" s="6" t="n">
        <v>4.87</v>
      </c>
      <c r="D127" s="8">
        <f>-PV(B127/100,5,B126/100,1)</f>
        <v/>
      </c>
      <c r="E127" s="8">
        <f>-PV(C127/100,7,C126/100,1)</f>
        <v/>
      </c>
      <c r="F127" s="8">
        <f>$B$3*(B126/100/12+(D127-1))+$B$4*(C126/100/12+(E127-1))</f>
        <v/>
      </c>
      <c r="G127" s="8">
        <f>G126*(1+F127)</f>
        <v/>
      </c>
    </row>
    <row r="128">
      <c r="A128" s="8" t="inlineStr">
        <is>
          <t>1963-05-01</t>
        </is>
      </c>
      <c r="B128" s="6" t="n">
        <v>3.72</v>
      </c>
      <c r="C128" s="6" t="n">
        <v>4.85</v>
      </c>
      <c r="D128" s="8">
        <f>-PV(B128/100,5,B127/100,1)</f>
        <v/>
      </c>
      <c r="E128" s="8">
        <f>-PV(C128/100,7,C127/100,1)</f>
        <v/>
      </c>
      <c r="F128" s="8">
        <f>$B$3*(B127/100/12+(D128-1))+$B$4*(C127/100/12+(E128-1))</f>
        <v/>
      </c>
      <c r="G128" s="8">
        <f>G127*(1+F128)</f>
        <v/>
      </c>
    </row>
    <row r="129">
      <c r="A129" s="8" t="inlineStr">
        <is>
          <t>1963-06-01</t>
        </is>
      </c>
      <c r="B129" s="6" t="n">
        <v>3.81</v>
      </c>
      <c r="C129" s="6" t="n">
        <v>4.84</v>
      </c>
      <c r="D129" s="8">
        <f>-PV(B129/100,5,B128/100,1)</f>
        <v/>
      </c>
      <c r="E129" s="8">
        <f>-PV(C129/100,7,C128/100,1)</f>
        <v/>
      </c>
      <c r="F129" s="8">
        <f>$B$3*(B128/100/12+(D129-1))+$B$4*(C128/100/12+(E129-1))</f>
        <v/>
      </c>
      <c r="G129" s="8">
        <f>G128*(1+F129)</f>
        <v/>
      </c>
    </row>
    <row r="130">
      <c r="A130" s="8" t="inlineStr">
        <is>
          <t>1963-07-01</t>
        </is>
      </c>
      <c r="B130" s="6" t="n">
        <v>3.89</v>
      </c>
      <c r="C130" s="6" t="n">
        <v>4.84</v>
      </c>
      <c r="D130" s="8">
        <f>-PV(B130/100,5,B129/100,1)</f>
        <v/>
      </c>
      <c r="E130" s="8">
        <f>-PV(C130/100,7,C129/100,1)</f>
        <v/>
      </c>
      <c r="F130" s="8">
        <f>$B$3*(B129/100/12+(D130-1))+$B$4*(C129/100/12+(E130-1))</f>
        <v/>
      </c>
      <c r="G130" s="8">
        <f>G129*(1+F130)</f>
        <v/>
      </c>
    </row>
    <row r="131">
      <c r="A131" s="8" t="inlineStr">
        <is>
          <t>1963-08-01</t>
        </is>
      </c>
      <c r="B131" s="6" t="n">
        <v>3.89</v>
      </c>
      <c r="C131" s="6" t="n">
        <v>4.83</v>
      </c>
      <c r="D131" s="8">
        <f>-PV(B131/100,5,B130/100,1)</f>
        <v/>
      </c>
      <c r="E131" s="8">
        <f>-PV(C131/100,7,C130/100,1)</f>
        <v/>
      </c>
      <c r="F131" s="8">
        <f>$B$3*(B130/100/12+(D131-1))+$B$4*(C130/100/12+(E131-1))</f>
        <v/>
      </c>
      <c r="G131" s="8">
        <f>G130*(1+F131)</f>
        <v/>
      </c>
    </row>
    <row r="132">
      <c r="A132" s="8" t="inlineStr">
        <is>
          <t>1963-09-01</t>
        </is>
      </c>
      <c r="B132" s="6" t="n">
        <v>3.96</v>
      </c>
      <c r="C132" s="6" t="n">
        <v>4.84</v>
      </c>
      <c r="D132" s="8">
        <f>-PV(B132/100,5,B131/100,1)</f>
        <v/>
      </c>
      <c r="E132" s="8">
        <f>-PV(C132/100,7,C131/100,1)</f>
        <v/>
      </c>
      <c r="F132" s="8">
        <f>$B$3*(B131/100/12+(D132-1))+$B$4*(C131/100/12+(E132-1))</f>
        <v/>
      </c>
      <c r="G132" s="8">
        <f>G131*(1+F132)</f>
        <v/>
      </c>
    </row>
    <row r="133">
      <c r="A133" s="8" t="inlineStr">
        <is>
          <t>1963-10-01</t>
        </is>
      </c>
      <c r="B133" s="6" t="n">
        <v>3.97</v>
      </c>
      <c r="C133" s="6" t="n">
        <v>4.83</v>
      </c>
      <c r="D133" s="8">
        <f>-PV(B133/100,5,B132/100,1)</f>
        <v/>
      </c>
      <c r="E133" s="8">
        <f>-PV(C133/100,7,C132/100,1)</f>
        <v/>
      </c>
      <c r="F133" s="8">
        <f>$B$3*(B132/100/12+(D133-1))+$B$4*(C132/100/12+(E133-1))</f>
        <v/>
      </c>
      <c r="G133" s="8">
        <f>G132*(1+F133)</f>
        <v/>
      </c>
    </row>
    <row r="134">
      <c r="A134" s="8" t="inlineStr">
        <is>
          <t>1963-11-01</t>
        </is>
      </c>
      <c r="B134" s="6" t="n">
        <v>4.01</v>
      </c>
      <c r="C134" s="6" t="n">
        <v>4.84</v>
      </c>
      <c r="D134" s="8">
        <f>-PV(B134/100,5,B133/100,1)</f>
        <v/>
      </c>
      <c r="E134" s="8">
        <f>-PV(C134/100,7,C133/100,1)</f>
        <v/>
      </c>
      <c r="F134" s="8">
        <f>$B$3*(B133/100/12+(D134-1))+$B$4*(C133/100/12+(E134-1))</f>
        <v/>
      </c>
      <c r="G134" s="8">
        <f>G133*(1+F134)</f>
        <v/>
      </c>
    </row>
    <row r="135">
      <c r="A135" s="8" t="inlineStr">
        <is>
          <t>1963-12-01</t>
        </is>
      </c>
      <c r="B135" s="6" t="n">
        <v>4.04</v>
      </c>
      <c r="C135" s="6" t="n">
        <v>4.85</v>
      </c>
      <c r="D135" s="8">
        <f>-PV(B135/100,5,B134/100,1)</f>
        <v/>
      </c>
      <c r="E135" s="8">
        <f>-PV(C135/100,7,C134/100,1)</f>
        <v/>
      </c>
      <c r="F135" s="8">
        <f>$B$3*(B134/100/12+(D135-1))+$B$4*(C134/100/12+(E135-1))</f>
        <v/>
      </c>
      <c r="G135" s="8">
        <f>G134*(1+F135)</f>
        <v/>
      </c>
    </row>
    <row r="136">
      <c r="A136" s="8" t="inlineStr">
        <is>
          <t>1964-01-01</t>
        </is>
      </c>
      <c r="B136" s="6" t="n">
        <v>4.07</v>
      </c>
      <c r="C136" s="6" t="n">
        <v>4.83</v>
      </c>
      <c r="D136" s="8">
        <f>-PV(B136/100,5,B135/100,1)</f>
        <v/>
      </c>
      <c r="E136" s="8">
        <f>-PV(C136/100,7,C135/100,1)</f>
        <v/>
      </c>
      <c r="F136" s="8">
        <f>$B$3*(B135/100/12+(D136-1))+$B$4*(C135/100/12+(E136-1))</f>
        <v/>
      </c>
      <c r="G136" s="8">
        <f>G135*(1+F136)</f>
        <v/>
      </c>
    </row>
    <row r="137">
      <c r="A137" s="8" t="inlineStr">
        <is>
          <t>1964-02-01</t>
        </is>
      </c>
      <c r="B137" s="6" t="n">
        <v>4.03</v>
      </c>
      <c r="C137" s="6" t="n">
        <v>4.83</v>
      </c>
      <c r="D137" s="8">
        <f>-PV(B137/100,5,B136/100,1)</f>
        <v/>
      </c>
      <c r="E137" s="8">
        <f>-PV(C137/100,7,C136/100,1)</f>
        <v/>
      </c>
      <c r="F137" s="8">
        <f>$B$3*(B136/100/12+(D137-1))+$B$4*(C136/100/12+(E137-1))</f>
        <v/>
      </c>
      <c r="G137" s="8">
        <f>G136*(1+F137)</f>
        <v/>
      </c>
    </row>
    <row r="138">
      <c r="A138" s="8" t="inlineStr">
        <is>
          <t>1964-03-01</t>
        </is>
      </c>
      <c r="B138" s="6" t="n">
        <v>4.14</v>
      </c>
      <c r="C138" s="6" t="n">
        <v>4.83</v>
      </c>
      <c r="D138" s="8">
        <f>-PV(B138/100,5,B137/100,1)</f>
        <v/>
      </c>
      <c r="E138" s="8">
        <f>-PV(C138/100,7,C137/100,1)</f>
        <v/>
      </c>
      <c r="F138" s="8">
        <f>$B$3*(B137/100/12+(D138-1))+$B$4*(C137/100/12+(E138-1))</f>
        <v/>
      </c>
      <c r="G138" s="8">
        <f>G137*(1+F138)</f>
        <v/>
      </c>
    </row>
    <row r="139">
      <c r="A139" s="8" t="inlineStr">
        <is>
          <t>1964-04-01</t>
        </is>
      </c>
      <c r="B139" s="6" t="n">
        <v>4.15</v>
      </c>
      <c r="C139" s="6" t="n">
        <v>4.85</v>
      </c>
      <c r="D139" s="8">
        <f>-PV(B139/100,5,B138/100,1)</f>
        <v/>
      </c>
      <c r="E139" s="8">
        <f>-PV(C139/100,7,C138/100,1)</f>
        <v/>
      </c>
      <c r="F139" s="8">
        <f>$B$3*(B138/100/12+(D139-1))+$B$4*(C138/100/12+(E139-1))</f>
        <v/>
      </c>
      <c r="G139" s="8">
        <f>G138*(1+F139)</f>
        <v/>
      </c>
    </row>
    <row r="140">
      <c r="A140" s="8" t="inlineStr">
        <is>
          <t>1964-05-01</t>
        </is>
      </c>
      <c r="B140" s="6" t="n">
        <v>4.05</v>
      </c>
      <c r="C140" s="6" t="n">
        <v>4.85</v>
      </c>
      <c r="D140" s="8">
        <f>-PV(B140/100,5,B139/100,1)</f>
        <v/>
      </c>
      <c r="E140" s="8">
        <f>-PV(C140/100,7,C139/100,1)</f>
        <v/>
      </c>
      <c r="F140" s="8">
        <f>$B$3*(B139/100/12+(D140-1))+$B$4*(C139/100/12+(E140-1))</f>
        <v/>
      </c>
      <c r="G140" s="8">
        <f>G139*(1+F140)</f>
        <v/>
      </c>
    </row>
    <row r="141">
      <c r="A141" s="8" t="inlineStr">
        <is>
          <t>1964-06-01</t>
        </is>
      </c>
      <c r="B141" s="6" t="n">
        <v>4.02</v>
      </c>
      <c r="C141" s="6" t="n">
        <v>4.85</v>
      </c>
      <c r="D141" s="8">
        <f>-PV(B141/100,5,B140/100,1)</f>
        <v/>
      </c>
      <c r="E141" s="8">
        <f>-PV(C141/100,7,C140/100,1)</f>
        <v/>
      </c>
      <c r="F141" s="8">
        <f>$B$3*(B140/100/12+(D141-1))+$B$4*(C140/100/12+(E141-1))</f>
        <v/>
      </c>
      <c r="G141" s="8">
        <f>G140*(1+F141)</f>
        <v/>
      </c>
    </row>
    <row r="142">
      <c r="A142" s="8" t="inlineStr">
        <is>
          <t>1964-07-01</t>
        </is>
      </c>
      <c r="B142" s="6" t="n">
        <v>4.03</v>
      </c>
      <c r="C142" s="6" t="n">
        <v>4.83</v>
      </c>
      <c r="D142" s="8">
        <f>-PV(B142/100,5,B141/100,1)</f>
        <v/>
      </c>
      <c r="E142" s="8">
        <f>-PV(C142/100,7,C141/100,1)</f>
        <v/>
      </c>
      <c r="F142" s="8">
        <f>$B$3*(B141/100/12+(D142-1))+$B$4*(C141/100/12+(E142-1))</f>
        <v/>
      </c>
      <c r="G142" s="8">
        <f>G141*(1+F142)</f>
        <v/>
      </c>
    </row>
    <row r="143">
      <c r="A143" s="8" t="inlineStr">
        <is>
          <t>1964-08-01</t>
        </is>
      </c>
      <c r="B143" s="6" t="n">
        <v>4.05</v>
      </c>
      <c r="C143" s="6" t="n">
        <v>4.82</v>
      </c>
      <c r="D143" s="8">
        <f>-PV(B143/100,5,B142/100,1)</f>
        <v/>
      </c>
      <c r="E143" s="8">
        <f>-PV(C143/100,7,C142/100,1)</f>
        <v/>
      </c>
      <c r="F143" s="8">
        <f>$B$3*(B142/100/12+(D143-1))+$B$4*(C142/100/12+(E143-1))</f>
        <v/>
      </c>
      <c r="G143" s="8">
        <f>G142*(1+F143)</f>
        <v/>
      </c>
    </row>
    <row r="144">
      <c r="A144" s="8" t="inlineStr">
        <is>
          <t>1964-09-01</t>
        </is>
      </c>
      <c r="B144" s="6" t="n">
        <v>4.08</v>
      </c>
      <c r="C144" s="6" t="n">
        <v>4.82</v>
      </c>
      <c r="D144" s="8">
        <f>-PV(B144/100,5,B143/100,1)</f>
        <v/>
      </c>
      <c r="E144" s="8">
        <f>-PV(C144/100,7,C143/100,1)</f>
        <v/>
      </c>
      <c r="F144" s="8">
        <f>$B$3*(B143/100/12+(D144-1))+$B$4*(C143/100/12+(E144-1))</f>
        <v/>
      </c>
      <c r="G144" s="8">
        <f>G143*(1+F144)</f>
        <v/>
      </c>
    </row>
    <row r="145">
      <c r="A145" s="8" t="inlineStr">
        <is>
          <t>1964-10-01</t>
        </is>
      </c>
      <c r="B145" s="6" t="n">
        <v>4.07</v>
      </c>
      <c r="C145" s="6" t="n">
        <v>4.81</v>
      </c>
      <c r="D145" s="8">
        <f>-PV(B145/100,5,B144/100,1)</f>
        <v/>
      </c>
      <c r="E145" s="8">
        <f>-PV(C145/100,7,C144/100,1)</f>
        <v/>
      </c>
      <c r="F145" s="8">
        <f>$B$3*(B144/100/12+(D145-1))+$B$4*(C144/100/12+(E145-1))</f>
        <v/>
      </c>
      <c r="G145" s="8">
        <f>G144*(1+F145)</f>
        <v/>
      </c>
    </row>
    <row r="146">
      <c r="A146" s="8" t="inlineStr">
        <is>
          <t>1964-11-01</t>
        </is>
      </c>
      <c r="B146" s="6" t="n">
        <v>4.04</v>
      </c>
      <c r="C146" s="6" t="n">
        <v>4.81</v>
      </c>
      <c r="D146" s="8">
        <f>-PV(B146/100,5,B145/100,1)</f>
        <v/>
      </c>
      <c r="E146" s="8">
        <f>-PV(C146/100,7,C145/100,1)</f>
        <v/>
      </c>
      <c r="F146" s="8">
        <f>$B$3*(B145/100/12+(D146-1))+$B$4*(C145/100/12+(E146-1))</f>
        <v/>
      </c>
      <c r="G146" s="8">
        <f>G145*(1+F146)</f>
        <v/>
      </c>
    </row>
    <row r="147">
      <c r="A147" s="8" t="inlineStr">
        <is>
          <t>1964-12-01</t>
        </is>
      </c>
      <c r="B147" s="6" t="n">
        <v>4.09</v>
      </c>
      <c r="C147" s="6" t="n">
        <v>4.81</v>
      </c>
      <c r="D147" s="8">
        <f>-PV(B147/100,5,B146/100,1)</f>
        <v/>
      </c>
      <c r="E147" s="8">
        <f>-PV(C147/100,7,C146/100,1)</f>
        <v/>
      </c>
      <c r="F147" s="8">
        <f>$B$3*(B146/100/12+(D147-1))+$B$4*(C146/100/12+(E147-1))</f>
        <v/>
      </c>
      <c r="G147" s="8">
        <f>G146*(1+F147)</f>
        <v/>
      </c>
    </row>
    <row r="148">
      <c r="A148" s="8" t="inlineStr">
        <is>
          <t>1965-01-01</t>
        </is>
      </c>
      <c r="B148" s="6" t="n">
        <v>4.1</v>
      </c>
      <c r="C148" s="6" t="n">
        <v>4.8</v>
      </c>
      <c r="D148" s="8">
        <f>-PV(B148/100,5,B147/100,1)</f>
        <v/>
      </c>
      <c r="E148" s="8">
        <f>-PV(C148/100,7,C147/100,1)</f>
        <v/>
      </c>
      <c r="F148" s="8">
        <f>$B$3*(B147/100/12+(D148-1))+$B$4*(C147/100/12+(E148-1))</f>
        <v/>
      </c>
      <c r="G148" s="8">
        <f>G147*(1+F148)</f>
        <v/>
      </c>
    </row>
    <row r="149">
      <c r="A149" s="8" t="inlineStr">
        <is>
          <t>1965-02-01</t>
        </is>
      </c>
      <c r="B149" s="6" t="n">
        <v>4.15</v>
      </c>
      <c r="C149" s="6" t="n">
        <v>4.78</v>
      </c>
      <c r="D149" s="8">
        <f>-PV(B149/100,5,B148/100,1)</f>
        <v/>
      </c>
      <c r="E149" s="8">
        <f>-PV(C149/100,7,C148/100,1)</f>
        <v/>
      </c>
      <c r="F149" s="8">
        <f>$B$3*(B148/100/12+(D149-1))+$B$4*(C148/100/12+(E149-1))</f>
        <v/>
      </c>
      <c r="G149" s="8">
        <f>G148*(1+F149)</f>
        <v/>
      </c>
    </row>
    <row r="150">
      <c r="A150" s="8" t="inlineStr">
        <is>
          <t>1965-03-01</t>
        </is>
      </c>
      <c r="B150" s="6" t="n">
        <v>4.15</v>
      </c>
      <c r="C150" s="6" t="n">
        <v>4.78</v>
      </c>
      <c r="D150" s="8">
        <f>-PV(B150/100,5,B149/100,1)</f>
        <v/>
      </c>
      <c r="E150" s="8">
        <f>-PV(C150/100,7,C149/100,1)</f>
        <v/>
      </c>
      <c r="F150" s="8">
        <f>$B$3*(B149/100/12+(D150-1))+$B$4*(C149/100/12+(E150-1))</f>
        <v/>
      </c>
      <c r="G150" s="8">
        <f>G149*(1+F150)</f>
        <v/>
      </c>
    </row>
    <row r="151">
      <c r="A151" s="8" t="inlineStr">
        <is>
          <t>1965-04-01</t>
        </is>
      </c>
      <c r="B151" s="6" t="n">
        <v>4.15</v>
      </c>
      <c r="C151" s="6" t="n">
        <v>4.8</v>
      </c>
      <c r="D151" s="8">
        <f>-PV(B151/100,5,B150/100,1)</f>
        <v/>
      </c>
      <c r="E151" s="8">
        <f>-PV(C151/100,7,C150/100,1)</f>
        <v/>
      </c>
      <c r="F151" s="8">
        <f>$B$3*(B150/100/12+(D151-1))+$B$4*(C150/100/12+(E151-1))</f>
        <v/>
      </c>
      <c r="G151" s="8">
        <f>G150*(1+F151)</f>
        <v/>
      </c>
    </row>
    <row r="152">
      <c r="A152" s="8" t="inlineStr">
        <is>
          <t>1965-05-01</t>
        </is>
      </c>
      <c r="B152" s="6" t="n">
        <v>4.15</v>
      </c>
      <c r="C152" s="6" t="n">
        <v>4.81</v>
      </c>
      <c r="D152" s="8">
        <f>-PV(B152/100,5,B151/100,1)</f>
        <v/>
      </c>
      <c r="E152" s="8">
        <f>-PV(C152/100,7,C151/100,1)</f>
        <v/>
      </c>
      <c r="F152" s="8">
        <f>$B$3*(B151/100/12+(D152-1))+$B$4*(C151/100/12+(E152-1))</f>
        <v/>
      </c>
      <c r="G152" s="8">
        <f>G151*(1+F152)</f>
        <v/>
      </c>
    </row>
    <row r="153">
      <c r="A153" s="8" t="inlineStr">
        <is>
          <t>1965-06-01</t>
        </is>
      </c>
      <c r="B153" s="6" t="n">
        <v>4.15</v>
      </c>
      <c r="C153" s="6" t="n">
        <v>4.85</v>
      </c>
      <c r="D153" s="8">
        <f>-PV(B153/100,5,B152/100,1)</f>
        <v/>
      </c>
      <c r="E153" s="8">
        <f>-PV(C153/100,7,C152/100,1)</f>
        <v/>
      </c>
      <c r="F153" s="8">
        <f>$B$3*(B152/100/12+(D153-1))+$B$4*(C152/100/12+(E153-1))</f>
        <v/>
      </c>
      <c r="G153" s="8">
        <f>G152*(1+F153)</f>
        <v/>
      </c>
    </row>
    <row r="154">
      <c r="A154" s="8" t="inlineStr">
        <is>
          <t>1965-07-01</t>
        </is>
      </c>
      <c r="B154" s="6" t="n">
        <v>4.15</v>
      </c>
      <c r="C154" s="6" t="n">
        <v>4.88</v>
      </c>
      <c r="D154" s="8">
        <f>-PV(B154/100,5,B153/100,1)</f>
        <v/>
      </c>
      <c r="E154" s="8">
        <f>-PV(C154/100,7,C153/100,1)</f>
        <v/>
      </c>
      <c r="F154" s="8">
        <f>$B$3*(B153/100/12+(D154-1))+$B$4*(C153/100/12+(E154-1))</f>
        <v/>
      </c>
      <c r="G154" s="8">
        <f>G153*(1+F154)</f>
        <v/>
      </c>
    </row>
    <row r="155">
      <c r="A155" s="8" t="inlineStr">
        <is>
          <t>1965-08-01</t>
        </is>
      </c>
      <c r="B155" s="6" t="n">
        <v>4.2</v>
      </c>
      <c r="C155" s="6" t="n">
        <v>4.88</v>
      </c>
      <c r="D155" s="8">
        <f>-PV(B155/100,5,B154/100,1)</f>
        <v/>
      </c>
      <c r="E155" s="8">
        <f>-PV(C155/100,7,C154/100,1)</f>
        <v/>
      </c>
      <c r="F155" s="8">
        <f>$B$3*(B154/100/12+(D155-1))+$B$4*(C154/100/12+(E155-1))</f>
        <v/>
      </c>
      <c r="G155" s="8">
        <f>G154*(1+F155)</f>
        <v/>
      </c>
    </row>
    <row r="156">
      <c r="A156" s="8" t="inlineStr">
        <is>
          <t>1965-09-01</t>
        </is>
      </c>
      <c r="B156" s="6" t="n">
        <v>4.25</v>
      </c>
      <c r="C156" s="6" t="n">
        <v>4.91</v>
      </c>
      <c r="D156" s="8">
        <f>-PV(B156/100,5,B155/100,1)</f>
        <v/>
      </c>
      <c r="E156" s="8">
        <f>-PV(C156/100,7,C155/100,1)</f>
        <v/>
      </c>
      <c r="F156" s="8">
        <f>$B$3*(B155/100/12+(D156-1))+$B$4*(C155/100/12+(E156-1))</f>
        <v/>
      </c>
      <c r="G156" s="8">
        <f>G155*(1+F156)</f>
        <v/>
      </c>
    </row>
    <row r="157">
      <c r="A157" s="8" t="inlineStr">
        <is>
          <t>1965-10-01</t>
        </is>
      </c>
      <c r="B157" s="6" t="n">
        <v>4.34</v>
      </c>
      <c r="C157" s="6" t="n">
        <v>4.93</v>
      </c>
      <c r="D157" s="8">
        <f>-PV(B157/100,5,B156/100,1)</f>
        <v/>
      </c>
      <c r="E157" s="8">
        <f>-PV(C157/100,7,C156/100,1)</f>
        <v/>
      </c>
      <c r="F157" s="8">
        <f>$B$3*(B156/100/12+(D157-1))+$B$4*(C156/100/12+(E157-1))</f>
        <v/>
      </c>
      <c r="G157" s="8">
        <f>G156*(1+F157)</f>
        <v/>
      </c>
    </row>
    <row r="158">
      <c r="A158" s="8" t="inlineStr">
        <is>
          <t>1965-11-01</t>
        </is>
      </c>
      <c r="B158" s="6" t="n">
        <v>4.46</v>
      </c>
      <c r="C158" s="6" t="n">
        <v>4.95</v>
      </c>
      <c r="D158" s="8">
        <f>-PV(B158/100,5,B157/100,1)</f>
        <v/>
      </c>
      <c r="E158" s="8">
        <f>-PV(C158/100,7,C157/100,1)</f>
        <v/>
      </c>
      <c r="F158" s="8">
        <f>$B$3*(B157/100/12+(D158-1))+$B$4*(C157/100/12+(E158-1))</f>
        <v/>
      </c>
      <c r="G158" s="8">
        <f>G157*(1+F158)</f>
        <v/>
      </c>
    </row>
    <row r="159">
      <c r="A159" s="8" t="inlineStr">
        <is>
          <t>1965-12-01</t>
        </is>
      </c>
      <c r="B159" s="6" t="n">
        <v>4.72</v>
      </c>
      <c r="C159" s="6" t="n">
        <v>5.02</v>
      </c>
      <c r="D159" s="8">
        <f>-PV(B159/100,5,B158/100,1)</f>
        <v/>
      </c>
      <c r="E159" s="8">
        <f>-PV(C159/100,7,C158/100,1)</f>
        <v/>
      </c>
      <c r="F159" s="8">
        <f>$B$3*(B158/100/12+(D159-1))+$B$4*(C158/100/12+(E159-1))</f>
        <v/>
      </c>
      <c r="G159" s="8">
        <f>G158*(1+F159)</f>
        <v/>
      </c>
    </row>
    <row r="160">
      <c r="A160" s="8" t="inlineStr">
        <is>
          <t>1966-01-01</t>
        </is>
      </c>
      <c r="B160" s="6" t="n">
        <v>4.86</v>
      </c>
      <c r="C160" s="6" t="n">
        <v>5.06</v>
      </c>
      <c r="D160" s="8">
        <f>-PV(B160/100,5,B159/100,1)</f>
        <v/>
      </c>
      <c r="E160" s="8">
        <f>-PV(C160/100,7,C159/100,1)</f>
        <v/>
      </c>
      <c r="F160" s="8">
        <f>$B$3*(B159/100/12+(D160-1))+$B$4*(C159/100/12+(E160-1))</f>
        <v/>
      </c>
      <c r="G160" s="8">
        <f>G159*(1+F160)</f>
        <v/>
      </c>
    </row>
    <row r="161">
      <c r="A161" s="8" t="inlineStr">
        <is>
          <t>1966-02-01</t>
        </is>
      </c>
      <c r="B161" s="6" t="n">
        <v>4.98</v>
      </c>
      <c r="C161" s="6" t="n">
        <v>5.12</v>
      </c>
      <c r="D161" s="8">
        <f>-PV(B161/100,5,B160/100,1)</f>
        <v/>
      </c>
      <c r="E161" s="8">
        <f>-PV(C161/100,7,C160/100,1)</f>
        <v/>
      </c>
      <c r="F161" s="8">
        <f>$B$3*(B160/100/12+(D161-1))+$B$4*(C160/100/12+(E161-1))</f>
        <v/>
      </c>
      <c r="G161" s="8">
        <f>G160*(1+F161)</f>
        <v/>
      </c>
    </row>
    <row r="162">
      <c r="A162" s="8" t="inlineStr">
        <is>
          <t>1966-03-01</t>
        </is>
      </c>
      <c r="B162" s="6" t="n">
        <v>4.92</v>
      </c>
      <c r="C162" s="6" t="n">
        <v>5.32</v>
      </c>
      <c r="D162" s="8">
        <f>-PV(B162/100,5,B161/100,1)</f>
        <v/>
      </c>
      <c r="E162" s="8">
        <f>-PV(C162/100,7,C161/100,1)</f>
        <v/>
      </c>
      <c r="F162" s="8">
        <f>$B$3*(B161/100/12+(D162-1))+$B$4*(C161/100/12+(E162-1))</f>
        <v/>
      </c>
      <c r="G162" s="8">
        <f>G161*(1+F162)</f>
        <v/>
      </c>
    </row>
    <row r="163">
      <c r="A163" s="8" t="inlineStr">
        <is>
          <t>1966-04-01</t>
        </is>
      </c>
      <c r="B163" s="6" t="n">
        <v>4.83</v>
      </c>
      <c r="C163" s="6" t="n">
        <v>5.41</v>
      </c>
      <c r="D163" s="8">
        <f>-PV(B163/100,5,B162/100,1)</f>
        <v/>
      </c>
      <c r="E163" s="8">
        <f>-PV(C163/100,7,C162/100,1)</f>
        <v/>
      </c>
      <c r="F163" s="8">
        <f>$B$3*(B162/100/12+(D163-1))+$B$4*(C162/100/12+(E163-1))</f>
        <v/>
      </c>
      <c r="G163" s="8">
        <f>G162*(1+F163)</f>
        <v/>
      </c>
    </row>
    <row r="164">
      <c r="A164" s="8" t="inlineStr">
        <is>
          <t>1966-05-01</t>
        </is>
      </c>
      <c r="B164" s="6" t="n">
        <v>4.89</v>
      </c>
      <c r="C164" s="6" t="n">
        <v>5.48</v>
      </c>
      <c r="D164" s="8">
        <f>-PV(B164/100,5,B163/100,1)</f>
        <v/>
      </c>
      <c r="E164" s="8">
        <f>-PV(C164/100,7,C163/100,1)</f>
        <v/>
      </c>
      <c r="F164" s="8">
        <f>$B$3*(B163/100/12+(D164-1))+$B$4*(C163/100/12+(E164-1))</f>
        <v/>
      </c>
      <c r="G164" s="8">
        <f>G163*(1+F164)</f>
        <v/>
      </c>
    </row>
    <row r="165">
      <c r="A165" s="8" t="inlineStr">
        <is>
          <t>1966-06-01</t>
        </is>
      </c>
      <c r="B165" s="6" t="n">
        <v>4.97</v>
      </c>
      <c r="C165" s="6" t="n">
        <v>5.58</v>
      </c>
      <c r="D165" s="8">
        <f>-PV(B165/100,5,B164/100,1)</f>
        <v/>
      </c>
      <c r="E165" s="8">
        <f>-PV(C165/100,7,C164/100,1)</f>
        <v/>
      </c>
      <c r="F165" s="8">
        <f>$B$3*(B164/100/12+(D165-1))+$B$4*(C164/100/12+(E165-1))</f>
        <v/>
      </c>
      <c r="G165" s="8">
        <f>G164*(1+F165)</f>
        <v/>
      </c>
    </row>
    <row r="166">
      <c r="A166" s="8" t="inlineStr">
        <is>
          <t>1966-07-01</t>
        </is>
      </c>
      <c r="B166" s="6" t="n">
        <v>5.17</v>
      </c>
      <c r="C166" s="6" t="n">
        <v>5.68</v>
      </c>
      <c r="D166" s="8">
        <f>-PV(B166/100,5,B165/100,1)</f>
        <v/>
      </c>
      <c r="E166" s="8">
        <f>-PV(C166/100,7,C165/100,1)</f>
        <v/>
      </c>
      <c r="F166" s="8">
        <f>$B$3*(B165/100/12+(D166-1))+$B$4*(C165/100/12+(E166-1))</f>
        <v/>
      </c>
      <c r="G166" s="8">
        <f>G165*(1+F166)</f>
        <v/>
      </c>
    </row>
    <row r="167">
      <c r="A167" s="8" t="inlineStr">
        <is>
          <t>1966-08-01</t>
        </is>
      </c>
      <c r="B167" s="6" t="n">
        <v>5.5</v>
      </c>
      <c r="C167" s="6" t="n">
        <v>5.83</v>
      </c>
      <c r="D167" s="8">
        <f>-PV(B167/100,5,B166/100,1)</f>
        <v/>
      </c>
      <c r="E167" s="8">
        <f>-PV(C167/100,7,C166/100,1)</f>
        <v/>
      </c>
      <c r="F167" s="8">
        <f>$B$3*(B166/100/12+(D167-1))+$B$4*(C166/100/12+(E167-1))</f>
        <v/>
      </c>
      <c r="G167" s="8">
        <f>G166*(1+F167)</f>
        <v/>
      </c>
    </row>
    <row r="168">
      <c r="A168" s="8" t="inlineStr">
        <is>
          <t>1966-09-01</t>
        </is>
      </c>
      <c r="B168" s="6" t="n">
        <v>5.5</v>
      </c>
      <c r="C168" s="6" t="n">
        <v>6.09</v>
      </c>
      <c r="D168" s="8">
        <f>-PV(B168/100,5,B167/100,1)</f>
        <v/>
      </c>
      <c r="E168" s="8">
        <f>-PV(C168/100,7,C167/100,1)</f>
        <v/>
      </c>
      <c r="F168" s="8">
        <f>$B$3*(B167/100/12+(D168-1))+$B$4*(C167/100/12+(E168-1))</f>
        <v/>
      </c>
      <c r="G168" s="8">
        <f>G167*(1+F168)</f>
        <v/>
      </c>
    </row>
    <row r="169">
      <c r="A169" s="8" t="inlineStr">
        <is>
          <t>1966-10-01</t>
        </is>
      </c>
      <c r="B169" s="6" t="n">
        <v>5.27</v>
      </c>
      <c r="C169" s="6" t="n">
        <v>6.1</v>
      </c>
      <c r="D169" s="8">
        <f>-PV(B169/100,5,B168/100,1)</f>
        <v/>
      </c>
      <c r="E169" s="8">
        <f>-PV(C169/100,7,C168/100,1)</f>
        <v/>
      </c>
      <c r="F169" s="8">
        <f>$B$3*(B168/100/12+(D169-1))+$B$4*(C168/100/12+(E169-1))</f>
        <v/>
      </c>
      <c r="G169" s="8">
        <f>G168*(1+F169)</f>
        <v/>
      </c>
    </row>
    <row r="170">
      <c r="A170" s="8" t="inlineStr">
        <is>
          <t>1966-11-01</t>
        </is>
      </c>
      <c r="B170" s="6" t="n">
        <v>5.36</v>
      </c>
      <c r="C170" s="6" t="n">
        <v>6.13</v>
      </c>
      <c r="D170" s="8">
        <f>-PV(B170/100,5,B169/100,1)</f>
        <v/>
      </c>
      <c r="E170" s="8">
        <f>-PV(C170/100,7,C169/100,1)</f>
        <v/>
      </c>
      <c r="F170" s="8">
        <f>$B$3*(B169/100/12+(D170-1))+$B$4*(C169/100/12+(E170-1))</f>
        <v/>
      </c>
      <c r="G170" s="8">
        <f>G169*(1+F170)</f>
        <v/>
      </c>
    </row>
    <row r="171">
      <c r="A171" s="8" t="inlineStr">
        <is>
          <t>1966-12-01</t>
        </is>
      </c>
      <c r="B171" s="6" t="n">
        <v>5</v>
      </c>
      <c r="C171" s="6" t="n">
        <v>6.18</v>
      </c>
      <c r="D171" s="8">
        <f>-PV(B171/100,5,B170/100,1)</f>
        <v/>
      </c>
      <c r="E171" s="8">
        <f>-PV(C171/100,7,C170/100,1)</f>
        <v/>
      </c>
      <c r="F171" s="8">
        <f>$B$3*(B170/100/12+(D171-1))+$B$4*(C170/100/12+(E171-1))</f>
        <v/>
      </c>
      <c r="G171" s="8">
        <f>G170*(1+F171)</f>
        <v/>
      </c>
    </row>
    <row r="172">
      <c r="A172" s="8" t="inlineStr">
        <is>
          <t>1967-01-01</t>
        </is>
      </c>
      <c r="B172" s="6" t="n">
        <v>4.7</v>
      </c>
      <c r="C172" s="6" t="n">
        <v>5.97</v>
      </c>
      <c r="D172" s="8">
        <f>-PV(B172/100,5,B171/100,1)</f>
        <v/>
      </c>
      <c r="E172" s="8">
        <f>-PV(C172/100,7,C171/100,1)</f>
        <v/>
      </c>
      <c r="F172" s="8">
        <f>$B$3*(B171/100/12+(D172-1))+$B$4*(C171/100/12+(E172-1))</f>
        <v/>
      </c>
      <c r="G172" s="8">
        <f>G171*(1+F172)</f>
        <v/>
      </c>
    </row>
    <row r="173">
      <c r="A173" s="8" t="inlineStr">
        <is>
          <t>1967-02-01</t>
        </is>
      </c>
      <c r="B173" s="6" t="n">
        <v>4.74</v>
      </c>
      <c r="C173" s="6" t="n">
        <v>5.82</v>
      </c>
      <c r="D173" s="8">
        <f>-PV(B173/100,5,B172/100,1)</f>
        <v/>
      </c>
      <c r="E173" s="8">
        <f>-PV(C173/100,7,C172/100,1)</f>
        <v/>
      </c>
      <c r="F173" s="8">
        <f>$B$3*(B172/100/12+(D173-1))+$B$4*(C172/100/12+(E173-1))</f>
        <v/>
      </c>
      <c r="G173" s="8">
        <f>G172*(1+F173)</f>
        <v/>
      </c>
    </row>
    <row r="174">
      <c r="A174" s="8" t="inlineStr">
        <is>
          <t>1967-03-01</t>
        </is>
      </c>
      <c r="B174" s="6" t="n">
        <v>4.54</v>
      </c>
      <c r="C174" s="6" t="n">
        <v>5.85</v>
      </c>
      <c r="D174" s="8">
        <f>-PV(B174/100,5,B173/100,1)</f>
        <v/>
      </c>
      <c r="E174" s="8">
        <f>-PV(C174/100,7,C173/100,1)</f>
        <v/>
      </c>
      <c r="F174" s="8">
        <f>$B$3*(B173/100/12+(D174-1))+$B$4*(C173/100/12+(E174-1))</f>
        <v/>
      </c>
      <c r="G174" s="8">
        <f>G173*(1+F174)</f>
        <v/>
      </c>
    </row>
    <row r="175">
      <c r="A175" s="8" t="inlineStr">
        <is>
          <t>1967-04-01</t>
        </is>
      </c>
      <c r="B175" s="6" t="n">
        <v>4.51</v>
      </c>
      <c r="C175" s="6" t="n">
        <v>5.83</v>
      </c>
      <c r="D175" s="8">
        <f>-PV(B175/100,5,B174/100,1)</f>
        <v/>
      </c>
      <c r="E175" s="8">
        <f>-PV(C175/100,7,C174/100,1)</f>
        <v/>
      </c>
      <c r="F175" s="8">
        <f>$B$3*(B174/100/12+(D175-1))+$B$4*(C174/100/12+(E175-1))</f>
        <v/>
      </c>
      <c r="G175" s="8">
        <f>G174*(1+F175)</f>
        <v/>
      </c>
    </row>
    <row r="176">
      <c r="A176" s="8" t="inlineStr">
        <is>
          <t>1967-05-01</t>
        </is>
      </c>
      <c r="B176" s="6" t="n">
        <v>4.75</v>
      </c>
      <c r="C176" s="6" t="n">
        <v>5.96</v>
      </c>
      <c r="D176" s="8">
        <f>-PV(B176/100,5,B175/100,1)</f>
        <v/>
      </c>
      <c r="E176" s="8">
        <f>-PV(C176/100,7,C175/100,1)</f>
        <v/>
      </c>
      <c r="F176" s="8">
        <f>$B$3*(B175/100/12+(D176-1))+$B$4*(C175/100/12+(E176-1))</f>
        <v/>
      </c>
      <c r="G176" s="8">
        <f>G175*(1+F176)</f>
        <v/>
      </c>
    </row>
    <row r="177">
      <c r="A177" s="8" t="inlineStr">
        <is>
          <t>1967-06-01</t>
        </is>
      </c>
      <c r="B177" s="6" t="n">
        <v>5.01</v>
      </c>
      <c r="C177" s="6" t="n">
        <v>6.15</v>
      </c>
      <c r="D177" s="8">
        <f>-PV(B177/100,5,B176/100,1)</f>
        <v/>
      </c>
      <c r="E177" s="8">
        <f>-PV(C177/100,7,C176/100,1)</f>
        <v/>
      </c>
      <c r="F177" s="8">
        <f>$B$3*(B176/100/12+(D177-1))+$B$4*(C176/100/12+(E177-1))</f>
        <v/>
      </c>
      <c r="G177" s="8">
        <f>G176*(1+F177)</f>
        <v/>
      </c>
    </row>
    <row r="178">
      <c r="A178" s="8" t="inlineStr">
        <is>
          <t>1967-07-01</t>
        </is>
      </c>
      <c r="B178" s="6" t="n">
        <v>5.23</v>
      </c>
      <c r="C178" s="6" t="n">
        <v>6.26</v>
      </c>
      <c r="D178" s="8">
        <f>-PV(B178/100,5,B177/100,1)</f>
        <v/>
      </c>
      <c r="E178" s="8">
        <f>-PV(C178/100,7,C177/100,1)</f>
        <v/>
      </c>
      <c r="F178" s="8">
        <f>$B$3*(B177/100/12+(D178-1))+$B$4*(C177/100/12+(E178-1))</f>
        <v/>
      </c>
      <c r="G178" s="8">
        <f>G177*(1+F178)</f>
        <v/>
      </c>
    </row>
    <row r="179">
      <c r="A179" s="8" t="inlineStr">
        <is>
          <t>1967-08-01</t>
        </is>
      </c>
      <c r="B179" s="6" t="n">
        <v>5.31</v>
      </c>
      <c r="C179" s="6" t="n">
        <v>6.33</v>
      </c>
      <c r="D179" s="8">
        <f>-PV(B179/100,5,B178/100,1)</f>
        <v/>
      </c>
      <c r="E179" s="8">
        <f>-PV(C179/100,7,C178/100,1)</f>
        <v/>
      </c>
      <c r="F179" s="8">
        <f>$B$3*(B178/100/12+(D179-1))+$B$4*(C178/100/12+(E179-1))</f>
        <v/>
      </c>
      <c r="G179" s="8">
        <f>G178*(1+F179)</f>
        <v/>
      </c>
    </row>
    <row r="180">
      <c r="A180" s="8" t="inlineStr">
        <is>
          <t>1967-09-01</t>
        </is>
      </c>
      <c r="B180" s="6" t="n">
        <v>5.4</v>
      </c>
      <c r="C180" s="6" t="n">
        <v>6.4</v>
      </c>
      <c r="D180" s="8">
        <f>-PV(B180/100,5,B179/100,1)</f>
        <v/>
      </c>
      <c r="E180" s="8">
        <f>-PV(C180/100,7,C179/100,1)</f>
        <v/>
      </c>
      <c r="F180" s="8">
        <f>$B$3*(B179/100/12+(D180-1))+$B$4*(C179/100/12+(E180-1))</f>
        <v/>
      </c>
      <c r="G180" s="8">
        <f>G179*(1+F180)</f>
        <v/>
      </c>
    </row>
    <row r="181">
      <c r="A181" s="8" t="inlineStr">
        <is>
          <t>1967-10-01</t>
        </is>
      </c>
      <c r="B181" s="6" t="n">
        <v>5.57</v>
      </c>
      <c r="C181" s="6" t="n">
        <v>6.52</v>
      </c>
      <c r="D181" s="8">
        <f>-PV(B181/100,5,B180/100,1)</f>
        <v/>
      </c>
      <c r="E181" s="8">
        <f>-PV(C181/100,7,C180/100,1)</f>
        <v/>
      </c>
      <c r="F181" s="8">
        <f>$B$3*(B180/100/12+(D181-1))+$B$4*(C180/100/12+(E181-1))</f>
        <v/>
      </c>
      <c r="G181" s="8">
        <f>G180*(1+F181)</f>
        <v/>
      </c>
    </row>
    <row r="182">
      <c r="A182" s="8" t="inlineStr">
        <is>
          <t>1967-11-01</t>
        </is>
      </c>
      <c r="B182" s="6" t="n">
        <v>5.78</v>
      </c>
      <c r="C182" s="6" t="n">
        <v>6.72</v>
      </c>
      <c r="D182" s="8">
        <f>-PV(B182/100,5,B181/100,1)</f>
        <v/>
      </c>
      <c r="E182" s="8">
        <f>-PV(C182/100,7,C181/100,1)</f>
        <v/>
      </c>
      <c r="F182" s="8">
        <f>$B$3*(B181/100/12+(D182-1))+$B$4*(C181/100/12+(E182-1))</f>
        <v/>
      </c>
      <c r="G182" s="8">
        <f>G181*(1+F182)</f>
        <v/>
      </c>
    </row>
    <row r="183">
      <c r="A183" s="8" t="inlineStr">
        <is>
          <t>1967-12-01</t>
        </is>
      </c>
      <c r="B183" s="6" t="n">
        <v>5.75</v>
      </c>
      <c r="C183" s="6" t="n">
        <v>6.93</v>
      </c>
      <c r="D183" s="8">
        <f>-PV(B183/100,5,B182/100,1)</f>
        <v/>
      </c>
      <c r="E183" s="8">
        <f>-PV(C183/100,7,C182/100,1)</f>
        <v/>
      </c>
      <c r="F183" s="8">
        <f>$B$3*(B182/100/12+(D183-1))+$B$4*(C182/100/12+(E183-1))</f>
        <v/>
      </c>
      <c r="G183" s="8">
        <f>G182*(1+F183)</f>
        <v/>
      </c>
    </row>
    <row r="184">
      <c r="A184" s="8" t="inlineStr">
        <is>
          <t>1968-01-01</t>
        </is>
      </c>
      <c r="B184" s="6" t="n">
        <v>5.54</v>
      </c>
      <c r="C184" s="6" t="n">
        <v>6.84</v>
      </c>
      <c r="D184" s="8">
        <f>-PV(B184/100,5,B183/100,1)</f>
        <v/>
      </c>
      <c r="E184" s="8">
        <f>-PV(C184/100,7,C183/100,1)</f>
        <v/>
      </c>
      <c r="F184" s="8">
        <f>$B$3*(B183/100/12+(D184-1))+$B$4*(C183/100/12+(E184-1))</f>
        <v/>
      </c>
      <c r="G184" s="8">
        <f>G183*(1+F184)</f>
        <v/>
      </c>
    </row>
    <row r="185">
      <c r="A185" s="8" t="inlineStr">
        <is>
          <t>1968-02-01</t>
        </is>
      </c>
      <c r="B185" s="6" t="n">
        <v>5.59</v>
      </c>
      <c r="C185" s="6" t="n">
        <v>6.8</v>
      </c>
      <c r="D185" s="8">
        <f>-PV(B185/100,5,B184/100,1)</f>
        <v/>
      </c>
      <c r="E185" s="8">
        <f>-PV(C185/100,7,C184/100,1)</f>
        <v/>
      </c>
      <c r="F185" s="8">
        <f>$B$3*(B184/100/12+(D185-1))+$B$4*(C184/100/12+(E185-1))</f>
        <v/>
      </c>
      <c r="G185" s="8">
        <f>G184*(1+F185)</f>
        <v/>
      </c>
    </row>
    <row r="186">
      <c r="A186" s="8" t="inlineStr">
        <is>
          <t>1968-03-01</t>
        </is>
      </c>
      <c r="B186" s="6" t="n">
        <v>5.76</v>
      </c>
      <c r="C186" s="6" t="n">
        <v>6.85</v>
      </c>
      <c r="D186" s="8">
        <f>-PV(B186/100,5,B185/100,1)</f>
        <v/>
      </c>
      <c r="E186" s="8">
        <f>-PV(C186/100,7,C185/100,1)</f>
        <v/>
      </c>
      <c r="F186" s="8">
        <f>$B$3*(B185/100/12+(D186-1))+$B$4*(C185/100/12+(E186-1))</f>
        <v/>
      </c>
      <c r="G186" s="8">
        <f>G185*(1+F186)</f>
        <v/>
      </c>
    </row>
    <row r="187">
      <c r="A187" s="8" t="inlineStr">
        <is>
          <t>1968-04-01</t>
        </is>
      </c>
      <c r="B187" s="6" t="n">
        <v>5.69</v>
      </c>
      <c r="C187" s="6" t="n">
        <v>6.97</v>
      </c>
      <c r="D187" s="8">
        <f>-PV(B187/100,5,B186/100,1)</f>
        <v/>
      </c>
      <c r="E187" s="8">
        <f>-PV(C187/100,7,C186/100,1)</f>
        <v/>
      </c>
      <c r="F187" s="8">
        <f>$B$3*(B186/100/12+(D187-1))+$B$4*(C186/100/12+(E187-1))</f>
        <v/>
      </c>
      <c r="G187" s="8">
        <f>G186*(1+F187)</f>
        <v/>
      </c>
    </row>
    <row r="188">
      <c r="A188" s="8" t="inlineStr">
        <is>
          <t>1968-05-01</t>
        </is>
      </c>
      <c r="B188" s="6" t="n">
        <v>6.04</v>
      </c>
      <c r="C188" s="6" t="n">
        <v>7.03</v>
      </c>
      <c r="D188" s="8">
        <f>-PV(B188/100,5,B187/100,1)</f>
        <v/>
      </c>
      <c r="E188" s="8">
        <f>-PV(C188/100,7,C187/100,1)</f>
        <v/>
      </c>
      <c r="F188" s="8">
        <f>$B$3*(B187/100/12+(D188-1))+$B$4*(C187/100/12+(E188-1))</f>
        <v/>
      </c>
      <c r="G188" s="8">
        <f>G187*(1+F188)</f>
        <v/>
      </c>
    </row>
    <row r="189">
      <c r="A189" s="8" t="inlineStr">
        <is>
          <t>1968-06-01</t>
        </is>
      </c>
      <c r="B189" s="6" t="n">
        <v>5.85</v>
      </c>
      <c r="C189" s="6" t="n">
        <v>7.07</v>
      </c>
      <c r="D189" s="8">
        <f>-PV(B189/100,5,B188/100,1)</f>
        <v/>
      </c>
      <c r="E189" s="8">
        <f>-PV(C189/100,7,C188/100,1)</f>
        <v/>
      </c>
      <c r="F189" s="8">
        <f>$B$3*(B188/100/12+(D189-1))+$B$4*(C188/100/12+(E189-1))</f>
        <v/>
      </c>
      <c r="G189" s="8">
        <f>G188*(1+F189)</f>
        <v/>
      </c>
    </row>
    <row r="190">
      <c r="A190" s="8" t="inlineStr">
        <is>
          <t>1968-07-01</t>
        </is>
      </c>
      <c r="B190" s="6" t="n">
        <v>5.6</v>
      </c>
      <c r="C190" s="6" t="n">
        <v>6.98</v>
      </c>
      <c r="D190" s="8">
        <f>-PV(B190/100,5,B189/100,1)</f>
        <v/>
      </c>
      <c r="E190" s="8">
        <f>-PV(C190/100,7,C189/100,1)</f>
        <v/>
      </c>
      <c r="F190" s="8">
        <f>$B$3*(B189/100/12+(D190-1))+$B$4*(C189/100/12+(E190-1))</f>
        <v/>
      </c>
      <c r="G190" s="8">
        <f>G189*(1+F190)</f>
        <v/>
      </c>
    </row>
    <row r="191">
      <c r="A191" s="8" t="inlineStr">
        <is>
          <t>1968-08-01</t>
        </is>
      </c>
      <c r="B191" s="6" t="n">
        <v>5.5</v>
      </c>
      <c r="C191" s="6" t="n">
        <v>6.82</v>
      </c>
      <c r="D191" s="8">
        <f>-PV(B191/100,5,B190/100,1)</f>
        <v/>
      </c>
      <c r="E191" s="8">
        <f>-PV(C191/100,7,C190/100,1)</f>
        <v/>
      </c>
      <c r="F191" s="8">
        <f>$B$3*(B190/100/12+(D191-1))+$B$4*(C190/100/12+(E191-1))</f>
        <v/>
      </c>
      <c r="G191" s="8">
        <f>G190*(1+F191)</f>
        <v/>
      </c>
    </row>
    <row r="192">
      <c r="A192" s="8" t="inlineStr">
        <is>
          <t>1968-09-01</t>
        </is>
      </c>
      <c r="B192" s="6" t="n">
        <v>5.48</v>
      </c>
      <c r="C192" s="6" t="n">
        <v>6.79</v>
      </c>
      <c r="D192" s="8">
        <f>-PV(B192/100,5,B191/100,1)</f>
        <v/>
      </c>
      <c r="E192" s="8">
        <f>-PV(C192/100,7,C191/100,1)</f>
        <v/>
      </c>
      <c r="F192" s="8">
        <f>$B$3*(B191/100/12+(D192-1))+$B$4*(C191/100/12+(E192-1))</f>
        <v/>
      </c>
      <c r="G192" s="8">
        <f>G191*(1+F192)</f>
        <v/>
      </c>
    </row>
    <row r="193">
      <c r="A193" s="8" t="inlineStr">
        <is>
          <t>1968-10-01</t>
        </is>
      </c>
      <c r="B193" s="6" t="n">
        <v>5.55</v>
      </c>
      <c r="C193" s="6" t="n">
        <v>6.84</v>
      </c>
      <c r="D193" s="8">
        <f>-PV(B193/100,5,B192/100,1)</f>
        <v/>
      </c>
      <c r="E193" s="8">
        <f>-PV(C193/100,7,C192/100,1)</f>
        <v/>
      </c>
      <c r="F193" s="8">
        <f>$B$3*(B192/100/12+(D193-1))+$B$4*(C192/100/12+(E193-1))</f>
        <v/>
      </c>
      <c r="G193" s="8">
        <f>G192*(1+F193)</f>
        <v/>
      </c>
    </row>
    <row r="194">
      <c r="A194" s="8" t="inlineStr">
        <is>
          <t>1968-11-01</t>
        </is>
      </c>
      <c r="B194" s="6" t="n">
        <v>5.66</v>
      </c>
      <c r="C194" s="6" t="n">
        <v>7.01</v>
      </c>
      <c r="D194" s="8">
        <f>-PV(B194/100,5,B193/100,1)</f>
        <v/>
      </c>
      <c r="E194" s="8">
        <f>-PV(C194/100,7,C193/100,1)</f>
        <v/>
      </c>
      <c r="F194" s="8">
        <f>$B$3*(B193/100/12+(D194-1))+$B$4*(C193/100/12+(E194-1))</f>
        <v/>
      </c>
      <c r="G194" s="8">
        <f>G193*(1+F194)</f>
        <v/>
      </c>
    </row>
    <row r="195">
      <c r="A195" s="8" t="inlineStr">
        <is>
          <t>1968-12-01</t>
        </is>
      </c>
      <c r="B195" s="6" t="n">
        <v>6.12</v>
      </c>
      <c r="C195" s="6" t="n">
        <v>7.23</v>
      </c>
      <c r="D195" s="8">
        <f>-PV(B195/100,5,B194/100,1)</f>
        <v/>
      </c>
      <c r="E195" s="8">
        <f>-PV(C195/100,7,C194/100,1)</f>
        <v/>
      </c>
      <c r="F195" s="8">
        <f>$B$3*(B194/100/12+(D195-1))+$B$4*(C194/100/12+(E195-1))</f>
        <v/>
      </c>
      <c r="G195" s="8">
        <f>G194*(1+F195)</f>
        <v/>
      </c>
    </row>
    <row r="196">
      <c r="A196" s="8" t="inlineStr">
        <is>
          <t>1969-01-01</t>
        </is>
      </c>
      <c r="B196" s="6" t="n">
        <v>6.25</v>
      </c>
      <c r="C196" s="6" t="n">
        <v>7.32</v>
      </c>
      <c r="D196" s="8">
        <f>-PV(B196/100,5,B195/100,1)</f>
        <v/>
      </c>
      <c r="E196" s="8">
        <f>-PV(C196/100,7,C195/100,1)</f>
        <v/>
      </c>
      <c r="F196" s="8">
        <f>$B$3*(B195/100/12+(D196-1))+$B$4*(C195/100/12+(E196-1))</f>
        <v/>
      </c>
      <c r="G196" s="8">
        <f>G195*(1+F196)</f>
        <v/>
      </c>
    </row>
    <row r="197">
      <c r="A197" s="8" t="inlineStr">
        <is>
          <t>1969-02-01</t>
        </is>
      </c>
      <c r="B197" s="6" t="n">
        <v>6.34</v>
      </c>
      <c r="C197" s="6" t="n">
        <v>7.3</v>
      </c>
      <c r="D197" s="8">
        <f>-PV(B197/100,5,B196/100,1)</f>
        <v/>
      </c>
      <c r="E197" s="8">
        <f>-PV(C197/100,7,C196/100,1)</f>
        <v/>
      </c>
      <c r="F197" s="8">
        <f>$B$3*(B196/100/12+(D197-1))+$B$4*(C196/100/12+(E197-1))</f>
        <v/>
      </c>
      <c r="G197" s="8">
        <f>G196*(1+F197)</f>
        <v/>
      </c>
    </row>
    <row r="198">
      <c r="A198" s="8" t="inlineStr">
        <is>
          <t>1969-03-01</t>
        </is>
      </c>
      <c r="B198" s="6" t="n">
        <v>6.41</v>
      </c>
      <c r="C198" s="6" t="n">
        <v>7.51</v>
      </c>
      <c r="D198" s="8">
        <f>-PV(B198/100,5,B197/100,1)</f>
        <v/>
      </c>
      <c r="E198" s="8">
        <f>-PV(C198/100,7,C197/100,1)</f>
        <v/>
      </c>
      <c r="F198" s="8">
        <f>$B$3*(B197/100/12+(D198-1))+$B$4*(C197/100/12+(E198-1))</f>
        <v/>
      </c>
      <c r="G198" s="8">
        <f>G197*(1+F198)</f>
        <v/>
      </c>
    </row>
    <row r="199">
      <c r="A199" s="8" t="inlineStr">
        <is>
          <t>1969-04-01</t>
        </is>
      </c>
      <c r="B199" s="6" t="n">
        <v>6.3</v>
      </c>
      <c r="C199" s="6" t="n">
        <v>7.54</v>
      </c>
      <c r="D199" s="8">
        <f>-PV(B199/100,5,B198/100,1)</f>
        <v/>
      </c>
      <c r="E199" s="8">
        <f>-PV(C199/100,7,C198/100,1)</f>
        <v/>
      </c>
      <c r="F199" s="8">
        <f>$B$3*(B198/100/12+(D199-1))+$B$4*(C198/100/12+(E199-1))</f>
        <v/>
      </c>
      <c r="G199" s="8">
        <f>G198*(1+F199)</f>
        <v/>
      </c>
    </row>
    <row r="200">
      <c r="A200" s="8" t="inlineStr">
        <is>
          <t>1969-05-01</t>
        </is>
      </c>
      <c r="B200" s="6" t="n">
        <v>6.54</v>
      </c>
      <c r="C200" s="6" t="n">
        <v>7.52</v>
      </c>
      <c r="D200" s="8">
        <f>-PV(B200/100,5,B199/100,1)</f>
        <v/>
      </c>
      <c r="E200" s="8">
        <f>-PV(C200/100,7,C199/100,1)</f>
        <v/>
      </c>
      <c r="F200" s="8">
        <f>$B$3*(B199/100/12+(D200-1))+$B$4*(C199/100/12+(E200-1))</f>
        <v/>
      </c>
      <c r="G200" s="8">
        <f>G199*(1+F200)</f>
        <v/>
      </c>
    </row>
    <row r="201">
      <c r="A201" s="8" t="inlineStr">
        <is>
          <t>1969-06-01</t>
        </is>
      </c>
      <c r="B201" s="6" t="n">
        <v>6.75</v>
      </c>
      <c r="C201" s="6" t="n">
        <v>7.7</v>
      </c>
      <c r="D201" s="8">
        <f>-PV(B201/100,5,B200/100,1)</f>
        <v/>
      </c>
      <c r="E201" s="8">
        <f>-PV(C201/100,7,C200/100,1)</f>
        <v/>
      </c>
      <c r="F201" s="8">
        <f>$B$3*(B200/100/12+(D201-1))+$B$4*(C200/100/12+(E201-1))</f>
        <v/>
      </c>
      <c r="G201" s="8">
        <f>G200*(1+F201)</f>
        <v/>
      </c>
    </row>
    <row r="202">
      <c r="A202" s="8" t="inlineStr">
        <is>
          <t>1969-07-01</t>
        </is>
      </c>
      <c r="B202" s="6" t="n">
        <v>7.01</v>
      </c>
      <c r="C202" s="6" t="n">
        <v>7.84</v>
      </c>
      <c r="D202" s="8">
        <f>-PV(B202/100,5,B201/100,1)</f>
        <v/>
      </c>
      <c r="E202" s="8">
        <f>-PV(C202/100,7,C201/100,1)</f>
        <v/>
      </c>
      <c r="F202" s="8">
        <f>$B$3*(B201/100/12+(D202-1))+$B$4*(C201/100/12+(E202-1))</f>
        <v/>
      </c>
      <c r="G202" s="8">
        <f>G201*(1+F202)</f>
        <v/>
      </c>
    </row>
    <row r="203">
      <c r="A203" s="8" t="inlineStr">
        <is>
          <t>1969-08-01</t>
        </is>
      </c>
      <c r="B203" s="6" t="n">
        <v>7.03</v>
      </c>
      <c r="C203" s="6" t="n">
        <v>7.86</v>
      </c>
      <c r="D203" s="8">
        <f>-PV(B203/100,5,B202/100,1)</f>
        <v/>
      </c>
      <c r="E203" s="8">
        <f>-PV(C203/100,7,C202/100,1)</f>
        <v/>
      </c>
      <c r="F203" s="8">
        <f>$B$3*(B202/100/12+(D203-1))+$B$4*(C202/100/12+(E203-1))</f>
        <v/>
      </c>
      <c r="G203" s="8">
        <f>G202*(1+F203)</f>
        <v/>
      </c>
    </row>
    <row r="204">
      <c r="A204" s="8" t="inlineStr">
        <is>
          <t>1969-09-01</t>
        </is>
      </c>
      <c r="B204" s="6" t="n">
        <v>7.57</v>
      </c>
      <c r="C204" s="6" t="n">
        <v>8.050000000000001</v>
      </c>
      <c r="D204" s="8">
        <f>-PV(B204/100,5,B203/100,1)</f>
        <v/>
      </c>
      <c r="E204" s="8">
        <f>-PV(C204/100,7,C203/100,1)</f>
        <v/>
      </c>
      <c r="F204" s="8">
        <f>$B$3*(B203/100/12+(D204-1))+$B$4*(C203/100/12+(E204-1))</f>
        <v/>
      </c>
      <c r="G204" s="8">
        <f>G203*(1+F204)</f>
        <v/>
      </c>
    </row>
    <row r="205">
      <c r="A205" s="8" t="inlineStr">
        <is>
          <t>1969-10-01</t>
        </is>
      </c>
      <c r="B205" s="6" t="n">
        <v>7.51</v>
      </c>
      <c r="C205" s="6" t="n">
        <v>8.220000000000001</v>
      </c>
      <c r="D205" s="8">
        <f>-PV(B205/100,5,B204/100,1)</f>
        <v/>
      </c>
      <c r="E205" s="8">
        <f>-PV(C205/100,7,C204/100,1)</f>
        <v/>
      </c>
      <c r="F205" s="8">
        <f>$B$3*(B204/100/12+(D205-1))+$B$4*(C204/100/12+(E205-1))</f>
        <v/>
      </c>
      <c r="G205" s="8">
        <f>G204*(1+F205)</f>
        <v/>
      </c>
    </row>
    <row r="206">
      <c r="A206" s="8" t="inlineStr">
        <is>
          <t>1969-11-01</t>
        </is>
      </c>
      <c r="B206" s="6" t="n">
        <v>7.53</v>
      </c>
      <c r="C206" s="6" t="n">
        <v>8.25</v>
      </c>
      <c r="D206" s="8">
        <f>-PV(B206/100,5,B205/100,1)</f>
        <v/>
      </c>
      <c r="E206" s="8">
        <f>-PV(C206/100,7,C205/100,1)</f>
        <v/>
      </c>
      <c r="F206" s="8">
        <f>$B$3*(B205/100/12+(D206-1))+$B$4*(C205/100/12+(E206-1))</f>
        <v/>
      </c>
      <c r="G206" s="8">
        <f>G205*(1+F206)</f>
        <v/>
      </c>
    </row>
    <row r="207">
      <c r="A207" s="8" t="inlineStr">
        <is>
          <t>1969-12-01</t>
        </is>
      </c>
      <c r="B207" s="6" t="n">
        <v>7.96</v>
      </c>
      <c r="C207" s="6" t="n">
        <v>8.65</v>
      </c>
      <c r="D207" s="8">
        <f>-PV(B207/100,5,B206/100,1)</f>
        <v/>
      </c>
      <c r="E207" s="8">
        <f>-PV(C207/100,7,C206/100,1)</f>
        <v/>
      </c>
      <c r="F207" s="8">
        <f>$B$3*(B206/100/12+(D207-1))+$B$4*(C206/100/12+(E207-1))</f>
        <v/>
      </c>
      <c r="G207" s="8">
        <f>G206*(1+F207)</f>
        <v/>
      </c>
    </row>
    <row r="208">
      <c r="A208" s="8" t="inlineStr">
        <is>
          <t>1970-01-01</t>
        </is>
      </c>
      <c r="B208" s="6" t="n">
        <v>8.17</v>
      </c>
      <c r="C208" s="6" t="n">
        <v>8.859999999999999</v>
      </c>
      <c r="D208" s="8">
        <f>-PV(B208/100,5,B207/100,1)</f>
        <v/>
      </c>
      <c r="E208" s="8">
        <f>-PV(C208/100,7,C207/100,1)</f>
        <v/>
      </c>
      <c r="F208" s="8">
        <f>$B$3*(B207/100/12+(D208-1))+$B$4*(C207/100/12+(E208-1))</f>
        <v/>
      </c>
      <c r="G208" s="8">
        <f>G207*(1+F208)</f>
        <v/>
      </c>
    </row>
    <row r="209">
      <c r="A209" s="8" t="inlineStr">
        <is>
          <t>1970-02-01</t>
        </is>
      </c>
      <c r="B209" s="6" t="n">
        <v>7.82</v>
      </c>
      <c r="C209" s="6" t="n">
        <v>8.779999999999999</v>
      </c>
      <c r="D209" s="8">
        <f>-PV(B209/100,5,B208/100,1)</f>
        <v/>
      </c>
      <c r="E209" s="8">
        <f>-PV(C209/100,7,C208/100,1)</f>
        <v/>
      </c>
      <c r="F209" s="8">
        <f>$B$3*(B208/100/12+(D209-1))+$B$4*(C208/100/12+(E209-1))</f>
        <v/>
      </c>
      <c r="G209" s="8">
        <f>G208*(1+F209)</f>
        <v/>
      </c>
    </row>
    <row r="210">
      <c r="A210" s="8" t="inlineStr">
        <is>
          <t>1970-03-01</t>
        </is>
      </c>
      <c r="B210" s="6" t="n">
        <v>7.21</v>
      </c>
      <c r="C210" s="6" t="n">
        <v>8.630000000000001</v>
      </c>
      <c r="D210" s="8">
        <f>-PV(B210/100,5,B209/100,1)</f>
        <v/>
      </c>
      <c r="E210" s="8">
        <f>-PV(C210/100,7,C209/100,1)</f>
        <v/>
      </c>
      <c r="F210" s="8">
        <f>$B$3*(B209/100/12+(D210-1))+$B$4*(C209/100/12+(E210-1))</f>
        <v/>
      </c>
      <c r="G210" s="8">
        <f>G209*(1+F210)</f>
        <v/>
      </c>
    </row>
    <row r="211">
      <c r="A211" s="8" t="inlineStr">
        <is>
          <t>1970-04-01</t>
        </is>
      </c>
      <c r="B211" s="6" t="n">
        <v>7.5</v>
      </c>
      <c r="C211" s="6" t="n">
        <v>8.699999999999999</v>
      </c>
      <c r="D211" s="8">
        <f>-PV(B211/100,5,B210/100,1)</f>
        <v/>
      </c>
      <c r="E211" s="8">
        <f>-PV(C211/100,7,C210/100,1)</f>
        <v/>
      </c>
      <c r="F211" s="8">
        <f>$B$3*(B210/100/12+(D211-1))+$B$4*(C210/100/12+(E211-1))</f>
        <v/>
      </c>
      <c r="G211" s="8">
        <f>G210*(1+F211)</f>
        <v/>
      </c>
    </row>
    <row r="212">
      <c r="A212" s="8" t="inlineStr">
        <is>
          <t>1970-05-01</t>
        </is>
      </c>
      <c r="B212" s="6" t="n">
        <v>7.97</v>
      </c>
      <c r="C212" s="6" t="n">
        <v>8.98</v>
      </c>
      <c r="D212" s="8">
        <f>-PV(B212/100,5,B211/100,1)</f>
        <v/>
      </c>
      <c r="E212" s="8">
        <f>-PV(C212/100,7,C211/100,1)</f>
        <v/>
      </c>
      <c r="F212" s="8">
        <f>$B$3*(B211/100/12+(D212-1))+$B$4*(C211/100/12+(E212-1))</f>
        <v/>
      </c>
      <c r="G212" s="8">
        <f>G211*(1+F212)</f>
        <v/>
      </c>
    </row>
    <row r="213">
      <c r="A213" s="8" t="inlineStr">
        <is>
          <t>1970-06-01</t>
        </is>
      </c>
      <c r="B213" s="6" t="n">
        <v>7.85</v>
      </c>
      <c r="C213" s="6" t="n">
        <v>9.25</v>
      </c>
      <c r="D213" s="8">
        <f>-PV(B213/100,5,B212/100,1)</f>
        <v/>
      </c>
      <c r="E213" s="8">
        <f>-PV(C213/100,7,C212/100,1)</f>
        <v/>
      </c>
      <c r="F213" s="8">
        <f>$B$3*(B212/100/12+(D213-1))+$B$4*(C212/100/12+(E213-1))</f>
        <v/>
      </c>
      <c r="G213" s="8">
        <f>G212*(1+F213)</f>
        <v/>
      </c>
    </row>
    <row r="214">
      <c r="A214" s="8" t="inlineStr">
        <is>
          <t>1970-07-01</t>
        </is>
      </c>
      <c r="B214" s="6" t="n">
        <v>7.59</v>
      </c>
      <c r="C214" s="6" t="n">
        <v>9.4</v>
      </c>
      <c r="D214" s="8">
        <f>-PV(B214/100,5,B213/100,1)</f>
        <v/>
      </c>
      <c r="E214" s="8">
        <f>-PV(C214/100,7,C213/100,1)</f>
        <v/>
      </c>
      <c r="F214" s="8">
        <f>$B$3*(B213/100/12+(D214-1))+$B$4*(C213/100/12+(E214-1))</f>
        <v/>
      </c>
      <c r="G214" s="8">
        <f>G213*(1+F214)</f>
        <v/>
      </c>
    </row>
    <row r="215">
      <c r="A215" s="8" t="inlineStr">
        <is>
          <t>1970-08-01</t>
        </is>
      </c>
      <c r="B215" s="6" t="n">
        <v>7.57</v>
      </c>
      <c r="C215" s="6" t="n">
        <v>9.44</v>
      </c>
      <c r="D215" s="8">
        <f>-PV(B215/100,5,B214/100,1)</f>
        <v/>
      </c>
      <c r="E215" s="8">
        <f>-PV(C215/100,7,C214/100,1)</f>
        <v/>
      </c>
      <c r="F215" s="8">
        <f>$B$3*(B214/100/12+(D215-1))+$B$4*(C214/100/12+(E215-1))</f>
        <v/>
      </c>
      <c r="G215" s="8">
        <f>G214*(1+F215)</f>
        <v/>
      </c>
    </row>
    <row r="216">
      <c r="A216" s="8" t="inlineStr">
        <is>
          <t>1970-09-01</t>
        </is>
      </c>
      <c r="B216" s="6" t="n">
        <v>7.29</v>
      </c>
      <c r="C216" s="6" t="n">
        <v>9.390000000000001</v>
      </c>
      <c r="D216" s="8">
        <f>-PV(B216/100,5,B215/100,1)</f>
        <v/>
      </c>
      <c r="E216" s="8">
        <f>-PV(C216/100,7,C215/100,1)</f>
        <v/>
      </c>
      <c r="F216" s="8">
        <f>$B$3*(B215/100/12+(D216-1))+$B$4*(C215/100/12+(E216-1))</f>
        <v/>
      </c>
      <c r="G216" s="8">
        <f>G215*(1+F216)</f>
        <v/>
      </c>
    </row>
    <row r="217">
      <c r="A217" s="8" t="inlineStr">
        <is>
          <t>1970-10-01</t>
        </is>
      </c>
      <c r="B217" s="6" t="n">
        <v>7.12</v>
      </c>
      <c r="C217" s="6" t="n">
        <v>9.33</v>
      </c>
      <c r="D217" s="8">
        <f>-PV(B217/100,5,B216/100,1)</f>
        <v/>
      </c>
      <c r="E217" s="8">
        <f>-PV(C217/100,7,C216/100,1)</f>
        <v/>
      </c>
      <c r="F217" s="8">
        <f>$B$3*(B216/100/12+(D217-1))+$B$4*(C216/100/12+(E217-1))</f>
        <v/>
      </c>
      <c r="G217" s="8">
        <f>G216*(1+F217)</f>
        <v/>
      </c>
    </row>
    <row r="218">
      <c r="A218" s="8" t="inlineStr">
        <is>
          <t>1970-11-01</t>
        </is>
      </c>
      <c r="B218" s="6" t="n">
        <v>6.47</v>
      </c>
      <c r="C218" s="6" t="n">
        <v>9.380000000000001</v>
      </c>
      <c r="D218" s="8">
        <f>-PV(B218/100,5,B217/100,1)</f>
        <v/>
      </c>
      <c r="E218" s="8">
        <f>-PV(C218/100,7,C217/100,1)</f>
        <v/>
      </c>
      <c r="F218" s="8">
        <f>$B$3*(B217/100/12+(D218-1))+$B$4*(C217/100/12+(E218-1))</f>
        <v/>
      </c>
      <c r="G218" s="8">
        <f>G217*(1+F218)</f>
        <v/>
      </c>
    </row>
    <row r="219">
      <c r="A219" s="8" t="inlineStr">
        <is>
          <t>1970-12-01</t>
        </is>
      </c>
      <c r="B219" s="6" t="n">
        <v>5.95</v>
      </c>
      <c r="C219" s="6" t="n">
        <v>9.119999999999999</v>
      </c>
      <c r="D219" s="8">
        <f>-PV(B219/100,5,B218/100,1)</f>
        <v/>
      </c>
      <c r="E219" s="8">
        <f>-PV(C219/100,7,C218/100,1)</f>
        <v/>
      </c>
      <c r="F219" s="8">
        <f>$B$3*(B218/100/12+(D219-1))+$B$4*(C218/100/12+(E219-1))</f>
        <v/>
      </c>
      <c r="G219" s="8">
        <f>G218*(1+F219)</f>
        <v/>
      </c>
    </row>
    <row r="220">
      <c r="A220" s="8" t="inlineStr">
        <is>
          <t>1971-01-01</t>
        </is>
      </c>
      <c r="B220" s="6" t="n">
        <v>5.89</v>
      </c>
      <c r="C220" s="6" t="n">
        <v>8.74</v>
      </c>
      <c r="D220" s="8">
        <f>-PV(B220/100,5,B219/100,1)</f>
        <v/>
      </c>
      <c r="E220" s="8">
        <f>-PV(C220/100,7,C219/100,1)</f>
        <v/>
      </c>
      <c r="F220" s="8">
        <f>$B$3*(B219/100/12+(D220-1))+$B$4*(C219/100/12+(E220-1))</f>
        <v/>
      </c>
      <c r="G220" s="8">
        <f>G219*(1+F220)</f>
        <v/>
      </c>
    </row>
    <row r="221">
      <c r="A221" s="8" t="inlineStr">
        <is>
          <t>1971-02-01</t>
        </is>
      </c>
      <c r="B221" s="6" t="n">
        <v>5.56</v>
      </c>
      <c r="C221" s="6" t="n">
        <v>8.390000000000001</v>
      </c>
      <c r="D221" s="8">
        <f>-PV(B221/100,5,B220/100,1)</f>
        <v/>
      </c>
      <c r="E221" s="8">
        <f>-PV(C221/100,7,C220/100,1)</f>
        <v/>
      </c>
      <c r="F221" s="8">
        <f>$B$3*(B220/100/12+(D221-1))+$B$4*(C220/100/12+(E221-1))</f>
        <v/>
      </c>
      <c r="G221" s="8">
        <f>G220*(1+F221)</f>
        <v/>
      </c>
    </row>
    <row r="222">
      <c r="A222" s="8" t="inlineStr">
        <is>
          <t>1971-03-01</t>
        </is>
      </c>
      <c r="B222" s="6" t="n">
        <v>5</v>
      </c>
      <c r="C222" s="6" t="n">
        <v>8.460000000000001</v>
      </c>
      <c r="D222" s="8">
        <f>-PV(B222/100,5,B221/100,1)</f>
        <v/>
      </c>
      <c r="E222" s="8">
        <f>-PV(C222/100,7,C221/100,1)</f>
        <v/>
      </c>
      <c r="F222" s="8">
        <f>$B$3*(B221/100/12+(D222-1))+$B$4*(C221/100/12+(E222-1))</f>
        <v/>
      </c>
      <c r="G222" s="8">
        <f>G221*(1+F222)</f>
        <v/>
      </c>
    </row>
    <row r="223">
      <c r="A223" s="8" t="inlineStr">
        <is>
          <t>1971-04-01</t>
        </is>
      </c>
      <c r="B223" s="6" t="n">
        <v>5.65</v>
      </c>
      <c r="C223" s="6" t="n">
        <v>8.449999999999999</v>
      </c>
      <c r="D223" s="8">
        <f>-PV(B223/100,5,B222/100,1)</f>
        <v/>
      </c>
      <c r="E223" s="8">
        <f>-PV(C223/100,7,C222/100,1)</f>
        <v/>
      </c>
      <c r="F223" s="8">
        <f>$B$3*(B222/100/12+(D223-1))+$B$4*(C222/100/12+(E223-1))</f>
        <v/>
      </c>
      <c r="G223" s="8">
        <f>G222*(1+F223)</f>
        <v/>
      </c>
    </row>
    <row r="224">
      <c r="A224" s="8" t="inlineStr">
        <is>
          <t>1971-05-01</t>
        </is>
      </c>
      <c r="B224" s="6" t="n">
        <v>6.28</v>
      </c>
      <c r="C224" s="6" t="n">
        <v>8.619999999999999</v>
      </c>
      <c r="D224" s="8">
        <f>-PV(B224/100,5,B223/100,1)</f>
        <v/>
      </c>
      <c r="E224" s="8">
        <f>-PV(C224/100,7,C223/100,1)</f>
        <v/>
      </c>
      <c r="F224" s="8">
        <f>$B$3*(B223/100/12+(D224-1))+$B$4*(C223/100/12+(E224-1))</f>
        <v/>
      </c>
      <c r="G224" s="8">
        <f>G223*(1+F224)</f>
        <v/>
      </c>
    </row>
    <row r="225">
      <c r="A225" s="8" t="inlineStr">
        <is>
          <t>1971-06-01</t>
        </is>
      </c>
      <c r="B225" s="6" t="n">
        <v>6.53</v>
      </c>
      <c r="C225" s="6" t="n">
        <v>8.75</v>
      </c>
      <c r="D225" s="8">
        <f>-PV(B225/100,5,B224/100,1)</f>
        <v/>
      </c>
      <c r="E225" s="8">
        <f>-PV(C225/100,7,C224/100,1)</f>
        <v/>
      </c>
      <c r="F225" s="8">
        <f>$B$3*(B224/100/12+(D225-1))+$B$4*(C224/100/12+(E225-1))</f>
        <v/>
      </c>
      <c r="G225" s="8">
        <f>G224*(1+F225)</f>
        <v/>
      </c>
    </row>
    <row r="226">
      <c r="A226" s="8" t="inlineStr">
        <is>
          <t>1971-07-01</t>
        </is>
      </c>
      <c r="B226" s="6" t="n">
        <v>6.85</v>
      </c>
      <c r="C226" s="6" t="n">
        <v>8.76</v>
      </c>
      <c r="D226" s="8">
        <f>-PV(B226/100,5,B225/100,1)</f>
        <v/>
      </c>
      <c r="E226" s="8">
        <f>-PV(C226/100,7,C225/100,1)</f>
        <v/>
      </c>
      <c r="F226" s="8">
        <f>$B$3*(B225/100/12+(D226-1))+$B$4*(C225/100/12+(E226-1))</f>
        <v/>
      </c>
      <c r="G226" s="8">
        <f>G225*(1+F226)</f>
        <v/>
      </c>
    </row>
    <row r="227">
      <c r="A227" s="8" t="inlineStr">
        <is>
          <t>1971-08-01</t>
        </is>
      </c>
      <c r="B227" s="6" t="n">
        <v>6.55</v>
      </c>
      <c r="C227" s="6" t="n">
        <v>8.76</v>
      </c>
      <c r="D227" s="8">
        <f>-PV(B227/100,5,B226/100,1)</f>
        <v/>
      </c>
      <c r="E227" s="8">
        <f>-PV(C227/100,7,C226/100,1)</f>
        <v/>
      </c>
      <c r="F227" s="8">
        <f>$B$3*(B226/100/12+(D227-1))+$B$4*(C226/100/12+(E227-1))</f>
        <v/>
      </c>
      <c r="G227" s="8">
        <f>G226*(1+F227)</f>
        <v/>
      </c>
    </row>
    <row r="228">
      <c r="A228" s="8" t="inlineStr">
        <is>
          <t>1971-09-01</t>
        </is>
      </c>
      <c r="B228" s="6" t="n">
        <v>6.14</v>
      </c>
      <c r="C228" s="6" t="n">
        <v>8.59</v>
      </c>
      <c r="D228" s="8">
        <f>-PV(B228/100,5,B227/100,1)</f>
        <v/>
      </c>
      <c r="E228" s="8">
        <f>-PV(C228/100,7,C227/100,1)</f>
        <v/>
      </c>
      <c r="F228" s="8">
        <f>$B$3*(B227/100/12+(D228-1))+$B$4*(C227/100/12+(E228-1))</f>
        <v/>
      </c>
      <c r="G228" s="8">
        <f>G227*(1+F228)</f>
        <v/>
      </c>
    </row>
    <row r="229">
      <c r="A229" s="8" t="inlineStr">
        <is>
          <t>1971-10-01</t>
        </is>
      </c>
      <c r="B229" s="6" t="n">
        <v>5.93</v>
      </c>
      <c r="C229" s="6" t="n">
        <v>8.48</v>
      </c>
      <c r="D229" s="8">
        <f>-PV(B229/100,5,B228/100,1)</f>
        <v/>
      </c>
      <c r="E229" s="8">
        <f>-PV(C229/100,7,C228/100,1)</f>
        <v/>
      </c>
      <c r="F229" s="8">
        <f>$B$3*(B228/100/12+(D229-1))+$B$4*(C228/100/12+(E229-1))</f>
        <v/>
      </c>
      <c r="G229" s="8">
        <f>G228*(1+F229)</f>
        <v/>
      </c>
    </row>
    <row r="230">
      <c r="A230" s="8" t="inlineStr">
        <is>
          <t>1971-11-01</t>
        </is>
      </c>
      <c r="B230" s="6" t="n">
        <v>5.78</v>
      </c>
      <c r="C230" s="6" t="n">
        <v>8.380000000000001</v>
      </c>
      <c r="D230" s="8">
        <f>-PV(B230/100,5,B229/100,1)</f>
        <v/>
      </c>
      <c r="E230" s="8">
        <f>-PV(C230/100,7,C229/100,1)</f>
        <v/>
      </c>
      <c r="F230" s="8">
        <f>$B$3*(B229/100/12+(D230-1))+$B$4*(C229/100/12+(E230-1))</f>
        <v/>
      </c>
      <c r="G230" s="8">
        <f>G229*(1+F230)</f>
        <v/>
      </c>
    </row>
    <row r="231">
      <c r="A231" s="8" t="inlineStr">
        <is>
          <t>1971-12-01</t>
        </is>
      </c>
      <c r="B231" s="6" t="n">
        <v>5.69</v>
      </c>
      <c r="C231" s="6" t="n">
        <v>8.380000000000001</v>
      </c>
      <c r="D231" s="8">
        <f>-PV(B231/100,5,B230/100,1)</f>
        <v/>
      </c>
      <c r="E231" s="8">
        <f>-PV(C231/100,7,C230/100,1)</f>
        <v/>
      </c>
      <c r="F231" s="8">
        <f>$B$3*(B230/100/12+(D231-1))+$B$4*(C230/100/12+(E231-1))</f>
        <v/>
      </c>
      <c r="G231" s="8">
        <f>G230*(1+F231)</f>
        <v/>
      </c>
    </row>
    <row r="232">
      <c r="A232" s="8" t="inlineStr">
        <is>
          <t>1972-01-01</t>
        </is>
      </c>
      <c r="B232" s="6" t="n">
        <v>5.59</v>
      </c>
      <c r="C232" s="6" t="n">
        <v>8.23</v>
      </c>
      <c r="D232" s="8">
        <f>-PV(B232/100,5,B231/100,1)</f>
        <v/>
      </c>
      <c r="E232" s="8">
        <f>-PV(C232/100,7,C231/100,1)</f>
        <v/>
      </c>
      <c r="F232" s="8">
        <f>$B$3*(B231/100/12+(D232-1))+$B$4*(C231/100/12+(E232-1))</f>
        <v/>
      </c>
      <c r="G232" s="8">
        <f>G231*(1+F232)</f>
        <v/>
      </c>
    </row>
    <row r="233">
      <c r="A233" s="8" t="inlineStr">
        <is>
          <t>1972-02-01</t>
        </is>
      </c>
      <c r="B233" s="6" t="n">
        <v>5.69</v>
      </c>
      <c r="C233" s="6" t="n">
        <v>8.23</v>
      </c>
      <c r="D233" s="8">
        <f>-PV(B233/100,5,B232/100,1)</f>
        <v/>
      </c>
      <c r="E233" s="8">
        <f>-PV(C233/100,7,C232/100,1)</f>
        <v/>
      </c>
      <c r="F233" s="8">
        <f>$B$3*(B232/100/12+(D233-1))+$B$4*(C232/100/12+(E233-1))</f>
        <v/>
      </c>
      <c r="G233" s="8">
        <f>G232*(1+F233)</f>
        <v/>
      </c>
    </row>
    <row r="234">
      <c r="A234" s="8" t="inlineStr">
        <is>
          <t>1972-03-01</t>
        </is>
      </c>
      <c r="B234" s="6" t="n">
        <v>5.87</v>
      </c>
      <c r="C234" s="6" t="n">
        <v>8.24</v>
      </c>
      <c r="D234" s="8">
        <f>-PV(B234/100,5,B233/100,1)</f>
        <v/>
      </c>
      <c r="E234" s="8">
        <f>-PV(C234/100,7,C233/100,1)</f>
        <v/>
      </c>
      <c r="F234" s="8">
        <f>$B$3*(B233/100/12+(D234-1))+$B$4*(C233/100/12+(E234-1))</f>
        <v/>
      </c>
      <c r="G234" s="8">
        <f>G233*(1+F234)</f>
        <v/>
      </c>
    </row>
    <row r="235">
      <c r="A235" s="8" t="inlineStr">
        <is>
          <t>1972-04-01</t>
        </is>
      </c>
      <c r="B235" s="6" t="n">
        <v>6.17</v>
      </c>
      <c r="C235" s="6" t="n">
        <v>8.24</v>
      </c>
      <c r="D235" s="8">
        <f>-PV(B235/100,5,B234/100,1)</f>
        <v/>
      </c>
      <c r="E235" s="8">
        <f>-PV(C235/100,7,C234/100,1)</f>
        <v/>
      </c>
      <c r="F235" s="8">
        <f>$B$3*(B234/100/12+(D235-1))+$B$4*(C234/100/12+(E235-1))</f>
        <v/>
      </c>
      <c r="G235" s="8">
        <f>G234*(1+F235)</f>
        <v/>
      </c>
    </row>
    <row r="236">
      <c r="A236" s="8" t="inlineStr">
        <is>
          <t>1972-05-01</t>
        </is>
      </c>
      <c r="B236" s="6" t="n">
        <v>5.85</v>
      </c>
      <c r="C236" s="6" t="n">
        <v>8.23</v>
      </c>
      <c r="D236" s="8">
        <f>-PV(B236/100,5,B235/100,1)</f>
        <v/>
      </c>
      <c r="E236" s="8">
        <f>-PV(C236/100,7,C235/100,1)</f>
        <v/>
      </c>
      <c r="F236" s="8">
        <f>$B$3*(B235/100/12+(D236-1))+$B$4*(C235/100/12+(E236-1))</f>
        <v/>
      </c>
      <c r="G236" s="8">
        <f>G235*(1+F236)</f>
        <v/>
      </c>
    </row>
    <row r="237">
      <c r="A237" s="8" t="inlineStr">
        <is>
          <t>1972-06-01</t>
        </is>
      </c>
      <c r="B237" s="6" t="n">
        <v>5.91</v>
      </c>
      <c r="C237" s="6" t="n">
        <v>8.199999999999999</v>
      </c>
      <c r="D237" s="8">
        <f>-PV(B237/100,5,B236/100,1)</f>
        <v/>
      </c>
      <c r="E237" s="8">
        <f>-PV(C237/100,7,C236/100,1)</f>
        <v/>
      </c>
      <c r="F237" s="8">
        <f>$B$3*(B236/100/12+(D237-1))+$B$4*(C236/100/12+(E237-1))</f>
        <v/>
      </c>
      <c r="G237" s="8">
        <f>G236*(1+F237)</f>
        <v/>
      </c>
    </row>
    <row r="238">
      <c r="A238" s="8" t="inlineStr">
        <is>
          <t>1972-07-01</t>
        </is>
      </c>
      <c r="B238" s="6" t="n">
        <v>5.97</v>
      </c>
      <c r="C238" s="6" t="n">
        <v>8.23</v>
      </c>
      <c r="D238" s="8">
        <f>-PV(B238/100,5,B237/100,1)</f>
        <v/>
      </c>
      <c r="E238" s="8">
        <f>-PV(C238/100,7,C237/100,1)</f>
        <v/>
      </c>
      <c r="F238" s="8">
        <f>$B$3*(B237/100/12+(D238-1))+$B$4*(C237/100/12+(E238-1))</f>
        <v/>
      </c>
      <c r="G238" s="8">
        <f>G237*(1+F238)</f>
        <v/>
      </c>
    </row>
    <row r="239">
      <c r="A239" s="8" t="inlineStr">
        <is>
          <t>1972-08-01</t>
        </is>
      </c>
      <c r="B239" s="6" t="n">
        <v>6.02</v>
      </c>
      <c r="C239" s="6" t="n">
        <v>8.19</v>
      </c>
      <c r="D239" s="8">
        <f>-PV(B239/100,5,B238/100,1)</f>
        <v/>
      </c>
      <c r="E239" s="8">
        <f>-PV(C239/100,7,C238/100,1)</f>
        <v/>
      </c>
      <c r="F239" s="8">
        <f>$B$3*(B238/100/12+(D239-1))+$B$4*(C238/100/12+(E239-1))</f>
        <v/>
      </c>
      <c r="G239" s="8">
        <f>G238*(1+F239)</f>
        <v/>
      </c>
    </row>
    <row r="240">
      <c r="A240" s="8" t="inlineStr">
        <is>
          <t>1972-09-01</t>
        </is>
      </c>
      <c r="B240" s="6" t="n">
        <v>6.25</v>
      </c>
      <c r="C240" s="6" t="n">
        <v>8.09</v>
      </c>
      <c r="D240" s="8">
        <f>-PV(B240/100,5,B239/100,1)</f>
        <v/>
      </c>
      <c r="E240" s="8">
        <f>-PV(C240/100,7,C239/100,1)</f>
        <v/>
      </c>
      <c r="F240" s="8">
        <f>$B$3*(B239/100/12+(D240-1))+$B$4*(C239/100/12+(E240-1))</f>
        <v/>
      </c>
      <c r="G240" s="8">
        <f>G239*(1+F240)</f>
        <v/>
      </c>
    </row>
    <row r="241">
      <c r="A241" s="8" t="inlineStr">
        <is>
          <t>1972-10-01</t>
        </is>
      </c>
      <c r="B241" s="6" t="n">
        <v>6.18</v>
      </c>
      <c r="C241" s="6" t="n">
        <v>8.06</v>
      </c>
      <c r="D241" s="8">
        <f>-PV(B241/100,5,B240/100,1)</f>
        <v/>
      </c>
      <c r="E241" s="8">
        <f>-PV(C241/100,7,C240/100,1)</f>
        <v/>
      </c>
      <c r="F241" s="8">
        <f>$B$3*(B240/100/12+(D241-1))+$B$4*(C240/100/12+(E241-1))</f>
        <v/>
      </c>
      <c r="G241" s="8">
        <f>G240*(1+F241)</f>
        <v/>
      </c>
    </row>
    <row r="242">
      <c r="A242" s="8" t="inlineStr">
        <is>
          <t>1972-11-01</t>
        </is>
      </c>
      <c r="B242" s="6" t="n">
        <v>6.12</v>
      </c>
      <c r="C242" s="6" t="n">
        <v>7.99</v>
      </c>
      <c r="D242" s="8">
        <f>-PV(B242/100,5,B241/100,1)</f>
        <v/>
      </c>
      <c r="E242" s="8">
        <f>-PV(C242/100,7,C241/100,1)</f>
        <v/>
      </c>
      <c r="F242" s="8">
        <f>$B$3*(B241/100/12+(D242-1))+$B$4*(C241/100/12+(E242-1))</f>
        <v/>
      </c>
      <c r="G242" s="8">
        <f>G241*(1+F242)</f>
        <v/>
      </c>
    </row>
    <row r="243">
      <c r="A243" s="8" t="inlineStr">
        <is>
          <t>1972-12-01</t>
        </is>
      </c>
      <c r="B243" s="6" t="n">
        <v>6.16</v>
      </c>
      <c r="C243" s="6" t="n">
        <v>7.93</v>
      </c>
      <c r="D243" s="8">
        <f>-PV(B243/100,5,B242/100,1)</f>
        <v/>
      </c>
      <c r="E243" s="8">
        <f>-PV(C243/100,7,C242/100,1)</f>
        <v/>
      </c>
      <c r="F243" s="8">
        <f>$B$3*(B242/100/12+(D243-1))+$B$4*(C242/100/12+(E243-1))</f>
        <v/>
      </c>
      <c r="G243" s="8">
        <f>G242*(1+F243)</f>
        <v/>
      </c>
    </row>
    <row r="244">
      <c r="A244" s="8" t="inlineStr">
        <is>
          <t>1973-01-01</t>
        </is>
      </c>
      <c r="B244" s="6" t="n">
        <v>6.34</v>
      </c>
      <c r="C244" s="6" t="n">
        <v>7.9</v>
      </c>
      <c r="D244" s="8">
        <f>-PV(B244/100,5,B243/100,1)</f>
        <v/>
      </c>
      <c r="E244" s="8">
        <f>-PV(C244/100,7,C243/100,1)</f>
        <v/>
      </c>
      <c r="F244" s="8">
        <f>$B$3*(B243/100/12+(D244-1))+$B$4*(C243/100/12+(E244-1))</f>
        <v/>
      </c>
      <c r="G244" s="8">
        <f>G243*(1+F244)</f>
        <v/>
      </c>
    </row>
    <row r="245">
      <c r="A245" s="8" t="inlineStr">
        <is>
          <t>1973-02-01</t>
        </is>
      </c>
      <c r="B245" s="6" t="n">
        <v>6.6</v>
      </c>
      <c r="C245" s="6" t="n">
        <v>7.97</v>
      </c>
      <c r="D245" s="8">
        <f>-PV(B245/100,5,B244/100,1)</f>
        <v/>
      </c>
      <c r="E245" s="8">
        <f>-PV(C245/100,7,C244/100,1)</f>
        <v/>
      </c>
      <c r="F245" s="8">
        <f>$B$3*(B244/100/12+(D245-1))+$B$4*(C244/100/12+(E245-1))</f>
        <v/>
      </c>
      <c r="G245" s="8">
        <f>G244*(1+F245)</f>
        <v/>
      </c>
    </row>
    <row r="246">
      <c r="A246" s="8" t="inlineStr">
        <is>
          <t>1973-03-01</t>
        </is>
      </c>
      <c r="B246" s="6" t="n">
        <v>6.8</v>
      </c>
      <c r="C246" s="6" t="n">
        <v>8.029999999999999</v>
      </c>
      <c r="D246" s="8">
        <f>-PV(B246/100,5,B245/100,1)</f>
        <v/>
      </c>
      <c r="E246" s="8">
        <f>-PV(C246/100,7,C245/100,1)</f>
        <v/>
      </c>
      <c r="F246" s="8">
        <f>$B$3*(B245/100/12+(D246-1))+$B$4*(C245/100/12+(E246-1))</f>
        <v/>
      </c>
      <c r="G246" s="8">
        <f>G245*(1+F246)</f>
        <v/>
      </c>
    </row>
    <row r="247">
      <c r="A247" s="8" t="inlineStr">
        <is>
          <t>1973-04-01</t>
        </is>
      </c>
      <c r="B247" s="6" t="n">
        <v>6.67</v>
      </c>
      <c r="C247" s="6" t="n">
        <v>8.09</v>
      </c>
      <c r="D247" s="8">
        <f>-PV(B247/100,5,B246/100,1)</f>
        <v/>
      </c>
      <c r="E247" s="8">
        <f>-PV(C247/100,7,C246/100,1)</f>
        <v/>
      </c>
      <c r="F247" s="8">
        <f>$B$3*(B246/100/12+(D247-1))+$B$4*(C246/100/12+(E247-1))</f>
        <v/>
      </c>
      <c r="G247" s="8">
        <f>G246*(1+F247)</f>
        <v/>
      </c>
    </row>
    <row r="248">
      <c r="A248" s="8" t="inlineStr">
        <is>
          <t>1973-05-01</t>
        </is>
      </c>
      <c r="B248" s="6" t="n">
        <v>6.8</v>
      </c>
      <c r="C248" s="6" t="n">
        <v>8.06</v>
      </c>
      <c r="D248" s="8">
        <f>-PV(B248/100,5,B247/100,1)</f>
        <v/>
      </c>
      <c r="E248" s="8">
        <f>-PV(C248/100,7,C247/100,1)</f>
        <v/>
      </c>
      <c r="F248" s="8">
        <f>$B$3*(B247/100/12+(D248-1))+$B$4*(C247/100/12+(E248-1))</f>
        <v/>
      </c>
      <c r="G248" s="8">
        <f>G247*(1+F248)</f>
        <v/>
      </c>
    </row>
    <row r="249">
      <c r="A249" s="8" t="inlineStr">
        <is>
          <t>1973-06-01</t>
        </is>
      </c>
      <c r="B249" s="6" t="n">
        <v>6.69</v>
      </c>
      <c r="C249" s="6" t="n">
        <v>8.130000000000001</v>
      </c>
      <c r="D249" s="8">
        <f>-PV(B249/100,5,B248/100,1)</f>
        <v/>
      </c>
      <c r="E249" s="8">
        <f>-PV(C249/100,7,C248/100,1)</f>
        <v/>
      </c>
      <c r="F249" s="8">
        <f>$B$3*(B248/100/12+(D249-1))+$B$4*(C248/100/12+(E249-1))</f>
        <v/>
      </c>
      <c r="G249" s="8">
        <f>G248*(1+F249)</f>
        <v/>
      </c>
    </row>
    <row r="250">
      <c r="A250" s="8" t="inlineStr">
        <is>
          <t>1973-07-01</t>
        </is>
      </c>
      <c r="B250" s="6" t="n">
        <v>7.33</v>
      </c>
      <c r="C250" s="6" t="n">
        <v>8.24</v>
      </c>
      <c r="D250" s="8">
        <f>-PV(B250/100,5,B249/100,1)</f>
        <v/>
      </c>
      <c r="E250" s="8">
        <f>-PV(C250/100,7,C249/100,1)</f>
        <v/>
      </c>
      <c r="F250" s="8">
        <f>$B$3*(B249/100/12+(D250-1))+$B$4*(C249/100/12+(E250-1))</f>
        <v/>
      </c>
      <c r="G250" s="8">
        <f>G249*(1+F250)</f>
        <v/>
      </c>
    </row>
    <row r="251">
      <c r="A251" s="8" t="inlineStr">
        <is>
          <t>1973-08-01</t>
        </is>
      </c>
      <c r="B251" s="6" t="n">
        <v>7.63</v>
      </c>
      <c r="C251" s="6" t="n">
        <v>8.529999999999999</v>
      </c>
      <c r="D251" s="8">
        <f>-PV(B251/100,5,B250/100,1)</f>
        <v/>
      </c>
      <c r="E251" s="8">
        <f>-PV(C251/100,7,C250/100,1)</f>
        <v/>
      </c>
      <c r="F251" s="8">
        <f>$B$3*(B250/100/12+(D251-1))+$B$4*(C250/100/12+(E251-1))</f>
        <v/>
      </c>
      <c r="G251" s="8">
        <f>G250*(1+F251)</f>
        <v/>
      </c>
    </row>
    <row r="252">
      <c r="A252" s="8" t="inlineStr">
        <is>
          <t>1973-09-01</t>
        </is>
      </c>
      <c r="B252" s="6" t="n">
        <v>7.05</v>
      </c>
      <c r="C252" s="6" t="n">
        <v>8.630000000000001</v>
      </c>
      <c r="D252" s="8">
        <f>-PV(B252/100,5,B251/100,1)</f>
        <v/>
      </c>
      <c r="E252" s="8">
        <f>-PV(C252/100,7,C251/100,1)</f>
        <v/>
      </c>
      <c r="F252" s="8">
        <f>$B$3*(B251/100/12+(D252-1))+$B$4*(C251/100/12+(E252-1))</f>
        <v/>
      </c>
      <c r="G252" s="8">
        <f>G251*(1+F252)</f>
        <v/>
      </c>
    </row>
    <row r="253">
      <c r="A253" s="8" t="inlineStr">
        <is>
          <t>1973-10-01</t>
        </is>
      </c>
      <c r="B253" s="6" t="n">
        <v>6.77</v>
      </c>
      <c r="C253" s="6" t="n">
        <v>8.41</v>
      </c>
      <c r="D253" s="8">
        <f>-PV(B253/100,5,B252/100,1)</f>
        <v/>
      </c>
      <c r="E253" s="8">
        <f>-PV(C253/100,7,C252/100,1)</f>
        <v/>
      </c>
      <c r="F253" s="8">
        <f>$B$3*(B252/100/12+(D253-1))+$B$4*(C252/100/12+(E253-1))</f>
        <v/>
      </c>
      <c r="G253" s="8">
        <f>G252*(1+F253)</f>
        <v/>
      </c>
    </row>
    <row r="254">
      <c r="A254" s="8" t="inlineStr">
        <is>
          <t>1973-11-01</t>
        </is>
      </c>
      <c r="B254" s="6" t="n">
        <v>6.92</v>
      </c>
      <c r="C254" s="6" t="n">
        <v>8.42</v>
      </c>
      <c r="D254" s="8">
        <f>-PV(B254/100,5,B253/100,1)</f>
        <v/>
      </c>
      <c r="E254" s="8">
        <f>-PV(C254/100,7,C253/100,1)</f>
        <v/>
      </c>
      <c r="F254" s="8">
        <f>$B$3*(B253/100/12+(D254-1))+$B$4*(C253/100/12+(E254-1))</f>
        <v/>
      </c>
      <c r="G254" s="8">
        <f>G253*(1+F254)</f>
        <v/>
      </c>
    </row>
    <row r="255">
      <c r="A255" s="8" t="inlineStr">
        <is>
          <t>1973-12-01</t>
        </is>
      </c>
      <c r="B255" s="6" t="n">
        <v>6.8</v>
      </c>
      <c r="C255" s="6" t="n">
        <v>8.48</v>
      </c>
      <c r="D255" s="8">
        <f>-PV(B255/100,5,B254/100,1)</f>
        <v/>
      </c>
      <c r="E255" s="8">
        <f>-PV(C255/100,7,C254/100,1)</f>
        <v/>
      </c>
      <c r="F255" s="8">
        <f>$B$3*(B254/100/12+(D255-1))+$B$4*(C254/100/12+(E255-1))</f>
        <v/>
      </c>
      <c r="G255" s="8">
        <f>G254*(1+F255)</f>
        <v/>
      </c>
    </row>
    <row r="256">
      <c r="A256" s="8" t="inlineStr">
        <is>
          <t>1974-01-01</t>
        </is>
      </c>
      <c r="B256" s="6" t="n">
        <v>6.95</v>
      </c>
      <c r="C256" s="6" t="n">
        <v>8.48</v>
      </c>
      <c r="D256" s="8">
        <f>-PV(B256/100,5,B255/100,1)</f>
        <v/>
      </c>
      <c r="E256" s="8">
        <f>-PV(C256/100,7,C255/100,1)</f>
        <v/>
      </c>
      <c r="F256" s="8">
        <f>$B$3*(B255/100/12+(D256-1))+$B$4*(C255/100/12+(E256-1))</f>
        <v/>
      </c>
      <c r="G256" s="8">
        <f>G255*(1+F256)</f>
        <v/>
      </c>
    </row>
    <row r="257">
      <c r="A257" s="8" t="inlineStr">
        <is>
          <t>1974-02-01</t>
        </is>
      </c>
      <c r="B257" s="6" t="n">
        <v>6.82</v>
      </c>
      <c r="C257" s="6" t="n">
        <v>8.529999999999999</v>
      </c>
      <c r="D257" s="8">
        <f>-PV(B257/100,5,B256/100,1)</f>
        <v/>
      </c>
      <c r="E257" s="8">
        <f>-PV(C257/100,7,C256/100,1)</f>
        <v/>
      </c>
      <c r="F257" s="8">
        <f>$B$3*(B256/100/12+(D257-1))+$B$4*(C256/100/12+(E257-1))</f>
        <v/>
      </c>
      <c r="G257" s="8">
        <f>G256*(1+F257)</f>
        <v/>
      </c>
    </row>
    <row r="258">
      <c r="A258" s="8" t="inlineStr">
        <is>
          <t>1974-03-01</t>
        </is>
      </c>
      <c r="B258" s="6" t="n">
        <v>7.31</v>
      </c>
      <c r="C258" s="6" t="n">
        <v>8.619999999999999</v>
      </c>
      <c r="D258" s="8">
        <f>-PV(B258/100,5,B257/100,1)</f>
        <v/>
      </c>
      <c r="E258" s="8">
        <f>-PV(C258/100,7,C257/100,1)</f>
        <v/>
      </c>
      <c r="F258" s="8">
        <f>$B$3*(B257/100/12+(D258-1))+$B$4*(C257/100/12+(E258-1))</f>
        <v/>
      </c>
      <c r="G258" s="8">
        <f>G257*(1+F258)</f>
        <v/>
      </c>
    </row>
    <row r="259">
      <c r="A259" s="8" t="inlineStr">
        <is>
          <t>1974-04-01</t>
        </is>
      </c>
      <c r="B259" s="6" t="n">
        <v>7.92</v>
      </c>
      <c r="C259" s="6" t="n">
        <v>8.869999999999999</v>
      </c>
      <c r="D259" s="8">
        <f>-PV(B259/100,5,B258/100,1)</f>
        <v/>
      </c>
      <c r="E259" s="8">
        <f>-PV(C259/100,7,C258/100,1)</f>
        <v/>
      </c>
      <c r="F259" s="8">
        <f>$B$3*(B258/100/12+(D259-1))+$B$4*(C258/100/12+(E259-1))</f>
        <v/>
      </c>
      <c r="G259" s="8">
        <f>G258*(1+F259)</f>
        <v/>
      </c>
    </row>
    <row r="260">
      <c r="A260" s="8" t="inlineStr">
        <is>
          <t>1974-05-01</t>
        </is>
      </c>
      <c r="B260" s="6" t="n">
        <v>8.18</v>
      </c>
      <c r="C260" s="6" t="n">
        <v>9.050000000000001</v>
      </c>
      <c r="D260" s="8">
        <f>-PV(B260/100,5,B259/100,1)</f>
        <v/>
      </c>
      <c r="E260" s="8">
        <f>-PV(C260/100,7,C259/100,1)</f>
        <v/>
      </c>
      <c r="F260" s="8">
        <f>$B$3*(B259/100/12+(D260-1))+$B$4*(C259/100/12+(E260-1))</f>
        <v/>
      </c>
      <c r="G260" s="8">
        <f>G259*(1+F260)</f>
        <v/>
      </c>
    </row>
    <row r="261">
      <c r="A261" s="8" t="inlineStr">
        <is>
          <t>1974-06-01</t>
        </is>
      </c>
      <c r="B261" s="6" t="n">
        <v>8.1</v>
      </c>
      <c r="C261" s="6" t="n">
        <v>9.27</v>
      </c>
      <c r="D261" s="8">
        <f>-PV(B261/100,5,B260/100,1)</f>
        <v/>
      </c>
      <c r="E261" s="8">
        <f>-PV(C261/100,7,C260/100,1)</f>
        <v/>
      </c>
      <c r="F261" s="8">
        <f>$B$3*(B260/100/12+(D261-1))+$B$4*(C260/100/12+(E261-1))</f>
        <v/>
      </c>
      <c r="G261" s="8">
        <f>G260*(1+F261)</f>
        <v/>
      </c>
    </row>
    <row r="262">
      <c r="A262" s="8" t="inlineStr">
        <is>
          <t>1974-07-01</t>
        </is>
      </c>
      <c r="B262" s="6" t="n">
        <v>8.380000000000001</v>
      </c>
      <c r="C262" s="6" t="n">
        <v>9.48</v>
      </c>
      <c r="D262" s="8">
        <f>-PV(B262/100,5,B261/100,1)</f>
        <v/>
      </c>
      <c r="E262" s="8">
        <f>-PV(C262/100,7,C261/100,1)</f>
        <v/>
      </c>
      <c r="F262" s="8">
        <f>$B$3*(B261/100/12+(D262-1))+$B$4*(C261/100/12+(E262-1))</f>
        <v/>
      </c>
      <c r="G262" s="8">
        <f>G261*(1+F262)</f>
        <v/>
      </c>
    </row>
    <row r="263">
      <c r="A263" s="8" t="inlineStr">
        <is>
          <t>1974-08-01</t>
        </is>
      </c>
      <c r="B263" s="6" t="n">
        <v>8.630000000000001</v>
      </c>
      <c r="C263" s="6" t="n">
        <v>9.77</v>
      </c>
      <c r="D263" s="8">
        <f>-PV(B263/100,5,B262/100,1)</f>
        <v/>
      </c>
      <c r="E263" s="8">
        <f>-PV(C263/100,7,C262/100,1)</f>
        <v/>
      </c>
      <c r="F263" s="8">
        <f>$B$3*(B262/100/12+(D263-1))+$B$4*(C262/100/12+(E263-1))</f>
        <v/>
      </c>
      <c r="G263" s="8">
        <f>G262*(1+F263)</f>
        <v/>
      </c>
    </row>
    <row r="264">
      <c r="A264" s="8" t="inlineStr">
        <is>
          <t>1974-09-01</t>
        </is>
      </c>
      <c r="B264" s="6" t="n">
        <v>8.369999999999999</v>
      </c>
      <c r="C264" s="6" t="n">
        <v>10.18</v>
      </c>
      <c r="D264" s="8">
        <f>-PV(B264/100,5,B263/100,1)</f>
        <v/>
      </c>
      <c r="E264" s="8">
        <f>-PV(C264/100,7,C263/100,1)</f>
        <v/>
      </c>
      <c r="F264" s="8">
        <f>$B$3*(B263/100/12+(D264-1))+$B$4*(C263/100/12+(E264-1))</f>
        <v/>
      </c>
      <c r="G264" s="8">
        <f>G263*(1+F264)</f>
        <v/>
      </c>
    </row>
    <row r="265">
      <c r="A265" s="8" t="inlineStr">
        <is>
          <t>1974-10-01</t>
        </is>
      </c>
      <c r="B265" s="6" t="n">
        <v>7.97</v>
      </c>
      <c r="C265" s="6" t="n">
        <v>10.48</v>
      </c>
      <c r="D265" s="8">
        <f>-PV(B265/100,5,B264/100,1)</f>
        <v/>
      </c>
      <c r="E265" s="8">
        <f>-PV(C265/100,7,C264/100,1)</f>
        <v/>
      </c>
      <c r="F265" s="8">
        <f>$B$3*(B264/100/12+(D265-1))+$B$4*(C264/100/12+(E265-1))</f>
        <v/>
      </c>
      <c r="G265" s="8">
        <f>G264*(1+F265)</f>
        <v/>
      </c>
    </row>
    <row r="266">
      <c r="A266" s="8" t="inlineStr">
        <is>
          <t>1974-11-01</t>
        </is>
      </c>
      <c r="B266" s="6" t="n">
        <v>7.68</v>
      </c>
      <c r="C266" s="6" t="n">
        <v>10.6</v>
      </c>
      <c r="D266" s="8">
        <f>-PV(B266/100,5,B265/100,1)</f>
        <v/>
      </c>
      <c r="E266" s="8">
        <f>-PV(C266/100,7,C265/100,1)</f>
        <v/>
      </c>
      <c r="F266" s="8">
        <f>$B$3*(B265/100/12+(D266-1))+$B$4*(C265/100/12+(E266-1))</f>
        <v/>
      </c>
      <c r="G266" s="8">
        <f>G265*(1+F266)</f>
        <v/>
      </c>
    </row>
    <row r="267">
      <c r="A267" s="8" t="inlineStr">
        <is>
          <t>1974-12-01</t>
        </is>
      </c>
      <c r="B267" s="6" t="n">
        <v>7.31</v>
      </c>
      <c r="C267" s="6" t="n">
        <v>10.63</v>
      </c>
      <c r="D267" s="8">
        <f>-PV(B267/100,5,B266/100,1)</f>
        <v/>
      </c>
      <c r="E267" s="8">
        <f>-PV(C267/100,7,C266/100,1)</f>
        <v/>
      </c>
      <c r="F267" s="8">
        <f>$B$3*(B266/100/12+(D267-1))+$B$4*(C266/100/12+(E267-1))</f>
        <v/>
      </c>
      <c r="G267" s="8">
        <f>G266*(1+F267)</f>
        <v/>
      </c>
    </row>
    <row r="268">
      <c r="A268" s="8" t="inlineStr">
        <is>
          <t>1975-01-01</t>
        </is>
      </c>
      <c r="B268" s="6" t="n">
        <v>7.41</v>
      </c>
      <c r="C268" s="6" t="n">
        <v>10.81</v>
      </c>
      <c r="D268" s="8">
        <f>-PV(B268/100,5,B267/100,1)</f>
        <v/>
      </c>
      <c r="E268" s="8">
        <f>-PV(C268/100,7,C267/100,1)</f>
        <v/>
      </c>
      <c r="F268" s="8">
        <f>$B$3*(B267/100/12+(D268-1))+$B$4*(C267/100/12+(E268-1))</f>
        <v/>
      </c>
      <c r="G268" s="8">
        <f>G267*(1+F268)</f>
        <v/>
      </c>
    </row>
    <row r="269">
      <c r="A269" s="8" t="inlineStr">
        <is>
          <t>1975-02-01</t>
        </is>
      </c>
      <c r="B269" s="6" t="n">
        <v>7.11</v>
      </c>
      <c r="C269" s="6" t="n">
        <v>10.65</v>
      </c>
      <c r="D269" s="8">
        <f>-PV(B269/100,5,B268/100,1)</f>
        <v/>
      </c>
      <c r="E269" s="8">
        <f>-PV(C269/100,7,C268/100,1)</f>
        <v/>
      </c>
      <c r="F269" s="8">
        <f>$B$3*(B268/100/12+(D269-1))+$B$4*(C268/100/12+(E269-1))</f>
        <v/>
      </c>
      <c r="G269" s="8">
        <f>G268*(1+F269)</f>
        <v/>
      </c>
    </row>
    <row r="270">
      <c r="A270" s="8" t="inlineStr">
        <is>
          <t>1975-03-01</t>
        </is>
      </c>
      <c r="B270" s="6" t="n">
        <v>7.3</v>
      </c>
      <c r="C270" s="6" t="n">
        <v>10.48</v>
      </c>
      <c r="D270" s="8">
        <f>-PV(B270/100,5,B269/100,1)</f>
        <v/>
      </c>
      <c r="E270" s="8">
        <f>-PV(C270/100,7,C269/100,1)</f>
        <v/>
      </c>
      <c r="F270" s="8">
        <f>$B$3*(B269/100/12+(D270-1))+$B$4*(C269/100/12+(E270-1))</f>
        <v/>
      </c>
      <c r="G270" s="8">
        <f>G269*(1+F270)</f>
        <v/>
      </c>
    </row>
    <row r="271">
      <c r="A271" s="8" t="inlineStr">
        <is>
          <t>1975-04-01</t>
        </is>
      </c>
      <c r="B271" s="6" t="n">
        <v>7.99</v>
      </c>
      <c r="C271" s="6" t="n">
        <v>10.58</v>
      </c>
      <c r="D271" s="8">
        <f>-PV(B271/100,5,B270/100,1)</f>
        <v/>
      </c>
      <c r="E271" s="8">
        <f>-PV(C271/100,7,C270/100,1)</f>
        <v/>
      </c>
      <c r="F271" s="8">
        <f>$B$3*(B270/100/12+(D271-1))+$B$4*(C270/100/12+(E271-1))</f>
        <v/>
      </c>
      <c r="G271" s="8">
        <f>G270*(1+F271)</f>
        <v/>
      </c>
    </row>
    <row r="272">
      <c r="A272" s="8" t="inlineStr">
        <is>
          <t>1975-05-01</t>
        </is>
      </c>
      <c r="B272" s="6" t="n">
        <v>7.72</v>
      </c>
      <c r="C272" s="6" t="n">
        <v>10.69</v>
      </c>
      <c r="D272" s="8">
        <f>-PV(B272/100,5,B271/100,1)</f>
        <v/>
      </c>
      <c r="E272" s="8">
        <f>-PV(C272/100,7,C271/100,1)</f>
        <v/>
      </c>
      <c r="F272" s="8">
        <f>$B$3*(B271/100/12+(D272-1))+$B$4*(C271/100/12+(E272-1))</f>
        <v/>
      </c>
      <c r="G272" s="8">
        <f>G271*(1+F272)</f>
        <v/>
      </c>
    </row>
    <row r="273">
      <c r="A273" s="8" t="inlineStr">
        <is>
          <t>1975-06-01</t>
        </is>
      </c>
      <c r="B273" s="6" t="n">
        <v>7.51</v>
      </c>
      <c r="C273" s="6" t="n">
        <v>10.62</v>
      </c>
      <c r="D273" s="8">
        <f>-PV(B273/100,5,B272/100,1)</f>
        <v/>
      </c>
      <c r="E273" s="8">
        <f>-PV(C273/100,7,C272/100,1)</f>
        <v/>
      </c>
      <c r="F273" s="8">
        <f>$B$3*(B272/100/12+(D273-1))+$B$4*(C272/100/12+(E273-1))</f>
        <v/>
      </c>
      <c r="G273" s="8">
        <f>G272*(1+F273)</f>
        <v/>
      </c>
    </row>
    <row r="274">
      <c r="A274" s="8" t="inlineStr">
        <is>
          <t>1975-07-01</t>
        </is>
      </c>
      <c r="B274" s="6" t="n">
        <v>7.92</v>
      </c>
      <c r="C274" s="6" t="n">
        <v>10.55</v>
      </c>
      <c r="D274" s="8">
        <f>-PV(B274/100,5,B273/100,1)</f>
        <v/>
      </c>
      <c r="E274" s="8">
        <f>-PV(C274/100,7,C273/100,1)</f>
        <v/>
      </c>
      <c r="F274" s="8">
        <f>$B$3*(B273/100/12+(D274-1))+$B$4*(C273/100/12+(E274-1))</f>
        <v/>
      </c>
      <c r="G274" s="8">
        <f>G273*(1+F274)</f>
        <v/>
      </c>
    </row>
    <row r="275">
      <c r="A275" s="8" t="inlineStr">
        <is>
          <t>1975-08-01</t>
        </is>
      </c>
      <c r="B275" s="6" t="n">
        <v>8.33</v>
      </c>
      <c r="C275" s="6" t="n">
        <v>10.59</v>
      </c>
      <c r="D275" s="8">
        <f>-PV(B275/100,5,B274/100,1)</f>
        <v/>
      </c>
      <c r="E275" s="8">
        <f>-PV(C275/100,7,C274/100,1)</f>
        <v/>
      </c>
      <c r="F275" s="8">
        <f>$B$3*(B274/100/12+(D275-1))+$B$4*(C274/100/12+(E275-1))</f>
        <v/>
      </c>
      <c r="G275" s="8">
        <f>G274*(1+F275)</f>
        <v/>
      </c>
    </row>
    <row r="276">
      <c r="A276" s="8" t="inlineStr">
        <is>
          <t>1975-09-01</t>
        </is>
      </c>
      <c r="B276" s="6" t="n">
        <v>8.369999999999999</v>
      </c>
      <c r="C276" s="6" t="n">
        <v>10.61</v>
      </c>
      <c r="D276" s="8">
        <f>-PV(B276/100,5,B275/100,1)</f>
        <v/>
      </c>
      <c r="E276" s="8">
        <f>-PV(C276/100,7,C275/100,1)</f>
        <v/>
      </c>
      <c r="F276" s="8">
        <f>$B$3*(B275/100/12+(D276-1))+$B$4*(C275/100/12+(E276-1))</f>
        <v/>
      </c>
      <c r="G276" s="8">
        <f>G275*(1+F276)</f>
        <v/>
      </c>
    </row>
    <row r="277">
      <c r="A277" s="8" t="inlineStr">
        <is>
          <t>1975-10-01</t>
        </is>
      </c>
      <c r="B277" s="6" t="n">
        <v>7.97</v>
      </c>
      <c r="C277" s="6" t="n">
        <v>10.62</v>
      </c>
      <c r="D277" s="8">
        <f>-PV(B277/100,5,B276/100,1)</f>
        <v/>
      </c>
      <c r="E277" s="8">
        <f>-PV(C277/100,7,C276/100,1)</f>
        <v/>
      </c>
      <c r="F277" s="8">
        <f>$B$3*(B276/100/12+(D277-1))+$B$4*(C276/100/12+(E277-1))</f>
        <v/>
      </c>
      <c r="G277" s="8">
        <f>G276*(1+F277)</f>
        <v/>
      </c>
    </row>
    <row r="278">
      <c r="A278" s="8" t="inlineStr">
        <is>
          <t>1975-11-01</t>
        </is>
      </c>
      <c r="B278" s="6" t="n">
        <v>7.8</v>
      </c>
      <c r="C278" s="6" t="n">
        <v>10.56</v>
      </c>
      <c r="D278" s="8">
        <f>-PV(B278/100,5,B277/100,1)</f>
        <v/>
      </c>
      <c r="E278" s="8">
        <f>-PV(C278/100,7,C277/100,1)</f>
        <v/>
      </c>
      <c r="F278" s="8">
        <f>$B$3*(B277/100/12+(D278-1))+$B$4*(C277/100/12+(E278-1))</f>
        <v/>
      </c>
      <c r="G278" s="8">
        <f>G277*(1+F278)</f>
        <v/>
      </c>
    </row>
    <row r="279">
      <c r="A279" s="8" t="inlineStr">
        <is>
          <t>1975-12-01</t>
        </is>
      </c>
      <c r="B279" s="6" t="n">
        <v>7.76</v>
      </c>
      <c r="C279" s="6" t="n">
        <v>10.56</v>
      </c>
      <c r="D279" s="8">
        <f>-PV(B279/100,5,B278/100,1)</f>
        <v/>
      </c>
      <c r="E279" s="8">
        <f>-PV(C279/100,7,C278/100,1)</f>
        <v/>
      </c>
      <c r="F279" s="8">
        <f>$B$3*(B278/100/12+(D279-1))+$B$4*(C278/100/12+(E279-1))</f>
        <v/>
      </c>
      <c r="G279" s="8">
        <f>G278*(1+F279)</f>
        <v/>
      </c>
    </row>
    <row r="280">
      <c r="A280" s="8" t="inlineStr">
        <is>
          <t>1976-01-01</t>
        </is>
      </c>
      <c r="B280" s="6" t="n">
        <v>7.46</v>
      </c>
      <c r="C280" s="6" t="n">
        <v>10.41</v>
      </c>
      <c r="D280" s="8">
        <f>-PV(B280/100,5,B279/100,1)</f>
        <v/>
      </c>
      <c r="E280" s="8">
        <f>-PV(C280/100,7,C279/100,1)</f>
        <v/>
      </c>
      <c r="F280" s="8">
        <f>$B$3*(B279/100/12+(D280-1))+$B$4*(C279/100/12+(E280-1))</f>
        <v/>
      </c>
      <c r="G280" s="8">
        <f>G279*(1+F280)</f>
        <v/>
      </c>
    </row>
    <row r="281">
      <c r="A281" s="8" t="inlineStr">
        <is>
          <t>1976-02-01</t>
        </is>
      </c>
      <c r="B281" s="6" t="n">
        <v>7.45</v>
      </c>
      <c r="C281" s="6" t="n">
        <v>10.24</v>
      </c>
      <c r="D281" s="8">
        <f>-PV(B281/100,5,B280/100,1)</f>
        <v/>
      </c>
      <c r="E281" s="8">
        <f>-PV(C281/100,7,C280/100,1)</f>
        <v/>
      </c>
      <c r="F281" s="8">
        <f>$B$3*(B280/100/12+(D281-1))+$B$4*(C280/100/12+(E281-1))</f>
        <v/>
      </c>
      <c r="G281" s="8">
        <f>G280*(1+F281)</f>
        <v/>
      </c>
    </row>
    <row r="282">
      <c r="A282" s="8" t="inlineStr">
        <is>
          <t>1976-03-01</t>
        </is>
      </c>
      <c r="B282" s="6" t="n">
        <v>7.49</v>
      </c>
      <c r="C282" s="6" t="n">
        <v>10.12</v>
      </c>
      <c r="D282" s="8">
        <f>-PV(B282/100,5,B281/100,1)</f>
        <v/>
      </c>
      <c r="E282" s="8">
        <f>-PV(C282/100,7,C281/100,1)</f>
        <v/>
      </c>
      <c r="F282" s="8">
        <f>$B$3*(B281/100/12+(D282-1))+$B$4*(C281/100/12+(E282-1))</f>
        <v/>
      </c>
      <c r="G282" s="8">
        <f>G281*(1+F282)</f>
        <v/>
      </c>
    </row>
    <row r="283">
      <c r="A283" s="8" t="inlineStr">
        <is>
          <t>1976-04-01</t>
        </is>
      </c>
      <c r="B283" s="6" t="n">
        <v>7.25</v>
      </c>
      <c r="C283" s="6" t="n">
        <v>9.94</v>
      </c>
      <c r="D283" s="8">
        <f>-PV(B283/100,5,B282/100,1)</f>
        <v/>
      </c>
      <c r="E283" s="8">
        <f>-PV(C283/100,7,C282/100,1)</f>
        <v/>
      </c>
      <c r="F283" s="8">
        <f>$B$3*(B282/100/12+(D283-1))+$B$4*(C282/100/12+(E283-1))</f>
        <v/>
      </c>
      <c r="G283" s="8">
        <f>G282*(1+F283)</f>
        <v/>
      </c>
    </row>
    <row r="284">
      <c r="A284" s="8" t="inlineStr">
        <is>
          <t>1976-05-01</t>
        </is>
      </c>
      <c r="B284" s="6" t="n">
        <v>7.59</v>
      </c>
      <c r="C284" s="6" t="n">
        <v>9.859999999999999</v>
      </c>
      <c r="D284" s="8">
        <f>-PV(B284/100,5,B283/100,1)</f>
        <v/>
      </c>
      <c r="E284" s="8">
        <f>-PV(C284/100,7,C283/100,1)</f>
        <v/>
      </c>
      <c r="F284" s="8">
        <f>$B$3*(B283/100/12+(D284-1))+$B$4*(C283/100/12+(E284-1))</f>
        <v/>
      </c>
      <c r="G284" s="8">
        <f>G283*(1+F284)</f>
        <v/>
      </c>
    </row>
    <row r="285">
      <c r="A285" s="8" t="inlineStr">
        <is>
          <t>1976-06-01</t>
        </is>
      </c>
      <c r="B285" s="6" t="n">
        <v>7.61</v>
      </c>
      <c r="C285" s="6" t="n">
        <v>9.890000000000001</v>
      </c>
      <c r="D285" s="8">
        <f>-PV(B285/100,5,B284/100,1)</f>
        <v/>
      </c>
      <c r="E285" s="8">
        <f>-PV(C285/100,7,C284/100,1)</f>
        <v/>
      </c>
      <c r="F285" s="8">
        <f>$B$3*(B284/100/12+(D285-1))+$B$4*(C284/100/12+(E285-1))</f>
        <v/>
      </c>
      <c r="G285" s="8">
        <f>G284*(1+F285)</f>
        <v/>
      </c>
    </row>
    <row r="286">
      <c r="A286" s="8" t="inlineStr">
        <is>
          <t>1976-07-01</t>
        </is>
      </c>
      <c r="B286" s="6" t="n">
        <v>7.49</v>
      </c>
      <c r="C286" s="6" t="n">
        <v>9.82</v>
      </c>
      <c r="D286" s="8">
        <f>-PV(B286/100,5,B285/100,1)</f>
        <v/>
      </c>
      <c r="E286" s="8">
        <f>-PV(C286/100,7,C285/100,1)</f>
        <v/>
      </c>
      <c r="F286" s="8">
        <f>$B$3*(B285/100/12+(D286-1))+$B$4*(C285/100/12+(E286-1))</f>
        <v/>
      </c>
      <c r="G286" s="8">
        <f>G285*(1+F286)</f>
        <v/>
      </c>
    </row>
    <row r="287">
      <c r="A287" s="8" t="inlineStr">
        <is>
          <t>1976-08-01</t>
        </is>
      </c>
      <c r="B287" s="6" t="n">
        <v>7.31</v>
      </c>
      <c r="C287" s="6" t="n">
        <v>9.640000000000001</v>
      </c>
      <c r="D287" s="8">
        <f>-PV(B287/100,5,B286/100,1)</f>
        <v/>
      </c>
      <c r="E287" s="8">
        <f>-PV(C287/100,7,C286/100,1)</f>
        <v/>
      </c>
      <c r="F287" s="8">
        <f>$B$3*(B286/100/12+(D287-1))+$B$4*(C286/100/12+(E287-1))</f>
        <v/>
      </c>
      <c r="G287" s="8">
        <f>G286*(1+F287)</f>
        <v/>
      </c>
    </row>
    <row r="288">
      <c r="A288" s="8" t="inlineStr">
        <is>
          <t>1976-09-01</t>
        </is>
      </c>
      <c r="B288" s="6" t="n">
        <v>7.13</v>
      </c>
      <c r="C288" s="6" t="n">
        <v>9.4</v>
      </c>
      <c r="D288" s="8">
        <f>-PV(B288/100,5,B287/100,1)</f>
        <v/>
      </c>
      <c r="E288" s="8">
        <f>-PV(C288/100,7,C287/100,1)</f>
        <v/>
      </c>
      <c r="F288" s="8">
        <f>$B$3*(B287/100/12+(D288-1))+$B$4*(C287/100/12+(E288-1))</f>
        <v/>
      </c>
      <c r="G288" s="8">
        <f>G287*(1+F288)</f>
        <v/>
      </c>
    </row>
    <row r="289">
      <c r="A289" s="8" t="inlineStr">
        <is>
          <t>1976-10-01</t>
        </is>
      </c>
      <c r="B289" s="6" t="n">
        <v>6.75</v>
      </c>
      <c r="C289" s="6" t="n">
        <v>9.289999999999999</v>
      </c>
      <c r="D289" s="8">
        <f>-PV(B289/100,5,B288/100,1)</f>
        <v/>
      </c>
      <c r="E289" s="8">
        <f>-PV(C289/100,7,C288/100,1)</f>
        <v/>
      </c>
      <c r="F289" s="8">
        <f>$B$3*(B288/100/12+(D289-1))+$B$4*(C288/100/12+(E289-1))</f>
        <v/>
      </c>
      <c r="G289" s="8">
        <f>G288*(1+F289)</f>
        <v/>
      </c>
    </row>
    <row r="290">
      <c r="A290" s="8" t="inlineStr">
        <is>
          <t>1976-11-01</t>
        </is>
      </c>
      <c r="B290" s="6" t="n">
        <v>6.52</v>
      </c>
      <c r="C290" s="6" t="n">
        <v>9.23</v>
      </c>
      <c r="D290" s="8">
        <f>-PV(B290/100,5,B289/100,1)</f>
        <v/>
      </c>
      <c r="E290" s="8">
        <f>-PV(C290/100,7,C289/100,1)</f>
        <v/>
      </c>
      <c r="F290" s="8">
        <f>$B$3*(B289/100/12+(D290-1))+$B$4*(C289/100/12+(E290-1))</f>
        <v/>
      </c>
      <c r="G290" s="8">
        <f>G289*(1+F290)</f>
        <v/>
      </c>
    </row>
    <row r="291">
      <c r="A291" s="8" t="inlineStr">
        <is>
          <t>1976-12-01</t>
        </is>
      </c>
      <c r="B291" s="6" t="n">
        <v>6.1</v>
      </c>
      <c r="C291" s="6" t="n">
        <v>9.119999999999999</v>
      </c>
      <c r="D291" s="8">
        <f>-PV(B291/100,5,B290/100,1)</f>
        <v/>
      </c>
      <c r="E291" s="8">
        <f>-PV(C291/100,7,C290/100,1)</f>
        <v/>
      </c>
      <c r="F291" s="8">
        <f>$B$3*(B290/100/12+(D291-1))+$B$4*(C290/100/12+(E291-1))</f>
        <v/>
      </c>
      <c r="G291" s="8">
        <f>G290*(1+F291)</f>
        <v/>
      </c>
    </row>
    <row r="292">
      <c r="A292" s="8" t="inlineStr">
        <is>
          <t>1977-01-01</t>
        </is>
      </c>
      <c r="B292" s="6" t="n">
        <v>6.58</v>
      </c>
      <c r="C292" s="6" t="n">
        <v>9.08</v>
      </c>
      <c r="D292" s="8">
        <f>-PV(B292/100,5,B291/100,1)</f>
        <v/>
      </c>
      <c r="E292" s="8">
        <f>-PV(C292/100,7,C291/100,1)</f>
        <v/>
      </c>
      <c r="F292" s="8">
        <f>$B$3*(B291/100/12+(D292-1))+$B$4*(C291/100/12+(E292-1))</f>
        <v/>
      </c>
      <c r="G292" s="8">
        <f>G291*(1+F292)</f>
        <v/>
      </c>
    </row>
    <row r="293">
      <c r="A293" s="8" t="inlineStr">
        <is>
          <t>1977-02-01</t>
        </is>
      </c>
      <c r="B293" s="6" t="n">
        <v>6.83</v>
      </c>
      <c r="C293" s="6" t="n">
        <v>9.119999999999999</v>
      </c>
      <c r="D293" s="8">
        <f>-PV(B293/100,5,B292/100,1)</f>
        <v/>
      </c>
      <c r="E293" s="8">
        <f>-PV(C293/100,7,C292/100,1)</f>
        <v/>
      </c>
      <c r="F293" s="8">
        <f>$B$3*(B292/100/12+(D293-1))+$B$4*(C292/100/12+(E293-1))</f>
        <v/>
      </c>
      <c r="G293" s="8">
        <f>G292*(1+F293)</f>
        <v/>
      </c>
    </row>
    <row r="294">
      <c r="A294" s="8" t="inlineStr">
        <is>
          <t>1977-03-01</t>
        </is>
      </c>
      <c r="B294" s="6" t="n">
        <v>6.93</v>
      </c>
      <c r="C294" s="6" t="n">
        <v>9.119999999999999</v>
      </c>
      <c r="D294" s="8">
        <f>-PV(B294/100,5,B293/100,1)</f>
        <v/>
      </c>
      <c r="E294" s="8">
        <f>-PV(C294/100,7,C293/100,1)</f>
        <v/>
      </c>
      <c r="F294" s="8">
        <f>$B$3*(B293/100/12+(D294-1))+$B$4*(C293/100/12+(E294-1))</f>
        <v/>
      </c>
      <c r="G294" s="8">
        <f>G293*(1+F294)</f>
        <v/>
      </c>
    </row>
    <row r="295">
      <c r="A295" s="8" t="inlineStr">
        <is>
          <t>1977-04-01</t>
        </is>
      </c>
      <c r="B295" s="6" t="n">
        <v>6.79</v>
      </c>
      <c r="C295" s="6" t="n">
        <v>9.07</v>
      </c>
      <c r="D295" s="8">
        <f>-PV(B295/100,5,B294/100,1)</f>
        <v/>
      </c>
      <c r="E295" s="8">
        <f>-PV(C295/100,7,C294/100,1)</f>
        <v/>
      </c>
      <c r="F295" s="8">
        <f>$B$3*(B294/100/12+(D295-1))+$B$4*(C294/100/12+(E295-1))</f>
        <v/>
      </c>
      <c r="G295" s="8">
        <f>G294*(1+F295)</f>
        <v/>
      </c>
    </row>
    <row r="296">
      <c r="A296" s="8" t="inlineStr">
        <is>
          <t>1977-05-01</t>
        </is>
      </c>
      <c r="B296" s="6" t="n">
        <v>6.94</v>
      </c>
      <c r="C296" s="6" t="n">
        <v>9.01</v>
      </c>
      <c r="D296" s="8">
        <f>-PV(B296/100,5,B295/100,1)</f>
        <v/>
      </c>
      <c r="E296" s="8">
        <f>-PV(C296/100,7,C295/100,1)</f>
        <v/>
      </c>
      <c r="F296" s="8">
        <f>$B$3*(B295/100/12+(D296-1))+$B$4*(C295/100/12+(E296-1))</f>
        <v/>
      </c>
      <c r="G296" s="8">
        <f>G295*(1+F296)</f>
        <v/>
      </c>
    </row>
    <row r="297">
      <c r="A297" s="8" t="inlineStr">
        <is>
          <t>1977-06-01</t>
        </is>
      </c>
      <c r="B297" s="6" t="n">
        <v>6.76</v>
      </c>
      <c r="C297" s="6" t="n">
        <v>8.91</v>
      </c>
      <c r="D297" s="8">
        <f>-PV(B297/100,5,B296/100,1)</f>
        <v/>
      </c>
      <c r="E297" s="8">
        <f>-PV(C297/100,7,C296/100,1)</f>
        <v/>
      </c>
      <c r="F297" s="8">
        <f>$B$3*(B296/100/12+(D297-1))+$B$4*(C296/100/12+(E297-1))</f>
        <v/>
      </c>
      <c r="G297" s="8">
        <f>G296*(1+F297)</f>
        <v/>
      </c>
    </row>
    <row r="298">
      <c r="A298" s="8" t="inlineStr">
        <is>
          <t>1977-07-01</t>
        </is>
      </c>
      <c r="B298" s="6" t="n">
        <v>6.84</v>
      </c>
      <c r="C298" s="6" t="n">
        <v>8.869999999999999</v>
      </c>
      <c r="D298" s="8">
        <f>-PV(B298/100,5,B297/100,1)</f>
        <v/>
      </c>
      <c r="E298" s="8">
        <f>-PV(C298/100,7,C297/100,1)</f>
        <v/>
      </c>
      <c r="F298" s="8">
        <f>$B$3*(B297/100/12+(D298-1))+$B$4*(C297/100/12+(E298-1))</f>
        <v/>
      </c>
      <c r="G298" s="8">
        <f>G297*(1+F298)</f>
        <v/>
      </c>
    </row>
    <row r="299">
      <c r="A299" s="8" t="inlineStr">
        <is>
          <t>1977-08-01</t>
        </is>
      </c>
      <c r="B299" s="6" t="n">
        <v>7.03</v>
      </c>
      <c r="C299" s="6" t="n">
        <v>8.82</v>
      </c>
      <c r="D299" s="8">
        <f>-PV(B299/100,5,B298/100,1)</f>
        <v/>
      </c>
      <c r="E299" s="8">
        <f>-PV(C299/100,7,C298/100,1)</f>
        <v/>
      </c>
      <c r="F299" s="8">
        <f>$B$3*(B298/100/12+(D299-1))+$B$4*(C298/100/12+(E299-1))</f>
        <v/>
      </c>
      <c r="G299" s="8">
        <f>G298*(1+F299)</f>
        <v/>
      </c>
    </row>
    <row r="300">
      <c r="A300" s="8" t="inlineStr">
        <is>
          <t>1977-09-01</t>
        </is>
      </c>
      <c r="B300" s="6" t="n">
        <v>7.04</v>
      </c>
      <c r="C300" s="6" t="n">
        <v>8.800000000000001</v>
      </c>
      <c r="D300" s="8">
        <f>-PV(B300/100,5,B299/100,1)</f>
        <v/>
      </c>
      <c r="E300" s="8">
        <f>-PV(C300/100,7,C299/100,1)</f>
        <v/>
      </c>
      <c r="F300" s="8">
        <f>$B$3*(B299/100/12+(D300-1))+$B$4*(C299/100/12+(E300-1))</f>
        <v/>
      </c>
      <c r="G300" s="8">
        <f>G299*(1+F300)</f>
        <v/>
      </c>
    </row>
    <row r="301">
      <c r="A301" s="8" t="inlineStr">
        <is>
          <t>1977-10-01</t>
        </is>
      </c>
      <c r="B301" s="6" t="n">
        <v>7.32</v>
      </c>
      <c r="C301" s="6" t="n">
        <v>8.890000000000001</v>
      </c>
      <c r="D301" s="8">
        <f>-PV(B301/100,5,B300/100,1)</f>
        <v/>
      </c>
      <c r="E301" s="8">
        <f>-PV(C301/100,7,C300/100,1)</f>
        <v/>
      </c>
      <c r="F301" s="8">
        <f>$B$3*(B300/100/12+(D301-1))+$B$4*(C300/100/12+(E301-1))</f>
        <v/>
      </c>
      <c r="G301" s="8">
        <f>G300*(1+F301)</f>
        <v/>
      </c>
    </row>
    <row r="302">
      <c r="A302" s="8" t="inlineStr">
        <is>
          <t>1977-11-01</t>
        </is>
      </c>
      <c r="B302" s="6" t="n">
        <v>7.34</v>
      </c>
      <c r="C302" s="6" t="n">
        <v>8.949999999999999</v>
      </c>
      <c r="D302" s="8">
        <f>-PV(B302/100,5,B301/100,1)</f>
        <v/>
      </c>
      <c r="E302" s="8">
        <f>-PV(C302/100,7,C301/100,1)</f>
        <v/>
      </c>
      <c r="F302" s="8">
        <f>$B$3*(B301/100/12+(D302-1))+$B$4*(C301/100/12+(E302-1))</f>
        <v/>
      </c>
      <c r="G302" s="8">
        <f>G301*(1+F302)</f>
        <v/>
      </c>
    </row>
    <row r="303">
      <c r="A303" s="8" t="inlineStr">
        <is>
          <t>1977-12-01</t>
        </is>
      </c>
      <c r="B303" s="6" t="n">
        <v>7.48</v>
      </c>
      <c r="C303" s="6" t="n">
        <v>8.99</v>
      </c>
      <c r="D303" s="8">
        <f>-PV(B303/100,5,B302/100,1)</f>
        <v/>
      </c>
      <c r="E303" s="8">
        <f>-PV(C303/100,7,C302/100,1)</f>
        <v/>
      </c>
      <c r="F303" s="8">
        <f>$B$3*(B302/100/12+(D303-1))+$B$4*(C302/100/12+(E303-1))</f>
        <v/>
      </c>
      <c r="G303" s="8">
        <f>G302*(1+F303)</f>
        <v/>
      </c>
    </row>
    <row r="304">
      <c r="A304" s="8" t="inlineStr">
        <is>
          <t>1978-01-01</t>
        </is>
      </c>
      <c r="B304" s="6" t="n">
        <v>7.77</v>
      </c>
      <c r="C304" s="6" t="n">
        <v>9.17</v>
      </c>
      <c r="D304" s="8">
        <f>-PV(B304/100,5,B303/100,1)</f>
        <v/>
      </c>
      <c r="E304" s="8">
        <f>-PV(C304/100,7,C303/100,1)</f>
        <v/>
      </c>
      <c r="F304" s="8">
        <f>$B$3*(B303/100/12+(D304-1))+$B$4*(C303/100/12+(E304-1))</f>
        <v/>
      </c>
      <c r="G304" s="8">
        <f>G303*(1+F304)</f>
        <v/>
      </c>
    </row>
    <row r="305">
      <c r="A305" s="8" t="inlineStr">
        <is>
          <t>1978-02-01</t>
        </is>
      </c>
      <c r="B305" s="6" t="n">
        <v>7.83</v>
      </c>
      <c r="C305" s="6" t="n">
        <v>9.199999999999999</v>
      </c>
      <c r="D305" s="8">
        <f>-PV(B305/100,5,B304/100,1)</f>
        <v/>
      </c>
      <c r="E305" s="8">
        <f>-PV(C305/100,7,C304/100,1)</f>
        <v/>
      </c>
      <c r="F305" s="8">
        <f>$B$3*(B304/100/12+(D305-1))+$B$4*(C304/100/12+(E305-1))</f>
        <v/>
      </c>
      <c r="G305" s="8">
        <f>G304*(1+F305)</f>
        <v/>
      </c>
    </row>
    <row r="306">
      <c r="A306" s="8" t="inlineStr">
        <is>
          <t>1978-03-01</t>
        </is>
      </c>
      <c r="B306" s="6" t="n">
        <v>7.86</v>
      </c>
      <c r="C306" s="6" t="n">
        <v>9.220000000000001</v>
      </c>
      <c r="D306" s="8">
        <f>-PV(B306/100,5,B305/100,1)</f>
        <v/>
      </c>
      <c r="E306" s="8">
        <f>-PV(C306/100,7,C305/100,1)</f>
        <v/>
      </c>
      <c r="F306" s="8">
        <f>$B$3*(B305/100/12+(D306-1))+$B$4*(C305/100/12+(E306-1))</f>
        <v/>
      </c>
      <c r="G306" s="8">
        <f>G305*(1+F306)</f>
        <v/>
      </c>
    </row>
    <row r="307">
      <c r="A307" s="8" t="inlineStr">
        <is>
          <t>1978-04-01</t>
        </is>
      </c>
      <c r="B307" s="6" t="n">
        <v>7.98</v>
      </c>
      <c r="C307" s="6" t="n">
        <v>9.32</v>
      </c>
      <c r="D307" s="8">
        <f>-PV(B307/100,5,B306/100,1)</f>
        <v/>
      </c>
      <c r="E307" s="8">
        <f>-PV(C307/100,7,C306/100,1)</f>
        <v/>
      </c>
      <c r="F307" s="8">
        <f>$B$3*(B306/100/12+(D307-1))+$B$4*(C306/100/12+(E307-1))</f>
        <v/>
      </c>
      <c r="G307" s="8">
        <f>G306*(1+F307)</f>
        <v/>
      </c>
    </row>
    <row r="308">
      <c r="A308" s="8" t="inlineStr">
        <is>
          <t>1978-05-01</t>
        </is>
      </c>
      <c r="B308" s="6" t="n">
        <v>8.18</v>
      </c>
      <c r="C308" s="6" t="n">
        <v>9.49</v>
      </c>
      <c r="D308" s="8">
        <f>-PV(B308/100,5,B307/100,1)</f>
        <v/>
      </c>
      <c r="E308" s="8">
        <f>-PV(C308/100,7,C307/100,1)</f>
        <v/>
      </c>
      <c r="F308" s="8">
        <f>$B$3*(B307/100/12+(D308-1))+$B$4*(C307/100/12+(E308-1))</f>
        <v/>
      </c>
      <c r="G308" s="8">
        <f>G307*(1+F308)</f>
        <v/>
      </c>
    </row>
    <row r="309">
      <c r="A309" s="8" t="inlineStr">
        <is>
          <t>1978-06-01</t>
        </is>
      </c>
      <c r="B309" s="6" t="n">
        <v>8.359999999999999</v>
      </c>
      <c r="C309" s="6" t="n">
        <v>9.6</v>
      </c>
      <c r="D309" s="8">
        <f>-PV(B309/100,5,B308/100,1)</f>
        <v/>
      </c>
      <c r="E309" s="8">
        <f>-PV(C309/100,7,C308/100,1)</f>
        <v/>
      </c>
      <c r="F309" s="8">
        <f>$B$3*(B308/100/12+(D309-1))+$B$4*(C308/100/12+(E309-1))</f>
        <v/>
      </c>
      <c r="G309" s="8">
        <f>G308*(1+F309)</f>
        <v/>
      </c>
    </row>
    <row r="310">
      <c r="A310" s="8" t="inlineStr">
        <is>
          <t>1978-07-01</t>
        </is>
      </c>
      <c r="B310" s="6" t="n">
        <v>8.539999999999999</v>
      </c>
      <c r="C310" s="6" t="n">
        <v>9.6</v>
      </c>
      <c r="D310" s="8">
        <f>-PV(B310/100,5,B309/100,1)</f>
        <v/>
      </c>
      <c r="E310" s="8">
        <f>-PV(C310/100,7,C309/100,1)</f>
        <v/>
      </c>
      <c r="F310" s="8">
        <f>$B$3*(B309/100/12+(D310-1))+$B$4*(C309/100/12+(E310-1))</f>
        <v/>
      </c>
      <c r="G310" s="8">
        <f>G309*(1+F310)</f>
        <v/>
      </c>
    </row>
    <row r="311">
      <c r="A311" s="8" t="inlineStr">
        <is>
          <t>1978-08-01</t>
        </is>
      </c>
      <c r="B311" s="6" t="n">
        <v>8.33</v>
      </c>
      <c r="C311" s="6" t="n">
        <v>9.48</v>
      </c>
      <c r="D311" s="8">
        <f>-PV(B311/100,5,B310/100,1)</f>
        <v/>
      </c>
      <c r="E311" s="8">
        <f>-PV(C311/100,7,C310/100,1)</f>
        <v/>
      </c>
      <c r="F311" s="8">
        <f>$B$3*(B310/100/12+(D311-1))+$B$4*(C310/100/12+(E311-1))</f>
        <v/>
      </c>
      <c r="G311" s="8">
        <f>G310*(1+F311)</f>
        <v/>
      </c>
    </row>
    <row r="312">
      <c r="A312" s="8" t="inlineStr">
        <is>
          <t>1978-09-01</t>
        </is>
      </c>
      <c r="B312" s="6" t="n">
        <v>8.43</v>
      </c>
      <c r="C312" s="6" t="n">
        <v>9.42</v>
      </c>
      <c r="D312" s="8">
        <f>-PV(B312/100,5,B311/100,1)</f>
        <v/>
      </c>
      <c r="E312" s="8">
        <f>-PV(C312/100,7,C311/100,1)</f>
        <v/>
      </c>
      <c r="F312" s="8">
        <f>$B$3*(B311/100/12+(D312-1))+$B$4*(C311/100/12+(E312-1))</f>
        <v/>
      </c>
      <c r="G312" s="8">
        <f>G311*(1+F312)</f>
        <v/>
      </c>
    </row>
    <row r="313">
      <c r="A313" s="8" t="inlineStr">
        <is>
          <t>1978-10-01</t>
        </is>
      </c>
      <c r="B313" s="6" t="n">
        <v>8.609999999999999</v>
      </c>
      <c r="C313" s="6" t="n">
        <v>9.59</v>
      </c>
      <c r="D313" s="8">
        <f>-PV(B313/100,5,B312/100,1)</f>
        <v/>
      </c>
      <c r="E313" s="8">
        <f>-PV(C313/100,7,C312/100,1)</f>
        <v/>
      </c>
      <c r="F313" s="8">
        <f>$B$3*(B312/100/12+(D313-1))+$B$4*(C312/100/12+(E313-1))</f>
        <v/>
      </c>
      <c r="G313" s="8">
        <f>G312*(1+F313)</f>
        <v/>
      </c>
    </row>
    <row r="314">
      <c r="A314" s="8" t="inlineStr">
        <is>
          <t>1978-11-01</t>
        </is>
      </c>
      <c r="B314" s="6" t="n">
        <v>8.84</v>
      </c>
      <c r="C314" s="6" t="n">
        <v>9.83</v>
      </c>
      <c r="D314" s="8">
        <f>-PV(B314/100,5,B313/100,1)</f>
        <v/>
      </c>
      <c r="E314" s="8">
        <f>-PV(C314/100,7,C313/100,1)</f>
        <v/>
      </c>
      <c r="F314" s="8">
        <f>$B$3*(B313/100/12+(D314-1))+$B$4*(C313/100/12+(E314-1))</f>
        <v/>
      </c>
      <c r="G314" s="8">
        <f>G313*(1+F314)</f>
        <v/>
      </c>
    </row>
    <row r="315">
      <c r="A315" s="8" t="inlineStr">
        <is>
          <t>1978-12-01</t>
        </is>
      </c>
      <c r="B315" s="6" t="n">
        <v>9.08</v>
      </c>
      <c r="C315" s="6" t="n">
        <v>9.94</v>
      </c>
      <c r="D315" s="8">
        <f>-PV(B315/100,5,B314/100,1)</f>
        <v/>
      </c>
      <c r="E315" s="8">
        <f>-PV(C315/100,7,C314/100,1)</f>
        <v/>
      </c>
      <c r="F315" s="8">
        <f>$B$3*(B314/100/12+(D315-1))+$B$4*(C314/100/12+(E315-1))</f>
        <v/>
      </c>
      <c r="G315" s="8">
        <f>G314*(1+F315)</f>
        <v/>
      </c>
    </row>
    <row r="316">
      <c r="A316" s="8" t="inlineStr">
        <is>
          <t>1979-01-01</t>
        </is>
      </c>
      <c r="B316" s="6" t="n">
        <v>9.199999999999999</v>
      </c>
      <c r="C316" s="6" t="n">
        <v>10.13</v>
      </c>
      <c r="D316" s="8">
        <f>-PV(B316/100,5,B315/100,1)</f>
        <v/>
      </c>
      <c r="E316" s="8">
        <f>-PV(C316/100,7,C315/100,1)</f>
        <v/>
      </c>
      <c r="F316" s="8">
        <f>$B$3*(B315/100/12+(D316-1))+$B$4*(C315/100/12+(E316-1))</f>
        <v/>
      </c>
      <c r="G316" s="8">
        <f>G315*(1+F316)</f>
        <v/>
      </c>
    </row>
    <row r="317">
      <c r="A317" s="8" t="inlineStr">
        <is>
          <t>1979-02-01</t>
        </is>
      </c>
      <c r="B317" s="6" t="n">
        <v>9.130000000000001</v>
      </c>
      <c r="C317" s="6" t="n">
        <v>10.08</v>
      </c>
      <c r="D317" s="8">
        <f>-PV(B317/100,5,B316/100,1)</f>
        <v/>
      </c>
      <c r="E317" s="8">
        <f>-PV(C317/100,7,C316/100,1)</f>
        <v/>
      </c>
      <c r="F317" s="8">
        <f>$B$3*(B316/100/12+(D317-1))+$B$4*(C316/100/12+(E317-1))</f>
        <v/>
      </c>
      <c r="G317" s="8">
        <f>G316*(1+F317)</f>
        <v/>
      </c>
    </row>
    <row r="318">
      <c r="A318" s="8" t="inlineStr">
        <is>
          <t>1979-03-01</t>
        </is>
      </c>
      <c r="B318" s="6" t="n">
        <v>9.199999999999999</v>
      </c>
      <c r="C318" s="6" t="n">
        <v>10.26</v>
      </c>
      <c r="D318" s="8">
        <f>-PV(B318/100,5,B317/100,1)</f>
        <v/>
      </c>
      <c r="E318" s="8">
        <f>-PV(C318/100,7,C317/100,1)</f>
        <v/>
      </c>
      <c r="F318" s="8">
        <f>$B$3*(B317/100/12+(D318-1))+$B$4*(C317/100/12+(E318-1))</f>
        <v/>
      </c>
      <c r="G318" s="8">
        <f>G317*(1+F318)</f>
        <v/>
      </c>
    </row>
    <row r="319">
      <c r="A319" s="8" t="inlineStr">
        <is>
          <t>1979-04-01</t>
        </is>
      </c>
      <c r="B319" s="6" t="n">
        <v>9.25</v>
      </c>
      <c r="C319" s="6" t="n">
        <v>10.33</v>
      </c>
      <c r="D319" s="8">
        <f>-PV(B319/100,5,B318/100,1)</f>
        <v/>
      </c>
      <c r="E319" s="8">
        <f>-PV(C319/100,7,C318/100,1)</f>
        <v/>
      </c>
      <c r="F319" s="8">
        <f>$B$3*(B318/100/12+(D319-1))+$B$4*(C318/100/12+(E319-1))</f>
        <v/>
      </c>
      <c r="G319" s="8">
        <f>G318*(1+F319)</f>
        <v/>
      </c>
    </row>
    <row r="320">
      <c r="A320" s="8" t="inlineStr">
        <is>
          <t>1979-05-01</t>
        </is>
      </c>
      <c r="B320" s="6" t="n">
        <v>9.24</v>
      </c>
      <c r="C320" s="6" t="n">
        <v>10.47</v>
      </c>
      <c r="D320" s="8">
        <f>-PV(B320/100,5,B319/100,1)</f>
        <v/>
      </c>
      <c r="E320" s="8">
        <f>-PV(C320/100,7,C319/100,1)</f>
        <v/>
      </c>
      <c r="F320" s="8">
        <f>$B$3*(B319/100/12+(D320-1))+$B$4*(C319/100/12+(E320-1))</f>
        <v/>
      </c>
      <c r="G320" s="8">
        <f>G319*(1+F320)</f>
        <v/>
      </c>
    </row>
    <row r="321">
      <c r="A321" s="8" t="inlineStr">
        <is>
          <t>1979-06-01</t>
        </is>
      </c>
      <c r="B321" s="6" t="n">
        <v>8.85</v>
      </c>
      <c r="C321" s="6" t="n">
        <v>10.38</v>
      </c>
      <c r="D321" s="8">
        <f>-PV(B321/100,5,B320/100,1)</f>
        <v/>
      </c>
      <c r="E321" s="8">
        <f>-PV(C321/100,7,C320/100,1)</f>
        <v/>
      </c>
      <c r="F321" s="8">
        <f>$B$3*(B320/100/12+(D321-1))+$B$4*(C320/100/12+(E321-1))</f>
        <v/>
      </c>
      <c r="G321" s="8">
        <f>G320*(1+F321)</f>
        <v/>
      </c>
    </row>
    <row r="322">
      <c r="A322" s="8" t="inlineStr">
        <is>
          <t>1979-07-01</t>
        </is>
      </c>
      <c r="B322" s="6" t="n">
        <v>8.9</v>
      </c>
      <c r="C322" s="6" t="n">
        <v>10.29</v>
      </c>
      <c r="D322" s="8">
        <f>-PV(B322/100,5,B321/100,1)</f>
        <v/>
      </c>
      <c r="E322" s="8">
        <f>-PV(C322/100,7,C321/100,1)</f>
        <v/>
      </c>
      <c r="F322" s="8">
        <f>$B$3*(B321/100/12+(D322-1))+$B$4*(C321/100/12+(E322-1))</f>
        <v/>
      </c>
      <c r="G322" s="8">
        <f>G321*(1+F322)</f>
        <v/>
      </c>
    </row>
    <row r="323">
      <c r="A323" s="8" t="inlineStr">
        <is>
          <t>1979-08-01</t>
        </is>
      </c>
      <c r="B323" s="6" t="n">
        <v>9.06</v>
      </c>
      <c r="C323" s="6" t="n">
        <v>10.35</v>
      </c>
      <c r="D323" s="8">
        <f>-PV(B323/100,5,B322/100,1)</f>
        <v/>
      </c>
      <c r="E323" s="8">
        <f>-PV(C323/100,7,C322/100,1)</f>
        <v/>
      </c>
      <c r="F323" s="8">
        <f>$B$3*(B322/100/12+(D323-1))+$B$4*(C322/100/12+(E323-1))</f>
        <v/>
      </c>
      <c r="G323" s="8">
        <f>G322*(1+F323)</f>
        <v/>
      </c>
    </row>
    <row r="324">
      <c r="A324" s="8" t="inlineStr">
        <is>
          <t>1979-09-01</t>
        </is>
      </c>
      <c r="B324" s="6" t="n">
        <v>9.41</v>
      </c>
      <c r="C324" s="6" t="n">
        <v>10.54</v>
      </c>
      <c r="D324" s="8">
        <f>-PV(B324/100,5,B323/100,1)</f>
        <v/>
      </c>
      <c r="E324" s="8">
        <f>-PV(C324/100,7,C323/100,1)</f>
        <v/>
      </c>
      <c r="F324" s="8">
        <f>$B$3*(B323/100/12+(D324-1))+$B$4*(C323/100/12+(E324-1))</f>
        <v/>
      </c>
      <c r="G324" s="8">
        <f>G323*(1+F324)</f>
        <v/>
      </c>
    </row>
    <row r="325">
      <c r="A325" s="8" t="inlineStr">
        <is>
          <t>1979-10-01</t>
        </is>
      </c>
      <c r="B325" s="6" t="n">
        <v>10.63</v>
      </c>
      <c r="C325" s="6" t="n">
        <v>11.4</v>
      </c>
      <c r="D325" s="8">
        <f>-PV(B325/100,5,B324/100,1)</f>
        <v/>
      </c>
      <c r="E325" s="8">
        <f>-PV(C325/100,7,C324/100,1)</f>
        <v/>
      </c>
      <c r="F325" s="8">
        <f>$B$3*(B324/100/12+(D325-1))+$B$4*(C324/100/12+(E325-1))</f>
        <v/>
      </c>
      <c r="G325" s="8">
        <f>G324*(1+F325)</f>
        <v/>
      </c>
    </row>
    <row r="326">
      <c r="A326" s="8" t="inlineStr">
        <is>
          <t>1979-11-01</t>
        </is>
      </c>
      <c r="B326" s="6" t="n">
        <v>10.93</v>
      </c>
      <c r="C326" s="6" t="n">
        <v>11.99</v>
      </c>
      <c r="D326" s="8">
        <f>-PV(B326/100,5,B325/100,1)</f>
        <v/>
      </c>
      <c r="E326" s="8">
        <f>-PV(C326/100,7,C325/100,1)</f>
        <v/>
      </c>
      <c r="F326" s="8">
        <f>$B$3*(B325/100/12+(D326-1))+$B$4*(C325/100/12+(E326-1))</f>
        <v/>
      </c>
      <c r="G326" s="8">
        <f>G325*(1+F326)</f>
        <v/>
      </c>
    </row>
    <row r="327">
      <c r="A327" s="8" t="inlineStr">
        <is>
          <t>1979-12-01</t>
        </is>
      </c>
      <c r="B327" s="6" t="n">
        <v>10.42</v>
      </c>
      <c r="C327" s="6" t="n">
        <v>12.06</v>
      </c>
      <c r="D327" s="8">
        <f>-PV(B327/100,5,B326/100,1)</f>
        <v/>
      </c>
      <c r="E327" s="8">
        <f>-PV(C327/100,7,C326/100,1)</f>
        <v/>
      </c>
      <c r="F327" s="8">
        <f>$B$3*(B326/100/12+(D327-1))+$B$4*(C326/100/12+(E327-1))</f>
        <v/>
      </c>
      <c r="G327" s="8">
        <f>G326*(1+F327)</f>
        <v/>
      </c>
    </row>
    <row r="328">
      <c r="A328" s="8" t="inlineStr">
        <is>
          <t>1980-01-01</t>
        </is>
      </c>
      <c r="B328" s="6" t="n">
        <v>10.74</v>
      </c>
      <c r="C328" s="6" t="n">
        <v>12.42</v>
      </c>
      <c r="D328" s="8">
        <f>-PV(B328/100,5,B327/100,1)</f>
        <v/>
      </c>
      <c r="E328" s="8">
        <f>-PV(C328/100,7,C327/100,1)</f>
        <v/>
      </c>
      <c r="F328" s="8">
        <f>$B$3*(B327/100/12+(D328-1))+$B$4*(C327/100/12+(E328-1))</f>
        <v/>
      </c>
      <c r="G328" s="8">
        <f>G327*(1+F328)</f>
        <v/>
      </c>
    </row>
    <row r="329">
      <c r="A329" s="8" t="inlineStr">
        <is>
          <t>1980-02-01</t>
        </is>
      </c>
      <c r="B329" s="6" t="n">
        <v>12.6</v>
      </c>
      <c r="C329" s="6" t="n">
        <v>13.57</v>
      </c>
      <c r="D329" s="8">
        <f>-PV(B329/100,5,B328/100,1)</f>
        <v/>
      </c>
      <c r="E329" s="8">
        <f>-PV(C329/100,7,C328/100,1)</f>
        <v/>
      </c>
      <c r="F329" s="8">
        <f>$B$3*(B328/100/12+(D329-1))+$B$4*(C328/100/12+(E329-1))</f>
        <v/>
      </c>
      <c r="G329" s="8">
        <f>G328*(1+F329)</f>
        <v/>
      </c>
    </row>
    <row r="330">
      <c r="A330" s="8" t="inlineStr">
        <is>
          <t>1980-03-01</t>
        </is>
      </c>
      <c r="B330" s="6" t="n">
        <v>13.47</v>
      </c>
      <c r="C330" s="6" t="n">
        <v>14.45</v>
      </c>
      <c r="D330" s="8">
        <f>-PV(B330/100,5,B329/100,1)</f>
        <v/>
      </c>
      <c r="E330" s="8">
        <f>-PV(C330/100,7,C329/100,1)</f>
        <v/>
      </c>
      <c r="F330" s="8">
        <f>$B$3*(B329/100/12+(D330-1))+$B$4*(C329/100/12+(E330-1))</f>
        <v/>
      </c>
      <c r="G330" s="8">
        <f>G329*(1+F330)</f>
        <v/>
      </c>
    </row>
    <row r="331">
      <c r="A331" s="8" t="inlineStr">
        <is>
          <t>1980-04-01</t>
        </is>
      </c>
      <c r="B331" s="6" t="n">
        <v>11.84</v>
      </c>
      <c r="C331" s="6" t="n">
        <v>14.19</v>
      </c>
      <c r="D331" s="8">
        <f>-PV(B331/100,5,B330/100,1)</f>
        <v/>
      </c>
      <c r="E331" s="8">
        <f>-PV(C331/100,7,C330/100,1)</f>
        <v/>
      </c>
      <c r="F331" s="8">
        <f>$B$3*(B330/100/12+(D331-1))+$B$4*(C330/100/12+(E331-1))</f>
        <v/>
      </c>
      <c r="G331" s="8">
        <f>G330*(1+F331)</f>
        <v/>
      </c>
    </row>
    <row r="332">
      <c r="A332" s="8" t="inlineStr">
        <is>
          <t>1980-05-01</t>
        </is>
      </c>
      <c r="B332" s="6" t="n">
        <v>9.949999999999999</v>
      </c>
      <c r="C332" s="6" t="n">
        <v>13.17</v>
      </c>
      <c r="D332" s="8">
        <f>-PV(B332/100,5,B331/100,1)</f>
        <v/>
      </c>
      <c r="E332" s="8">
        <f>-PV(C332/100,7,C331/100,1)</f>
        <v/>
      </c>
      <c r="F332" s="8">
        <f>$B$3*(B331/100/12+(D332-1))+$B$4*(C331/100/12+(E332-1))</f>
        <v/>
      </c>
      <c r="G332" s="8">
        <f>G331*(1+F332)</f>
        <v/>
      </c>
    </row>
    <row r="333">
      <c r="A333" s="8" t="inlineStr">
        <is>
          <t>1980-06-01</t>
        </is>
      </c>
      <c r="B333" s="6" t="n">
        <v>9.210000000000001</v>
      </c>
      <c r="C333" s="6" t="n">
        <v>12.71</v>
      </c>
      <c r="D333" s="8">
        <f>-PV(B333/100,5,B332/100,1)</f>
        <v/>
      </c>
      <c r="E333" s="8">
        <f>-PV(C333/100,7,C332/100,1)</f>
        <v/>
      </c>
      <c r="F333" s="8">
        <f>$B$3*(B332/100/12+(D333-1))+$B$4*(C332/100/12+(E333-1))</f>
        <v/>
      </c>
      <c r="G333" s="8">
        <f>G332*(1+F333)</f>
        <v/>
      </c>
    </row>
    <row r="334">
      <c r="A334" s="8" t="inlineStr">
        <is>
          <t>1980-07-01</t>
        </is>
      </c>
      <c r="B334" s="6" t="n">
        <v>9.529999999999999</v>
      </c>
      <c r="C334" s="6" t="n">
        <v>12.65</v>
      </c>
      <c r="D334" s="8">
        <f>-PV(B334/100,5,B333/100,1)</f>
        <v/>
      </c>
      <c r="E334" s="8">
        <f>-PV(C334/100,7,C333/100,1)</f>
        <v/>
      </c>
      <c r="F334" s="8">
        <f>$B$3*(B333/100/12+(D334-1))+$B$4*(C333/100/12+(E334-1))</f>
        <v/>
      </c>
      <c r="G334" s="8">
        <f>G333*(1+F334)</f>
        <v/>
      </c>
    </row>
    <row r="335">
      <c r="A335" s="8" t="inlineStr">
        <is>
          <t>1980-08-01</t>
        </is>
      </c>
      <c r="B335" s="6" t="n">
        <v>10.84</v>
      </c>
      <c r="C335" s="6" t="n">
        <v>13.15</v>
      </c>
      <c r="D335" s="8">
        <f>-PV(B335/100,5,B334/100,1)</f>
        <v/>
      </c>
      <c r="E335" s="8">
        <f>-PV(C335/100,7,C334/100,1)</f>
        <v/>
      </c>
      <c r="F335" s="8">
        <f>$B$3*(B334/100/12+(D335-1))+$B$4*(C334/100/12+(E335-1))</f>
        <v/>
      </c>
      <c r="G335" s="8">
        <f>G334*(1+F335)</f>
        <v/>
      </c>
    </row>
    <row r="336">
      <c r="A336" s="8" t="inlineStr">
        <is>
          <t>1980-09-01</t>
        </is>
      </c>
      <c r="B336" s="6" t="n">
        <v>11.62</v>
      </c>
      <c r="C336" s="6" t="n">
        <v>13.7</v>
      </c>
      <c r="D336" s="8">
        <f>-PV(B336/100,5,B335/100,1)</f>
        <v/>
      </c>
      <c r="E336" s="8">
        <f>-PV(C336/100,7,C335/100,1)</f>
        <v/>
      </c>
      <c r="F336" s="8">
        <f>$B$3*(B335/100/12+(D336-1))+$B$4*(C335/100/12+(E336-1))</f>
        <v/>
      </c>
      <c r="G336" s="8">
        <f>G335*(1+F336)</f>
        <v/>
      </c>
    </row>
    <row r="337">
      <c r="A337" s="8" t="inlineStr">
        <is>
          <t>1980-10-01</t>
        </is>
      </c>
      <c r="B337" s="6" t="n">
        <v>11.86</v>
      </c>
      <c r="C337" s="6" t="n">
        <v>14.23</v>
      </c>
      <c r="D337" s="8">
        <f>-PV(B337/100,5,B336/100,1)</f>
        <v/>
      </c>
      <c r="E337" s="8">
        <f>-PV(C337/100,7,C336/100,1)</f>
        <v/>
      </c>
      <c r="F337" s="8">
        <f>$B$3*(B336/100/12+(D337-1))+$B$4*(C336/100/12+(E337-1))</f>
        <v/>
      </c>
      <c r="G337" s="8">
        <f>G336*(1+F337)</f>
        <v/>
      </c>
    </row>
    <row r="338">
      <c r="A338" s="8" t="inlineStr">
        <is>
          <t>1980-11-01</t>
        </is>
      </c>
      <c r="B338" s="6" t="n">
        <v>12.83</v>
      </c>
      <c r="C338" s="6" t="n">
        <v>14.64</v>
      </c>
      <c r="D338" s="8">
        <f>-PV(B338/100,5,B337/100,1)</f>
        <v/>
      </c>
      <c r="E338" s="8">
        <f>-PV(C338/100,7,C337/100,1)</f>
        <v/>
      </c>
      <c r="F338" s="8">
        <f>$B$3*(B337/100/12+(D338-1))+$B$4*(C337/100/12+(E338-1))</f>
        <v/>
      </c>
      <c r="G338" s="8">
        <f>G337*(1+F338)</f>
        <v/>
      </c>
    </row>
    <row r="339">
      <c r="A339" s="8" t="inlineStr">
        <is>
          <t>1980-12-01</t>
        </is>
      </c>
      <c r="B339" s="6" t="n">
        <v>13.25</v>
      </c>
      <c r="C339" s="6" t="n">
        <v>15.14</v>
      </c>
      <c r="D339" s="8">
        <f>-PV(B339/100,5,B338/100,1)</f>
        <v/>
      </c>
      <c r="E339" s="8">
        <f>-PV(C339/100,7,C338/100,1)</f>
        <v/>
      </c>
      <c r="F339" s="8">
        <f>$B$3*(B338/100/12+(D339-1))+$B$4*(C338/100/12+(E339-1))</f>
        <v/>
      </c>
      <c r="G339" s="8">
        <f>G338*(1+F339)</f>
        <v/>
      </c>
    </row>
    <row r="340">
      <c r="A340" s="8" t="inlineStr">
        <is>
          <t>1981-01-01</t>
        </is>
      </c>
      <c r="B340" s="6" t="n">
        <v>12.77</v>
      </c>
      <c r="C340" s="6" t="n">
        <v>15.03</v>
      </c>
      <c r="D340" s="8">
        <f>-PV(B340/100,5,B339/100,1)</f>
        <v/>
      </c>
      <c r="E340" s="8">
        <f>-PV(C340/100,7,C339/100,1)</f>
        <v/>
      </c>
      <c r="F340" s="8">
        <f>$B$3*(B339/100/12+(D340-1))+$B$4*(C339/100/12+(E340-1))</f>
        <v/>
      </c>
      <c r="G340" s="8">
        <f>G339*(1+F340)</f>
        <v/>
      </c>
    </row>
    <row r="341">
      <c r="A341" s="8" t="inlineStr">
        <is>
          <t>1981-02-01</t>
        </is>
      </c>
      <c r="B341" s="6" t="n">
        <v>13.41</v>
      </c>
      <c r="C341" s="6" t="n">
        <v>15.37</v>
      </c>
      <c r="D341" s="8">
        <f>-PV(B341/100,5,B340/100,1)</f>
        <v/>
      </c>
      <c r="E341" s="8">
        <f>-PV(C341/100,7,C340/100,1)</f>
        <v/>
      </c>
      <c r="F341" s="8">
        <f>$B$3*(B340/100/12+(D341-1))+$B$4*(C340/100/12+(E341-1))</f>
        <v/>
      </c>
      <c r="G341" s="8">
        <f>G340*(1+F341)</f>
        <v/>
      </c>
    </row>
    <row r="342">
      <c r="A342" s="8" t="inlineStr">
        <is>
          <t>1981-03-01</t>
        </is>
      </c>
      <c r="B342" s="6" t="n">
        <v>13.41</v>
      </c>
      <c r="C342" s="6" t="n">
        <v>15.34</v>
      </c>
      <c r="D342" s="8">
        <f>-PV(B342/100,5,B341/100,1)</f>
        <v/>
      </c>
      <c r="E342" s="8">
        <f>-PV(C342/100,7,C341/100,1)</f>
        <v/>
      </c>
      <c r="F342" s="8">
        <f>$B$3*(B341/100/12+(D342-1))+$B$4*(C341/100/12+(E342-1))</f>
        <v/>
      </c>
      <c r="G342" s="8">
        <f>G341*(1+F342)</f>
        <v/>
      </c>
    </row>
    <row r="343">
      <c r="A343" s="8" t="inlineStr">
        <is>
          <t>1981-04-01</t>
        </is>
      </c>
      <c r="B343" s="6" t="n">
        <v>13.99</v>
      </c>
      <c r="C343" s="6" t="n">
        <v>15.56</v>
      </c>
      <c r="D343" s="8">
        <f>-PV(B343/100,5,B342/100,1)</f>
        <v/>
      </c>
      <c r="E343" s="8">
        <f>-PV(C343/100,7,C342/100,1)</f>
        <v/>
      </c>
      <c r="F343" s="8">
        <f>$B$3*(B342/100/12+(D343-1))+$B$4*(C342/100/12+(E343-1))</f>
        <v/>
      </c>
      <c r="G343" s="8">
        <f>G342*(1+F343)</f>
        <v/>
      </c>
    </row>
    <row r="344">
      <c r="A344" s="8" t="inlineStr">
        <is>
          <t>1981-05-01</t>
        </is>
      </c>
      <c r="B344" s="6" t="n">
        <v>14.63</v>
      </c>
      <c r="C344" s="6" t="n">
        <v>15.95</v>
      </c>
      <c r="D344" s="8">
        <f>-PV(B344/100,5,B343/100,1)</f>
        <v/>
      </c>
      <c r="E344" s="8">
        <f>-PV(C344/100,7,C343/100,1)</f>
        <v/>
      </c>
      <c r="F344" s="8">
        <f>$B$3*(B343/100/12+(D344-1))+$B$4*(C343/100/12+(E344-1))</f>
        <v/>
      </c>
      <c r="G344" s="8">
        <f>G343*(1+F344)</f>
        <v/>
      </c>
    </row>
    <row r="345">
      <c r="A345" s="8" t="inlineStr">
        <is>
          <t>1981-06-01</t>
        </is>
      </c>
      <c r="B345" s="6" t="n">
        <v>13.95</v>
      </c>
      <c r="C345" s="6" t="n">
        <v>15.8</v>
      </c>
      <c r="D345" s="8">
        <f>-PV(B345/100,5,B344/100,1)</f>
        <v/>
      </c>
      <c r="E345" s="8">
        <f>-PV(C345/100,7,C344/100,1)</f>
        <v/>
      </c>
      <c r="F345" s="8">
        <f>$B$3*(B344/100/12+(D345-1))+$B$4*(C344/100/12+(E345-1))</f>
        <v/>
      </c>
      <c r="G345" s="8">
        <f>G344*(1+F345)</f>
        <v/>
      </c>
    </row>
    <row r="346">
      <c r="A346" s="8" t="inlineStr">
        <is>
          <t>1981-07-01</t>
        </is>
      </c>
      <c r="B346" s="6" t="n">
        <v>14.79</v>
      </c>
      <c r="C346" s="6" t="n">
        <v>16.17</v>
      </c>
      <c r="D346" s="8">
        <f>-PV(B346/100,5,B345/100,1)</f>
        <v/>
      </c>
      <c r="E346" s="8">
        <f>-PV(C346/100,7,C345/100,1)</f>
        <v/>
      </c>
      <c r="F346" s="8">
        <f>$B$3*(B345/100/12+(D346-1))+$B$4*(C345/100/12+(E346-1))</f>
        <v/>
      </c>
      <c r="G346" s="8">
        <f>G345*(1+F346)</f>
        <v/>
      </c>
    </row>
    <row r="347">
      <c r="A347" s="8" t="inlineStr">
        <is>
          <t>1981-08-01</t>
        </is>
      </c>
      <c r="B347" s="6" t="n">
        <v>15.56</v>
      </c>
      <c r="C347" s="6" t="n">
        <v>16.34</v>
      </c>
      <c r="D347" s="8">
        <f>-PV(B347/100,5,B346/100,1)</f>
        <v/>
      </c>
      <c r="E347" s="8">
        <f>-PV(C347/100,7,C346/100,1)</f>
        <v/>
      </c>
      <c r="F347" s="8">
        <f>$B$3*(B346/100/12+(D347-1))+$B$4*(C346/100/12+(E347-1))</f>
        <v/>
      </c>
      <c r="G347" s="8">
        <f>G346*(1+F347)</f>
        <v/>
      </c>
    </row>
    <row r="348">
      <c r="A348" s="8" t="inlineStr">
        <is>
          <t>1981-09-01</t>
        </is>
      </c>
      <c r="B348" s="6" t="n">
        <v>15.93</v>
      </c>
      <c r="C348" s="6" t="n">
        <v>16.92</v>
      </c>
      <c r="D348" s="8">
        <f>-PV(B348/100,5,B347/100,1)</f>
        <v/>
      </c>
      <c r="E348" s="8">
        <f>-PV(C348/100,7,C347/100,1)</f>
        <v/>
      </c>
      <c r="F348" s="8">
        <f>$B$3*(B347/100/12+(D348-1))+$B$4*(C347/100/12+(E348-1))</f>
        <v/>
      </c>
      <c r="G348" s="8">
        <f>G347*(1+F348)</f>
        <v/>
      </c>
    </row>
    <row r="349">
      <c r="A349" s="8" t="inlineStr">
        <is>
          <t>1981-10-01</t>
        </is>
      </c>
      <c r="B349" s="6" t="n">
        <v>15.41</v>
      </c>
      <c r="C349" s="6" t="n">
        <v>17.11</v>
      </c>
      <c r="D349" s="8">
        <f>-PV(B349/100,5,B348/100,1)</f>
        <v/>
      </c>
      <c r="E349" s="8">
        <f>-PV(C349/100,7,C348/100,1)</f>
        <v/>
      </c>
      <c r="F349" s="8">
        <f>$B$3*(B348/100/12+(D349-1))+$B$4*(C348/100/12+(E349-1))</f>
        <v/>
      </c>
      <c r="G349" s="8">
        <f>G348*(1+F349)</f>
        <v/>
      </c>
    </row>
    <row r="350">
      <c r="A350" s="8" t="inlineStr">
        <is>
          <t>1981-11-01</t>
        </is>
      </c>
      <c r="B350" s="6" t="n">
        <v>13.38</v>
      </c>
      <c r="C350" s="6" t="n">
        <v>16.39</v>
      </c>
      <c r="D350" s="8">
        <f>-PV(B350/100,5,B349/100,1)</f>
        <v/>
      </c>
      <c r="E350" s="8">
        <f>-PV(C350/100,7,C349/100,1)</f>
        <v/>
      </c>
      <c r="F350" s="8">
        <f>$B$3*(B349/100/12+(D350-1))+$B$4*(C349/100/12+(E350-1))</f>
        <v/>
      </c>
      <c r="G350" s="8">
        <f>G349*(1+F350)</f>
        <v/>
      </c>
    </row>
    <row r="351">
      <c r="A351" s="8" t="inlineStr">
        <is>
          <t>1981-12-01</t>
        </is>
      </c>
      <c r="B351" s="6" t="n">
        <v>13.6</v>
      </c>
      <c r="C351" s="6" t="n">
        <v>16.55</v>
      </c>
      <c r="D351" s="8">
        <f>-PV(B351/100,5,B350/100,1)</f>
        <v/>
      </c>
      <c r="E351" s="8">
        <f>-PV(C351/100,7,C350/100,1)</f>
        <v/>
      </c>
      <c r="F351" s="8">
        <f>$B$3*(B350/100/12+(D351-1))+$B$4*(C350/100/12+(E351-1))</f>
        <v/>
      </c>
      <c r="G351" s="8">
        <f>G350*(1+F351)</f>
        <v/>
      </c>
    </row>
    <row r="352">
      <c r="A352" s="8" t="inlineStr">
        <is>
          <t>1982-01-01</t>
        </is>
      </c>
      <c r="B352" s="6" t="n">
        <v>14.65</v>
      </c>
      <c r="C352" s="6" t="n">
        <v>17.1</v>
      </c>
      <c r="D352" s="8">
        <f>-PV(B352/100,5,B351/100,1)</f>
        <v/>
      </c>
      <c r="E352" s="8">
        <f>-PV(C352/100,7,C351/100,1)</f>
        <v/>
      </c>
      <c r="F352" s="8">
        <f>$B$3*(B351/100/12+(D352-1))+$B$4*(C351/100/12+(E352-1))</f>
        <v/>
      </c>
      <c r="G352" s="8">
        <f>G351*(1+F352)</f>
        <v/>
      </c>
    </row>
    <row r="353">
      <c r="A353" s="8" t="inlineStr">
        <is>
          <t>1982-02-01</t>
        </is>
      </c>
      <c r="B353" s="6" t="n">
        <v>14.54</v>
      </c>
      <c r="C353" s="6" t="n">
        <v>17.18</v>
      </c>
      <c r="D353" s="8">
        <f>-PV(B353/100,5,B352/100,1)</f>
        <v/>
      </c>
      <c r="E353" s="8">
        <f>-PV(C353/100,7,C352/100,1)</f>
        <v/>
      </c>
      <c r="F353" s="8">
        <f>$B$3*(B352/100/12+(D353-1))+$B$4*(C352/100/12+(E353-1))</f>
        <v/>
      </c>
      <c r="G353" s="8">
        <f>G352*(1+F353)</f>
        <v/>
      </c>
    </row>
    <row r="354">
      <c r="A354" s="8" t="inlineStr">
        <is>
          <t>1982-03-01</t>
        </is>
      </c>
      <c r="B354" s="6" t="n">
        <v>13.98</v>
      </c>
      <c r="C354" s="6" t="n">
        <v>16.82</v>
      </c>
      <c r="D354" s="8">
        <f>-PV(B354/100,5,B353/100,1)</f>
        <v/>
      </c>
      <c r="E354" s="8">
        <f>-PV(C354/100,7,C353/100,1)</f>
        <v/>
      </c>
      <c r="F354" s="8">
        <f>$B$3*(B353/100/12+(D354-1))+$B$4*(C353/100/12+(E354-1))</f>
        <v/>
      </c>
      <c r="G354" s="8">
        <f>G353*(1+F354)</f>
        <v/>
      </c>
    </row>
    <row r="355">
      <c r="A355" s="8" t="inlineStr">
        <is>
          <t>1982-04-01</t>
        </is>
      </c>
      <c r="B355" s="6" t="n">
        <v>14</v>
      </c>
      <c r="C355" s="6" t="n">
        <v>16.78</v>
      </c>
      <c r="D355" s="8">
        <f>-PV(B355/100,5,B354/100,1)</f>
        <v/>
      </c>
      <c r="E355" s="8">
        <f>-PV(C355/100,7,C354/100,1)</f>
        <v/>
      </c>
      <c r="F355" s="8">
        <f>$B$3*(B354/100/12+(D355-1))+$B$4*(C354/100/12+(E355-1))</f>
        <v/>
      </c>
      <c r="G355" s="8">
        <f>G354*(1+F355)</f>
        <v/>
      </c>
    </row>
    <row r="356">
      <c r="A356" s="8" t="inlineStr">
        <is>
          <t>1982-05-01</t>
        </is>
      </c>
      <c r="B356" s="6" t="n">
        <v>13.75</v>
      </c>
      <c r="C356" s="6" t="n">
        <v>16.64</v>
      </c>
      <c r="D356" s="8">
        <f>-PV(B356/100,5,B355/100,1)</f>
        <v/>
      </c>
      <c r="E356" s="8">
        <f>-PV(C356/100,7,C355/100,1)</f>
        <v/>
      </c>
      <c r="F356" s="8">
        <f>$B$3*(B355/100/12+(D356-1))+$B$4*(C355/100/12+(E356-1))</f>
        <v/>
      </c>
      <c r="G356" s="8">
        <f>G355*(1+F356)</f>
        <v/>
      </c>
    </row>
    <row r="357">
      <c r="A357" s="8" t="inlineStr">
        <is>
          <t>1982-06-01</t>
        </is>
      </c>
      <c r="B357" s="6" t="n">
        <v>14.43</v>
      </c>
      <c r="C357" s="6" t="n">
        <v>16.92</v>
      </c>
      <c r="D357" s="8">
        <f>-PV(B357/100,5,B356/100,1)</f>
        <v/>
      </c>
      <c r="E357" s="8">
        <f>-PV(C357/100,7,C356/100,1)</f>
        <v/>
      </c>
      <c r="F357" s="8">
        <f>$B$3*(B356/100/12+(D357-1))+$B$4*(C356/100/12+(E357-1))</f>
        <v/>
      </c>
      <c r="G357" s="8">
        <f>G356*(1+F357)</f>
        <v/>
      </c>
    </row>
    <row r="358">
      <c r="A358" s="8" t="inlineStr">
        <is>
          <t>1982-07-01</t>
        </is>
      </c>
      <c r="B358" s="6" t="n">
        <v>14.07</v>
      </c>
      <c r="C358" s="6" t="n">
        <v>16.8</v>
      </c>
      <c r="D358" s="8">
        <f>-PV(B358/100,5,B357/100,1)</f>
        <v/>
      </c>
      <c r="E358" s="8">
        <f>-PV(C358/100,7,C357/100,1)</f>
        <v/>
      </c>
      <c r="F358" s="8">
        <f>$B$3*(B357/100/12+(D358-1))+$B$4*(C357/100/12+(E358-1))</f>
        <v/>
      </c>
      <c r="G358" s="8">
        <f>G357*(1+F358)</f>
        <v/>
      </c>
    </row>
    <row r="359">
      <c r="A359" s="8" t="inlineStr">
        <is>
          <t>1982-08-01</t>
        </is>
      </c>
      <c r="B359" s="6" t="n">
        <v>13</v>
      </c>
      <c r="C359" s="6" t="n">
        <v>16.32</v>
      </c>
      <c r="D359" s="8">
        <f>-PV(B359/100,5,B358/100,1)</f>
        <v/>
      </c>
      <c r="E359" s="8">
        <f>-PV(C359/100,7,C358/100,1)</f>
        <v/>
      </c>
      <c r="F359" s="8">
        <f>$B$3*(B358/100/12+(D359-1))+$B$4*(C358/100/12+(E359-1))</f>
        <v/>
      </c>
      <c r="G359" s="8">
        <f>G358*(1+F359)</f>
        <v/>
      </c>
    </row>
    <row r="360">
      <c r="A360" s="8" t="inlineStr">
        <is>
          <t>1982-09-01</t>
        </is>
      </c>
      <c r="B360" s="6" t="n">
        <v>12.25</v>
      </c>
      <c r="C360" s="6" t="n">
        <v>15.63</v>
      </c>
      <c r="D360" s="8">
        <f>-PV(B360/100,5,B359/100,1)</f>
        <v/>
      </c>
      <c r="E360" s="8">
        <f>-PV(C360/100,7,C359/100,1)</f>
        <v/>
      </c>
      <c r="F360" s="8">
        <f>$B$3*(B359/100/12+(D360-1))+$B$4*(C359/100/12+(E360-1))</f>
        <v/>
      </c>
      <c r="G360" s="8">
        <f>G359*(1+F360)</f>
        <v/>
      </c>
    </row>
    <row r="361">
      <c r="A361" s="8" t="inlineStr">
        <is>
          <t>1982-10-01</t>
        </is>
      </c>
      <c r="B361" s="6" t="n">
        <v>10.8</v>
      </c>
      <c r="C361" s="6" t="n">
        <v>14.73</v>
      </c>
      <c r="D361" s="8">
        <f>-PV(B361/100,5,B360/100,1)</f>
        <v/>
      </c>
      <c r="E361" s="8">
        <f>-PV(C361/100,7,C360/100,1)</f>
        <v/>
      </c>
      <c r="F361" s="8">
        <f>$B$3*(B360/100/12+(D361-1))+$B$4*(C360/100/12+(E361-1))</f>
        <v/>
      </c>
      <c r="G361" s="8">
        <f>G360*(1+F361)</f>
        <v/>
      </c>
    </row>
    <row r="362">
      <c r="A362" s="8" t="inlineStr">
        <is>
          <t>1982-11-01</t>
        </is>
      </c>
      <c r="B362" s="6" t="n">
        <v>10.38</v>
      </c>
      <c r="C362" s="6" t="n">
        <v>14.3</v>
      </c>
      <c r="D362" s="8">
        <f>-PV(B362/100,5,B361/100,1)</f>
        <v/>
      </c>
      <c r="E362" s="8">
        <f>-PV(C362/100,7,C361/100,1)</f>
        <v/>
      </c>
      <c r="F362" s="8">
        <f>$B$3*(B361/100/12+(D362-1))+$B$4*(C361/100/12+(E362-1))</f>
        <v/>
      </c>
      <c r="G362" s="8">
        <f>G361*(1+F362)</f>
        <v/>
      </c>
    </row>
    <row r="363">
      <c r="A363" s="8" t="inlineStr">
        <is>
          <t>1982-12-01</t>
        </is>
      </c>
      <c r="B363" s="6" t="n">
        <v>10.22</v>
      </c>
      <c r="C363" s="6" t="n">
        <v>14.14</v>
      </c>
      <c r="D363" s="8">
        <f>-PV(B363/100,5,B362/100,1)</f>
        <v/>
      </c>
      <c r="E363" s="8">
        <f>-PV(C363/100,7,C362/100,1)</f>
        <v/>
      </c>
      <c r="F363" s="8">
        <f>$B$3*(B362/100/12+(D363-1))+$B$4*(C362/100/12+(E363-1))</f>
        <v/>
      </c>
      <c r="G363" s="8">
        <f>G362*(1+F363)</f>
        <v/>
      </c>
    </row>
    <row r="364">
      <c r="A364" s="8" t="inlineStr">
        <is>
          <t>1983-01-01</t>
        </is>
      </c>
      <c r="B364" s="6" t="n">
        <v>10.03</v>
      </c>
      <c r="C364" s="6" t="n">
        <v>13.94</v>
      </c>
      <c r="D364" s="8">
        <f>-PV(B364/100,5,B363/100,1)</f>
        <v/>
      </c>
      <c r="E364" s="8">
        <f>-PV(C364/100,7,C363/100,1)</f>
        <v/>
      </c>
      <c r="F364" s="8">
        <f>$B$3*(B363/100/12+(D364-1))+$B$4*(C363/100/12+(E364-1))</f>
        <v/>
      </c>
      <c r="G364" s="8">
        <f>G363*(1+F364)</f>
        <v/>
      </c>
    </row>
    <row r="365">
      <c r="A365" s="8" t="inlineStr">
        <is>
          <t>1983-02-01</t>
        </is>
      </c>
      <c r="B365" s="6" t="n">
        <v>10.26</v>
      </c>
      <c r="C365" s="6" t="n">
        <v>13.95</v>
      </c>
      <c r="D365" s="8">
        <f>-PV(B365/100,5,B364/100,1)</f>
        <v/>
      </c>
      <c r="E365" s="8">
        <f>-PV(C365/100,7,C364/100,1)</f>
        <v/>
      </c>
      <c r="F365" s="8">
        <f>$B$3*(B364/100/12+(D365-1))+$B$4*(C364/100/12+(E365-1))</f>
        <v/>
      </c>
      <c r="G365" s="8">
        <f>G364*(1+F365)</f>
        <v/>
      </c>
    </row>
    <row r="366">
      <c r="A366" s="8" t="inlineStr">
        <is>
          <t>1983-03-01</t>
        </is>
      </c>
      <c r="B366" s="6" t="n">
        <v>10.08</v>
      </c>
      <c r="C366" s="6" t="n">
        <v>13.61</v>
      </c>
      <c r="D366" s="8">
        <f>-PV(B366/100,5,B365/100,1)</f>
        <v/>
      </c>
      <c r="E366" s="8">
        <f>-PV(C366/100,7,C365/100,1)</f>
        <v/>
      </c>
      <c r="F366" s="8">
        <f>$B$3*(B365/100/12+(D366-1))+$B$4*(C365/100/12+(E366-1))</f>
        <v/>
      </c>
      <c r="G366" s="8">
        <f>G365*(1+F366)</f>
        <v/>
      </c>
    </row>
    <row r="367">
      <c r="A367" s="8" t="inlineStr">
        <is>
          <t>1983-04-01</t>
        </is>
      </c>
      <c r="B367" s="6" t="n">
        <v>10.02</v>
      </c>
      <c r="C367" s="6" t="n">
        <v>13.29</v>
      </c>
      <c r="D367" s="8">
        <f>-PV(B367/100,5,B366/100,1)</f>
        <v/>
      </c>
      <c r="E367" s="8">
        <f>-PV(C367/100,7,C366/100,1)</f>
        <v/>
      </c>
      <c r="F367" s="8">
        <f>$B$3*(B366/100/12+(D367-1))+$B$4*(C366/100/12+(E367-1))</f>
        <v/>
      </c>
      <c r="G367" s="8">
        <f>G366*(1+F367)</f>
        <v/>
      </c>
    </row>
    <row r="368">
      <c r="A368" s="8" t="inlineStr">
        <is>
          <t>1983-05-01</t>
        </is>
      </c>
      <c r="B368" s="6" t="n">
        <v>10.03</v>
      </c>
      <c r="C368" s="6" t="n">
        <v>13.09</v>
      </c>
      <c r="D368" s="8">
        <f>-PV(B368/100,5,B367/100,1)</f>
        <v/>
      </c>
      <c r="E368" s="8">
        <f>-PV(C368/100,7,C367/100,1)</f>
        <v/>
      </c>
      <c r="F368" s="8">
        <f>$B$3*(B367/100/12+(D368-1))+$B$4*(C367/100/12+(E368-1))</f>
        <v/>
      </c>
      <c r="G368" s="8">
        <f>G367*(1+F368)</f>
        <v/>
      </c>
    </row>
    <row r="369">
      <c r="A369" s="8" t="inlineStr">
        <is>
          <t>1983-06-01</t>
        </is>
      </c>
      <c r="B369" s="6" t="n">
        <v>10.63</v>
      </c>
      <c r="C369" s="6" t="n">
        <v>13.37</v>
      </c>
      <c r="D369" s="8">
        <f>-PV(B369/100,5,B368/100,1)</f>
        <v/>
      </c>
      <c r="E369" s="8">
        <f>-PV(C369/100,7,C368/100,1)</f>
        <v/>
      </c>
      <c r="F369" s="8">
        <f>$B$3*(B368/100/12+(D369-1))+$B$4*(C368/100/12+(E369-1))</f>
        <v/>
      </c>
      <c r="G369" s="8">
        <f>G368*(1+F369)</f>
        <v/>
      </c>
    </row>
    <row r="370">
      <c r="A370" s="8" t="inlineStr">
        <is>
          <t>1983-07-01</t>
        </is>
      </c>
      <c r="B370" s="6" t="n">
        <v>11.21</v>
      </c>
      <c r="C370" s="6" t="n">
        <v>13.39</v>
      </c>
      <c r="D370" s="8">
        <f>-PV(B370/100,5,B369/100,1)</f>
        <v/>
      </c>
      <c r="E370" s="8">
        <f>-PV(C370/100,7,C369/100,1)</f>
        <v/>
      </c>
      <c r="F370" s="8">
        <f>$B$3*(B369/100/12+(D370-1))+$B$4*(C369/100/12+(E370-1))</f>
        <v/>
      </c>
      <c r="G370" s="8">
        <f>G369*(1+F370)</f>
        <v/>
      </c>
    </row>
    <row r="371">
      <c r="A371" s="8" t="inlineStr">
        <is>
          <t>1983-08-01</t>
        </is>
      </c>
      <c r="B371" s="6" t="n">
        <v>11.63</v>
      </c>
      <c r="C371" s="6" t="n">
        <v>13.64</v>
      </c>
      <c r="D371" s="8">
        <f>-PV(B371/100,5,B370/100,1)</f>
        <v/>
      </c>
      <c r="E371" s="8">
        <f>-PV(C371/100,7,C370/100,1)</f>
        <v/>
      </c>
      <c r="F371" s="8">
        <f>$B$3*(B370/100/12+(D371-1))+$B$4*(C370/100/12+(E371-1))</f>
        <v/>
      </c>
      <c r="G371" s="8">
        <f>G370*(1+F371)</f>
        <v/>
      </c>
    </row>
    <row r="372">
      <c r="A372" s="8" t="inlineStr">
        <is>
          <t>1983-09-01</t>
        </is>
      </c>
      <c r="B372" s="6" t="n">
        <v>11.43</v>
      </c>
      <c r="C372" s="6" t="n">
        <v>13.55</v>
      </c>
      <c r="D372" s="8">
        <f>-PV(B372/100,5,B371/100,1)</f>
        <v/>
      </c>
      <c r="E372" s="8">
        <f>-PV(C372/100,7,C371/100,1)</f>
        <v/>
      </c>
      <c r="F372" s="8">
        <f>$B$3*(B371/100/12+(D372-1))+$B$4*(C371/100/12+(E372-1))</f>
        <v/>
      </c>
      <c r="G372" s="8">
        <f>G371*(1+F372)</f>
        <v/>
      </c>
    </row>
    <row r="373">
      <c r="A373" s="8" t="inlineStr">
        <is>
          <t>1983-10-01</t>
        </is>
      </c>
      <c r="B373" s="6" t="n">
        <v>11.28</v>
      </c>
      <c r="C373" s="6" t="n">
        <v>13.46</v>
      </c>
      <c r="D373" s="8">
        <f>-PV(B373/100,5,B372/100,1)</f>
        <v/>
      </c>
      <c r="E373" s="8">
        <f>-PV(C373/100,7,C372/100,1)</f>
        <v/>
      </c>
      <c r="F373" s="8">
        <f>$B$3*(B372/100/12+(D373-1))+$B$4*(C372/100/12+(E373-1))</f>
        <v/>
      </c>
      <c r="G373" s="8">
        <f>G372*(1+F373)</f>
        <v/>
      </c>
    </row>
    <row r="374">
      <c r="A374" s="8" t="inlineStr">
        <is>
          <t>1983-11-01</t>
        </is>
      </c>
      <c r="B374" s="6" t="n">
        <v>11.41</v>
      </c>
      <c r="C374" s="6" t="n">
        <v>13.61</v>
      </c>
      <c r="D374" s="8">
        <f>-PV(B374/100,5,B373/100,1)</f>
        <v/>
      </c>
      <c r="E374" s="8">
        <f>-PV(C374/100,7,C373/100,1)</f>
        <v/>
      </c>
      <c r="F374" s="8">
        <f>$B$3*(B373/100/12+(D374-1))+$B$4*(C373/100/12+(E374-1))</f>
        <v/>
      </c>
      <c r="G374" s="8">
        <f>G373*(1+F374)</f>
        <v/>
      </c>
    </row>
    <row r="375">
      <c r="A375" s="8" t="inlineStr">
        <is>
          <t>1983-12-01</t>
        </is>
      </c>
      <c r="B375" s="6" t="n">
        <v>11.54</v>
      </c>
      <c r="C375" s="6" t="n">
        <v>13.75</v>
      </c>
      <c r="D375" s="8">
        <f>-PV(B375/100,5,B374/100,1)</f>
        <v/>
      </c>
      <c r="E375" s="8">
        <f>-PV(C375/100,7,C374/100,1)</f>
        <v/>
      </c>
      <c r="F375" s="8">
        <f>$B$3*(B374/100/12+(D375-1))+$B$4*(C374/100/12+(E375-1))</f>
        <v/>
      </c>
      <c r="G375" s="8">
        <f>G374*(1+F375)</f>
        <v/>
      </c>
    </row>
    <row r="376">
      <c r="A376" s="8" t="inlineStr">
        <is>
          <t>1984-01-01</t>
        </is>
      </c>
      <c r="B376" s="6" t="n">
        <v>11.37</v>
      </c>
      <c r="C376" s="6" t="n">
        <v>13.65</v>
      </c>
      <c r="D376" s="8">
        <f>-PV(B376/100,5,B375/100,1)</f>
        <v/>
      </c>
      <c r="E376" s="8">
        <f>-PV(C376/100,7,C375/100,1)</f>
        <v/>
      </c>
      <c r="F376" s="8">
        <f>$B$3*(B375/100/12+(D376-1))+$B$4*(C375/100/12+(E376-1))</f>
        <v/>
      </c>
      <c r="G376" s="8">
        <f>G375*(1+F376)</f>
        <v/>
      </c>
    </row>
    <row r="377">
      <c r="A377" s="8" t="inlineStr">
        <is>
          <t>1984-02-01</t>
        </is>
      </c>
      <c r="B377" s="6" t="n">
        <v>11.54</v>
      </c>
      <c r="C377" s="6" t="n">
        <v>13.59</v>
      </c>
      <c r="D377" s="8">
        <f>-PV(B377/100,5,B376/100,1)</f>
        <v/>
      </c>
      <c r="E377" s="8">
        <f>-PV(C377/100,7,C376/100,1)</f>
        <v/>
      </c>
      <c r="F377" s="8">
        <f>$B$3*(B376/100/12+(D377-1))+$B$4*(C376/100/12+(E377-1))</f>
        <v/>
      </c>
      <c r="G377" s="8">
        <f>G376*(1+F377)</f>
        <v/>
      </c>
    </row>
    <row r="378">
      <c r="A378" s="8" t="inlineStr">
        <is>
          <t>1984-03-01</t>
        </is>
      </c>
      <c r="B378" s="6" t="n">
        <v>12.02</v>
      </c>
      <c r="C378" s="6" t="n">
        <v>13.99</v>
      </c>
      <c r="D378" s="8">
        <f>-PV(B378/100,5,B377/100,1)</f>
        <v/>
      </c>
      <c r="E378" s="8">
        <f>-PV(C378/100,7,C377/100,1)</f>
        <v/>
      </c>
      <c r="F378" s="8">
        <f>$B$3*(B377/100/12+(D378-1))+$B$4*(C377/100/12+(E378-1))</f>
        <v/>
      </c>
      <c r="G378" s="8">
        <f>G377*(1+F378)</f>
        <v/>
      </c>
    </row>
    <row r="379">
      <c r="A379" s="8" t="inlineStr">
        <is>
          <t>1984-04-01</t>
        </is>
      </c>
      <c r="B379" s="6" t="n">
        <v>12.37</v>
      </c>
      <c r="C379" s="6" t="n">
        <v>14.31</v>
      </c>
      <c r="D379" s="8">
        <f>-PV(B379/100,5,B378/100,1)</f>
        <v/>
      </c>
      <c r="E379" s="8">
        <f>-PV(C379/100,7,C378/100,1)</f>
        <v/>
      </c>
      <c r="F379" s="8">
        <f>$B$3*(B378/100/12+(D379-1))+$B$4*(C378/100/12+(E379-1))</f>
        <v/>
      </c>
      <c r="G379" s="8">
        <f>G378*(1+F379)</f>
        <v/>
      </c>
    </row>
    <row r="380">
      <c r="A380" s="8" t="inlineStr">
        <is>
          <t>1984-05-01</t>
        </is>
      </c>
      <c r="B380" s="6" t="n">
        <v>13.17</v>
      </c>
      <c r="C380" s="6" t="n">
        <v>14.74</v>
      </c>
      <c r="D380" s="8">
        <f>-PV(B380/100,5,B379/100,1)</f>
        <v/>
      </c>
      <c r="E380" s="8">
        <f>-PV(C380/100,7,C379/100,1)</f>
        <v/>
      </c>
      <c r="F380" s="8">
        <f>$B$3*(B379/100/12+(D380-1))+$B$4*(C379/100/12+(E380-1))</f>
        <v/>
      </c>
      <c r="G380" s="8">
        <f>G379*(1+F380)</f>
        <v/>
      </c>
    </row>
    <row r="381">
      <c r="A381" s="8" t="inlineStr">
        <is>
          <t>1984-06-01</t>
        </is>
      </c>
      <c r="B381" s="6" t="n">
        <v>13.48</v>
      </c>
      <c r="C381" s="6" t="n">
        <v>15.05</v>
      </c>
      <c r="D381" s="8">
        <f>-PV(B381/100,5,B380/100,1)</f>
        <v/>
      </c>
      <c r="E381" s="8">
        <f>-PV(C381/100,7,C380/100,1)</f>
        <v/>
      </c>
      <c r="F381" s="8">
        <f>$B$3*(B380/100/12+(D381-1))+$B$4*(C380/100/12+(E381-1))</f>
        <v/>
      </c>
      <c r="G381" s="8">
        <f>G380*(1+F381)</f>
        <v/>
      </c>
    </row>
    <row r="382">
      <c r="A382" s="8" t="inlineStr">
        <is>
          <t>1984-07-01</t>
        </is>
      </c>
      <c r="B382" s="6" t="n">
        <v>13.27</v>
      </c>
      <c r="C382" s="6" t="n">
        <v>15.15</v>
      </c>
      <c r="D382" s="8">
        <f>-PV(B382/100,5,B381/100,1)</f>
        <v/>
      </c>
      <c r="E382" s="8">
        <f>-PV(C382/100,7,C381/100,1)</f>
        <v/>
      </c>
      <c r="F382" s="8">
        <f>$B$3*(B381/100/12+(D382-1))+$B$4*(C381/100/12+(E382-1))</f>
        <v/>
      </c>
      <c r="G382" s="8">
        <f>G381*(1+F382)</f>
        <v/>
      </c>
    </row>
    <row r="383">
      <c r="A383" s="8" t="inlineStr">
        <is>
          <t>1984-08-01</t>
        </is>
      </c>
      <c r="B383" s="6" t="n">
        <v>12.68</v>
      </c>
      <c r="C383" s="6" t="n">
        <v>14.63</v>
      </c>
      <c r="D383" s="8">
        <f>-PV(B383/100,5,B382/100,1)</f>
        <v/>
      </c>
      <c r="E383" s="8">
        <f>-PV(C383/100,7,C382/100,1)</f>
        <v/>
      </c>
      <c r="F383" s="8">
        <f>$B$3*(B382/100/12+(D383-1))+$B$4*(C382/100/12+(E383-1))</f>
        <v/>
      </c>
      <c r="G383" s="8">
        <f>G382*(1+F383)</f>
        <v/>
      </c>
    </row>
    <row r="384">
      <c r="A384" s="8" t="inlineStr">
        <is>
          <t>1984-09-01</t>
        </is>
      </c>
      <c r="B384" s="6" t="n">
        <v>12.53</v>
      </c>
      <c r="C384" s="6" t="n">
        <v>14.35</v>
      </c>
      <c r="D384" s="8">
        <f>-PV(B384/100,5,B383/100,1)</f>
        <v/>
      </c>
      <c r="E384" s="8">
        <f>-PV(C384/100,7,C383/100,1)</f>
        <v/>
      </c>
      <c r="F384" s="8">
        <f>$B$3*(B383/100/12+(D384-1))+$B$4*(C383/100/12+(E384-1))</f>
        <v/>
      </c>
      <c r="G384" s="8">
        <f>G383*(1+F384)</f>
        <v/>
      </c>
    </row>
    <row r="385">
      <c r="A385" s="8" t="inlineStr">
        <is>
          <t>1984-10-01</t>
        </is>
      </c>
      <c r="B385" s="6" t="n">
        <v>12.06</v>
      </c>
      <c r="C385" s="6" t="n">
        <v>13.94</v>
      </c>
      <c r="D385" s="8">
        <f>-PV(B385/100,5,B384/100,1)</f>
        <v/>
      </c>
      <c r="E385" s="8">
        <f>-PV(C385/100,7,C384/100,1)</f>
        <v/>
      </c>
      <c r="F385" s="8">
        <f>$B$3*(B384/100/12+(D385-1))+$B$4*(C384/100/12+(E385-1))</f>
        <v/>
      </c>
      <c r="G385" s="8">
        <f>G384*(1+F385)</f>
        <v/>
      </c>
    </row>
    <row r="386">
      <c r="A386" s="8" t="inlineStr">
        <is>
          <t>1984-11-01</t>
        </is>
      </c>
      <c r="B386" s="6" t="n">
        <v>11.33</v>
      </c>
      <c r="C386" s="6" t="n">
        <v>13.48</v>
      </c>
      <c r="D386" s="8">
        <f>-PV(B386/100,5,B385/100,1)</f>
        <v/>
      </c>
      <c r="E386" s="8">
        <f>-PV(C386/100,7,C385/100,1)</f>
        <v/>
      </c>
      <c r="F386" s="8">
        <f>$B$3*(B385/100/12+(D386-1))+$B$4*(C385/100/12+(E386-1))</f>
        <v/>
      </c>
      <c r="G386" s="8">
        <f>G385*(1+F386)</f>
        <v/>
      </c>
    </row>
    <row r="387">
      <c r="A387" s="8" t="inlineStr">
        <is>
          <t>1984-12-01</t>
        </is>
      </c>
      <c r="B387" s="6" t="n">
        <v>11.07</v>
      </c>
      <c r="C387" s="6" t="n">
        <v>13.4</v>
      </c>
      <c r="D387" s="8">
        <f>-PV(B387/100,5,B386/100,1)</f>
        <v/>
      </c>
      <c r="E387" s="8">
        <f>-PV(C387/100,7,C386/100,1)</f>
        <v/>
      </c>
      <c r="F387" s="8">
        <f>$B$3*(B386/100/12+(D387-1))+$B$4*(C386/100/12+(E387-1))</f>
        <v/>
      </c>
      <c r="G387" s="8">
        <f>G386*(1+F387)</f>
        <v/>
      </c>
    </row>
    <row r="388">
      <c r="A388" s="8" t="inlineStr">
        <is>
          <t>1985-01-01</t>
        </is>
      </c>
      <c r="B388" s="6" t="n">
        <v>10.93</v>
      </c>
      <c r="C388" s="6" t="n">
        <v>13.26</v>
      </c>
      <c r="D388" s="8">
        <f>-PV(B388/100,5,B387/100,1)</f>
        <v/>
      </c>
      <c r="E388" s="8">
        <f>-PV(C388/100,7,C387/100,1)</f>
        <v/>
      </c>
      <c r="F388" s="8">
        <f>$B$3*(B387/100/12+(D388-1))+$B$4*(C387/100/12+(E388-1))</f>
        <v/>
      </c>
      <c r="G388" s="8">
        <f>G387*(1+F388)</f>
        <v/>
      </c>
    </row>
    <row r="389">
      <c r="A389" s="8" t="inlineStr">
        <is>
          <t>1985-02-01</t>
        </is>
      </c>
      <c r="B389" s="6" t="n">
        <v>11.13</v>
      </c>
      <c r="C389" s="6" t="n">
        <v>13.23</v>
      </c>
      <c r="D389" s="8">
        <f>-PV(B389/100,5,B388/100,1)</f>
        <v/>
      </c>
      <c r="E389" s="8">
        <f>-PV(C389/100,7,C388/100,1)</f>
        <v/>
      </c>
      <c r="F389" s="8">
        <f>$B$3*(B388/100/12+(D389-1))+$B$4*(C388/100/12+(E389-1))</f>
        <v/>
      </c>
      <c r="G389" s="8">
        <f>G388*(1+F389)</f>
        <v/>
      </c>
    </row>
    <row r="390">
      <c r="A390" s="8" t="inlineStr">
        <is>
          <t>1985-03-01</t>
        </is>
      </c>
      <c r="B390" s="6" t="n">
        <v>11.52</v>
      </c>
      <c r="C390" s="6" t="n">
        <v>13.69</v>
      </c>
      <c r="D390" s="8">
        <f>-PV(B390/100,5,B389/100,1)</f>
        <v/>
      </c>
      <c r="E390" s="8">
        <f>-PV(C390/100,7,C389/100,1)</f>
        <v/>
      </c>
      <c r="F390" s="8">
        <f>$B$3*(B389/100/12+(D390-1))+$B$4*(C389/100/12+(E390-1))</f>
        <v/>
      </c>
      <c r="G390" s="8">
        <f>G389*(1+F390)</f>
        <v/>
      </c>
    </row>
    <row r="391">
      <c r="A391" s="8" t="inlineStr">
        <is>
          <t>1985-04-01</t>
        </is>
      </c>
      <c r="B391" s="6" t="n">
        <v>11.01</v>
      </c>
      <c r="C391" s="6" t="n">
        <v>13.51</v>
      </c>
      <c r="D391" s="8">
        <f>-PV(B391/100,5,B390/100,1)</f>
        <v/>
      </c>
      <c r="E391" s="8">
        <f>-PV(C391/100,7,C390/100,1)</f>
        <v/>
      </c>
      <c r="F391" s="8">
        <f>$B$3*(B390/100/12+(D391-1))+$B$4*(C390/100/12+(E391-1))</f>
        <v/>
      </c>
      <c r="G391" s="8">
        <f>G390*(1+F391)</f>
        <v/>
      </c>
    </row>
    <row r="392">
      <c r="A392" s="8" t="inlineStr">
        <is>
          <t>1985-05-01</t>
        </is>
      </c>
      <c r="B392" s="6" t="n">
        <v>10.34</v>
      </c>
      <c r="C392" s="6" t="n">
        <v>13.15</v>
      </c>
      <c r="D392" s="8">
        <f>-PV(B392/100,5,B391/100,1)</f>
        <v/>
      </c>
      <c r="E392" s="8">
        <f>-PV(C392/100,7,C391/100,1)</f>
        <v/>
      </c>
      <c r="F392" s="8">
        <f>$B$3*(B391/100/12+(D392-1))+$B$4*(C391/100/12+(E392-1))</f>
        <v/>
      </c>
      <c r="G392" s="8">
        <f>G391*(1+F392)</f>
        <v/>
      </c>
    </row>
    <row r="393">
      <c r="A393" s="8" t="inlineStr">
        <is>
          <t>1985-06-01</t>
        </is>
      </c>
      <c r="B393" s="6" t="n">
        <v>9.6</v>
      </c>
      <c r="C393" s="6" t="n">
        <v>12.4</v>
      </c>
      <c r="D393" s="8">
        <f>-PV(B393/100,5,B392/100,1)</f>
        <v/>
      </c>
      <c r="E393" s="8">
        <f>-PV(C393/100,7,C392/100,1)</f>
        <v/>
      </c>
      <c r="F393" s="8">
        <f>$B$3*(B392/100/12+(D393-1))+$B$4*(C392/100/12+(E393-1))</f>
        <v/>
      </c>
      <c r="G393" s="8">
        <f>G392*(1+F393)</f>
        <v/>
      </c>
    </row>
    <row r="394">
      <c r="A394" s="8" t="inlineStr">
        <is>
          <t>1985-07-01</t>
        </is>
      </c>
      <c r="B394" s="6" t="n">
        <v>9.699999999999999</v>
      </c>
      <c r="C394" s="6" t="n">
        <v>12.43</v>
      </c>
      <c r="D394" s="8">
        <f>-PV(B394/100,5,B393/100,1)</f>
        <v/>
      </c>
      <c r="E394" s="8">
        <f>-PV(C394/100,7,C393/100,1)</f>
        <v/>
      </c>
      <c r="F394" s="8">
        <f>$B$3*(B393/100/12+(D394-1))+$B$4*(C393/100/12+(E394-1))</f>
        <v/>
      </c>
      <c r="G394" s="8">
        <f>G393*(1+F394)</f>
        <v/>
      </c>
    </row>
    <row r="395">
      <c r="A395" s="8" t="inlineStr">
        <is>
          <t>1985-08-01</t>
        </is>
      </c>
      <c r="B395" s="6" t="n">
        <v>9.81</v>
      </c>
      <c r="C395" s="6" t="n">
        <v>12.5</v>
      </c>
      <c r="D395" s="8">
        <f>-PV(B395/100,5,B394/100,1)</f>
        <v/>
      </c>
      <c r="E395" s="8">
        <f>-PV(C395/100,7,C394/100,1)</f>
        <v/>
      </c>
      <c r="F395" s="8">
        <f>$B$3*(B394/100/12+(D395-1))+$B$4*(C394/100/12+(E395-1))</f>
        <v/>
      </c>
      <c r="G395" s="8">
        <f>G394*(1+F395)</f>
        <v/>
      </c>
    </row>
    <row r="396">
      <c r="A396" s="8" t="inlineStr">
        <is>
          <t>1985-09-01</t>
        </is>
      </c>
      <c r="B396" s="6" t="n">
        <v>9.81</v>
      </c>
      <c r="C396" s="6" t="n">
        <v>12.48</v>
      </c>
      <c r="D396" s="8">
        <f>-PV(B396/100,5,B395/100,1)</f>
        <v/>
      </c>
      <c r="E396" s="8">
        <f>-PV(C396/100,7,C395/100,1)</f>
        <v/>
      </c>
      <c r="F396" s="8">
        <f>$B$3*(B395/100/12+(D396-1))+$B$4*(C395/100/12+(E396-1))</f>
        <v/>
      </c>
      <c r="G396" s="8">
        <f>G395*(1+F396)</f>
        <v/>
      </c>
    </row>
    <row r="397">
      <c r="A397" s="8" t="inlineStr">
        <is>
          <t>1985-10-01</t>
        </is>
      </c>
      <c r="B397" s="6" t="n">
        <v>9.69</v>
      </c>
      <c r="C397" s="6" t="n">
        <v>12.36</v>
      </c>
      <c r="D397" s="8">
        <f>-PV(B397/100,5,B396/100,1)</f>
        <v/>
      </c>
      <c r="E397" s="8">
        <f>-PV(C397/100,7,C396/100,1)</f>
        <v/>
      </c>
      <c r="F397" s="8">
        <f>$B$3*(B396/100/12+(D397-1))+$B$4*(C396/100/12+(E397-1))</f>
        <v/>
      </c>
      <c r="G397" s="8">
        <f>G396*(1+F397)</f>
        <v/>
      </c>
    </row>
    <row r="398">
      <c r="A398" s="8" t="inlineStr">
        <is>
          <t>1985-11-01</t>
        </is>
      </c>
      <c r="B398" s="6" t="n">
        <v>9.279999999999999</v>
      </c>
      <c r="C398" s="6" t="n">
        <v>11.99</v>
      </c>
      <c r="D398" s="8">
        <f>-PV(B398/100,5,B397/100,1)</f>
        <v/>
      </c>
      <c r="E398" s="8">
        <f>-PV(C398/100,7,C397/100,1)</f>
        <v/>
      </c>
      <c r="F398" s="8">
        <f>$B$3*(B397/100/12+(D398-1))+$B$4*(C397/100/12+(E398-1))</f>
        <v/>
      </c>
      <c r="G398" s="8">
        <f>G397*(1+F398)</f>
        <v/>
      </c>
    </row>
    <row r="399">
      <c r="A399" s="8" t="inlineStr">
        <is>
          <t>1985-12-01</t>
        </is>
      </c>
      <c r="B399" s="6" t="n">
        <v>8.73</v>
      </c>
      <c r="C399" s="6" t="n">
        <v>11.58</v>
      </c>
      <c r="D399" s="8">
        <f>-PV(B399/100,5,B398/100,1)</f>
        <v/>
      </c>
      <c r="E399" s="8">
        <f>-PV(C399/100,7,C398/100,1)</f>
        <v/>
      </c>
      <c r="F399" s="8">
        <f>$B$3*(B398/100/12+(D399-1))+$B$4*(C398/100/12+(E399-1))</f>
        <v/>
      </c>
      <c r="G399" s="8">
        <f>G398*(1+F399)</f>
        <v/>
      </c>
    </row>
    <row r="400">
      <c r="A400" s="8" t="inlineStr">
        <is>
          <t>1986-01-01</t>
        </is>
      </c>
      <c r="B400" s="6" t="n">
        <v>8.68</v>
      </c>
      <c r="C400" s="6" t="n">
        <v>11.44</v>
      </c>
      <c r="D400" s="8">
        <f>-PV(B400/100,5,B399/100,1)</f>
        <v/>
      </c>
      <c r="E400" s="8">
        <f>-PV(C400/100,7,C399/100,1)</f>
        <v/>
      </c>
      <c r="F400" s="8">
        <f>$B$3*(B399/100/12+(D400-1))+$B$4*(C399/100/12+(E400-1))</f>
        <v/>
      </c>
      <c r="G400" s="8">
        <f>G399*(1+F400)</f>
        <v/>
      </c>
    </row>
    <row r="401">
      <c r="A401" s="8" t="inlineStr">
        <is>
          <t>1986-02-01</t>
        </is>
      </c>
      <c r="B401" s="6" t="n">
        <v>8.34</v>
      </c>
      <c r="C401" s="6" t="n">
        <v>11.11</v>
      </c>
      <c r="D401" s="8">
        <f>-PV(B401/100,5,B400/100,1)</f>
        <v/>
      </c>
      <c r="E401" s="8">
        <f>-PV(C401/100,7,C400/100,1)</f>
        <v/>
      </c>
      <c r="F401" s="8">
        <f>$B$3*(B400/100/12+(D401-1))+$B$4*(C400/100/12+(E401-1))</f>
        <v/>
      </c>
      <c r="G401" s="8">
        <f>G400*(1+F401)</f>
        <v/>
      </c>
    </row>
    <row r="402">
      <c r="A402" s="8" t="inlineStr">
        <is>
          <t>1986-03-01</t>
        </is>
      </c>
      <c r="B402" s="6" t="n">
        <v>7.46</v>
      </c>
      <c r="C402" s="6" t="n">
        <v>10.5</v>
      </c>
      <c r="D402" s="8">
        <f>-PV(B402/100,5,B401/100,1)</f>
        <v/>
      </c>
      <c r="E402" s="8">
        <f>-PV(C402/100,7,C401/100,1)</f>
        <v/>
      </c>
      <c r="F402" s="8">
        <f>$B$3*(B401/100/12+(D402-1))+$B$4*(C401/100/12+(E402-1))</f>
        <v/>
      </c>
      <c r="G402" s="8">
        <f>G401*(1+F402)</f>
        <v/>
      </c>
    </row>
    <row r="403">
      <c r="A403" s="8" t="inlineStr">
        <is>
          <t>1986-04-01</t>
        </is>
      </c>
      <c r="B403" s="6" t="n">
        <v>7.05</v>
      </c>
      <c r="C403" s="6" t="n">
        <v>10.19</v>
      </c>
      <c r="D403" s="8">
        <f>-PV(B403/100,5,B402/100,1)</f>
        <v/>
      </c>
      <c r="E403" s="8">
        <f>-PV(C403/100,7,C402/100,1)</f>
        <v/>
      </c>
      <c r="F403" s="8">
        <f>$B$3*(B402/100/12+(D403-1))+$B$4*(C402/100/12+(E403-1))</f>
        <v/>
      </c>
      <c r="G403" s="8">
        <f>G402*(1+F403)</f>
        <v/>
      </c>
    </row>
    <row r="404">
      <c r="A404" s="8" t="inlineStr">
        <is>
          <t>1986-05-01</t>
        </is>
      </c>
      <c r="B404" s="6" t="n">
        <v>7.52</v>
      </c>
      <c r="C404" s="6" t="n">
        <v>10.29</v>
      </c>
      <c r="D404" s="8">
        <f>-PV(B404/100,5,B403/100,1)</f>
        <v/>
      </c>
      <c r="E404" s="8">
        <f>-PV(C404/100,7,C403/100,1)</f>
        <v/>
      </c>
      <c r="F404" s="8">
        <f>$B$3*(B403/100/12+(D404-1))+$B$4*(C403/100/12+(E404-1))</f>
        <v/>
      </c>
      <c r="G404" s="8">
        <f>G403*(1+F404)</f>
        <v/>
      </c>
    </row>
    <row r="405">
      <c r="A405" s="8" t="inlineStr">
        <is>
          <t>1986-06-01</t>
        </is>
      </c>
      <c r="B405" s="6" t="n">
        <v>7.64</v>
      </c>
      <c r="C405" s="6" t="n">
        <v>10.34</v>
      </c>
      <c r="D405" s="8">
        <f>-PV(B405/100,5,B404/100,1)</f>
        <v/>
      </c>
      <c r="E405" s="8">
        <f>-PV(C405/100,7,C404/100,1)</f>
        <v/>
      </c>
      <c r="F405" s="8">
        <f>$B$3*(B404/100/12+(D405-1))+$B$4*(C404/100/12+(E405-1))</f>
        <v/>
      </c>
      <c r="G405" s="8">
        <f>G404*(1+F405)</f>
        <v/>
      </c>
    </row>
    <row r="406">
      <c r="A406" s="8" t="inlineStr">
        <is>
          <t>1986-07-01</t>
        </is>
      </c>
      <c r="B406" s="6" t="n">
        <v>7.06</v>
      </c>
      <c r="C406" s="6" t="n">
        <v>10.16</v>
      </c>
      <c r="D406" s="8">
        <f>-PV(B406/100,5,B405/100,1)</f>
        <v/>
      </c>
      <c r="E406" s="8">
        <f>-PV(C406/100,7,C405/100,1)</f>
        <v/>
      </c>
      <c r="F406" s="8">
        <f>$B$3*(B405/100/12+(D406-1))+$B$4*(C405/100/12+(E406-1))</f>
        <v/>
      </c>
      <c r="G406" s="8">
        <f>G405*(1+F406)</f>
        <v/>
      </c>
    </row>
    <row r="407">
      <c r="A407" s="8" t="inlineStr">
        <is>
          <t>1986-08-01</t>
        </is>
      </c>
      <c r="B407" s="6" t="n">
        <v>6.8</v>
      </c>
      <c r="C407" s="6" t="n">
        <v>10.18</v>
      </c>
      <c r="D407" s="8">
        <f>-PV(B407/100,5,B406/100,1)</f>
        <v/>
      </c>
      <c r="E407" s="8">
        <f>-PV(C407/100,7,C406/100,1)</f>
        <v/>
      </c>
      <c r="F407" s="8">
        <f>$B$3*(B406/100/12+(D407-1))+$B$4*(C406/100/12+(E407-1))</f>
        <v/>
      </c>
      <c r="G407" s="8">
        <f>G406*(1+F407)</f>
        <v/>
      </c>
    </row>
    <row r="408">
      <c r="A408" s="8" t="inlineStr">
        <is>
          <t>1986-09-01</t>
        </is>
      </c>
      <c r="B408" s="6" t="n">
        <v>6.92</v>
      </c>
      <c r="C408" s="6" t="n">
        <v>10.2</v>
      </c>
      <c r="D408" s="8">
        <f>-PV(B408/100,5,B407/100,1)</f>
        <v/>
      </c>
      <c r="E408" s="8">
        <f>-PV(C408/100,7,C407/100,1)</f>
        <v/>
      </c>
      <c r="F408" s="8">
        <f>$B$3*(B407/100/12+(D408-1))+$B$4*(C407/100/12+(E408-1))</f>
        <v/>
      </c>
      <c r="G408" s="8">
        <f>G407*(1+F408)</f>
        <v/>
      </c>
    </row>
    <row r="409">
      <c r="A409" s="8" t="inlineStr">
        <is>
          <t>1986-10-01</t>
        </is>
      </c>
      <c r="B409" s="6" t="n">
        <v>6.83</v>
      </c>
      <c r="C409" s="6" t="n">
        <v>10.24</v>
      </c>
      <c r="D409" s="8">
        <f>-PV(B409/100,5,B408/100,1)</f>
        <v/>
      </c>
      <c r="E409" s="8">
        <f>-PV(C409/100,7,C408/100,1)</f>
        <v/>
      </c>
      <c r="F409" s="8">
        <f>$B$3*(B408/100/12+(D409-1))+$B$4*(C408/100/12+(E409-1))</f>
        <v/>
      </c>
      <c r="G409" s="8">
        <f>G408*(1+F409)</f>
        <v/>
      </c>
    </row>
    <row r="410">
      <c r="A410" s="8" t="inlineStr">
        <is>
          <t>1986-11-01</t>
        </is>
      </c>
      <c r="B410" s="6" t="n">
        <v>6.76</v>
      </c>
      <c r="C410" s="6" t="n">
        <v>10.07</v>
      </c>
      <c r="D410" s="8">
        <f>-PV(B410/100,5,B409/100,1)</f>
        <v/>
      </c>
      <c r="E410" s="8">
        <f>-PV(C410/100,7,C409/100,1)</f>
        <v/>
      </c>
      <c r="F410" s="8">
        <f>$B$3*(B409/100/12+(D410-1))+$B$4*(C409/100/12+(E410-1))</f>
        <v/>
      </c>
      <c r="G410" s="8">
        <f>G409*(1+F410)</f>
        <v/>
      </c>
    </row>
    <row r="411">
      <c r="A411" s="8" t="inlineStr">
        <is>
          <t>1986-12-01</t>
        </is>
      </c>
      <c r="B411" s="6" t="n">
        <v>6.67</v>
      </c>
      <c r="C411" s="6" t="n">
        <v>9.970000000000001</v>
      </c>
      <c r="D411" s="8">
        <f>-PV(B411/100,5,B410/100,1)</f>
        <v/>
      </c>
      <c r="E411" s="8">
        <f>-PV(C411/100,7,C410/100,1)</f>
        <v/>
      </c>
      <c r="F411" s="8">
        <f>$B$3*(B410/100/12+(D411-1))+$B$4*(C410/100/12+(E411-1))</f>
        <v/>
      </c>
      <c r="G411" s="8">
        <f>G410*(1+F411)</f>
        <v/>
      </c>
    </row>
    <row r="412">
      <c r="A412" s="8" t="inlineStr">
        <is>
          <t>1987-01-01</t>
        </is>
      </c>
      <c r="B412" s="6" t="n">
        <v>6.64</v>
      </c>
      <c r="C412" s="6" t="n">
        <v>9.720000000000001</v>
      </c>
      <c r="D412" s="8">
        <f>-PV(B412/100,5,B411/100,1)</f>
        <v/>
      </c>
      <c r="E412" s="8">
        <f>-PV(C412/100,7,C411/100,1)</f>
        <v/>
      </c>
      <c r="F412" s="8">
        <f>$B$3*(B411/100/12+(D412-1))+$B$4*(C411/100/12+(E412-1))</f>
        <v/>
      </c>
      <c r="G412" s="8">
        <f>G411*(1+F412)</f>
        <v/>
      </c>
    </row>
    <row r="413">
      <c r="A413" s="8" t="inlineStr">
        <is>
          <t>1987-02-01</t>
        </is>
      </c>
      <c r="B413" s="6" t="n">
        <v>6.79</v>
      </c>
      <c r="C413" s="6" t="n">
        <v>9.65</v>
      </c>
      <c r="D413" s="8">
        <f>-PV(B413/100,5,B412/100,1)</f>
        <v/>
      </c>
      <c r="E413" s="8">
        <f>-PV(C413/100,7,C412/100,1)</f>
        <v/>
      </c>
      <c r="F413" s="8">
        <f>$B$3*(B412/100/12+(D413-1))+$B$4*(C412/100/12+(E413-1))</f>
        <v/>
      </c>
      <c r="G413" s="8">
        <f>G412*(1+F413)</f>
        <v/>
      </c>
    </row>
    <row r="414">
      <c r="A414" s="8" t="inlineStr">
        <is>
          <t>1987-03-01</t>
        </is>
      </c>
      <c r="B414" s="6" t="n">
        <v>6.79</v>
      </c>
      <c r="C414" s="6" t="n">
        <v>9.609999999999999</v>
      </c>
      <c r="D414" s="8">
        <f>-PV(B414/100,5,B413/100,1)</f>
        <v/>
      </c>
      <c r="E414" s="8">
        <f>-PV(C414/100,7,C413/100,1)</f>
        <v/>
      </c>
      <c r="F414" s="8">
        <f>$B$3*(B413/100/12+(D414-1))+$B$4*(C413/100/12+(E414-1))</f>
        <v/>
      </c>
      <c r="G414" s="8">
        <f>G413*(1+F414)</f>
        <v/>
      </c>
    </row>
    <row r="415">
      <c r="A415" s="8" t="inlineStr">
        <is>
          <t>1987-04-01</t>
        </is>
      </c>
      <c r="B415" s="6" t="n">
        <v>7.57</v>
      </c>
      <c r="C415" s="6" t="n">
        <v>10.04</v>
      </c>
      <c r="D415" s="8">
        <f>-PV(B415/100,5,B414/100,1)</f>
        <v/>
      </c>
      <c r="E415" s="8">
        <f>-PV(C415/100,7,C414/100,1)</f>
        <v/>
      </c>
      <c r="F415" s="8">
        <f>$B$3*(B414/100/12+(D415-1))+$B$4*(C414/100/12+(E415-1))</f>
        <v/>
      </c>
      <c r="G415" s="8">
        <f>G414*(1+F415)</f>
        <v/>
      </c>
    </row>
    <row r="416">
      <c r="A416" s="8" t="inlineStr">
        <is>
          <t>1987-05-01</t>
        </is>
      </c>
      <c r="B416" s="6" t="n">
        <v>8.26</v>
      </c>
      <c r="C416" s="6" t="n">
        <v>10.51</v>
      </c>
      <c r="D416" s="8">
        <f>-PV(B416/100,5,B415/100,1)</f>
        <v/>
      </c>
      <c r="E416" s="8">
        <f>-PV(C416/100,7,C415/100,1)</f>
        <v/>
      </c>
      <c r="F416" s="8">
        <f>$B$3*(B415/100/12+(D416-1))+$B$4*(C415/100/12+(E416-1))</f>
        <v/>
      </c>
      <c r="G416" s="8">
        <f>G415*(1+F416)</f>
        <v/>
      </c>
    </row>
    <row r="417">
      <c r="A417" s="8" t="inlineStr">
        <is>
          <t>1987-06-01</t>
        </is>
      </c>
      <c r="B417" s="6" t="n">
        <v>8.02</v>
      </c>
      <c r="C417" s="6" t="n">
        <v>10.52</v>
      </c>
      <c r="D417" s="8">
        <f>-PV(B417/100,5,B416/100,1)</f>
        <v/>
      </c>
      <c r="E417" s="8">
        <f>-PV(C417/100,7,C416/100,1)</f>
        <v/>
      </c>
      <c r="F417" s="8">
        <f>$B$3*(B416/100/12+(D417-1))+$B$4*(C416/100/12+(E417-1))</f>
        <v/>
      </c>
      <c r="G417" s="8">
        <f>G416*(1+F417)</f>
        <v/>
      </c>
    </row>
    <row r="418">
      <c r="A418" s="8" t="inlineStr">
        <is>
          <t>1987-07-01</t>
        </is>
      </c>
      <c r="B418" s="6" t="n">
        <v>8.01</v>
      </c>
      <c r="C418" s="6" t="n">
        <v>10.61</v>
      </c>
      <c r="D418" s="8">
        <f>-PV(B418/100,5,B417/100,1)</f>
        <v/>
      </c>
      <c r="E418" s="8">
        <f>-PV(C418/100,7,C417/100,1)</f>
        <v/>
      </c>
      <c r="F418" s="8">
        <f>$B$3*(B417/100/12+(D418-1))+$B$4*(C417/100/12+(E418-1))</f>
        <v/>
      </c>
      <c r="G418" s="8">
        <f>G417*(1+F418)</f>
        <v/>
      </c>
    </row>
    <row r="419">
      <c r="A419" s="8" t="inlineStr">
        <is>
          <t>1987-08-01</t>
        </is>
      </c>
      <c r="B419" s="6" t="n">
        <v>8.32</v>
      </c>
      <c r="C419" s="6" t="n">
        <v>10.8</v>
      </c>
      <c r="D419" s="8">
        <f>-PV(B419/100,5,B418/100,1)</f>
        <v/>
      </c>
      <c r="E419" s="8">
        <f>-PV(C419/100,7,C418/100,1)</f>
        <v/>
      </c>
      <c r="F419" s="8">
        <f>$B$3*(B418/100/12+(D419-1))+$B$4*(C418/100/12+(E419-1))</f>
        <v/>
      </c>
      <c r="G419" s="8">
        <f>G418*(1+F419)</f>
        <v/>
      </c>
    </row>
    <row r="420">
      <c r="A420" s="8" t="inlineStr">
        <is>
          <t>1987-09-01</t>
        </is>
      </c>
      <c r="B420" s="6" t="n">
        <v>8.94</v>
      </c>
      <c r="C420" s="6" t="n">
        <v>11.31</v>
      </c>
      <c r="D420" s="8">
        <f>-PV(B420/100,5,B419/100,1)</f>
        <v/>
      </c>
      <c r="E420" s="8">
        <f>-PV(C420/100,7,C419/100,1)</f>
        <v/>
      </c>
      <c r="F420" s="8">
        <f>$B$3*(B419/100/12+(D420-1))+$B$4*(C419/100/12+(E420-1))</f>
        <v/>
      </c>
      <c r="G420" s="8">
        <f>G419*(1+F420)</f>
        <v/>
      </c>
    </row>
    <row r="421">
      <c r="A421" s="8" t="inlineStr">
        <is>
          <t>1987-10-01</t>
        </is>
      </c>
      <c r="B421" s="6" t="n">
        <v>9.08</v>
      </c>
      <c r="C421" s="6" t="n">
        <v>11.62</v>
      </c>
      <c r="D421" s="8">
        <f>-PV(B421/100,5,B420/100,1)</f>
        <v/>
      </c>
      <c r="E421" s="8">
        <f>-PV(C421/100,7,C420/100,1)</f>
        <v/>
      </c>
      <c r="F421" s="8">
        <f>$B$3*(B420/100/12+(D421-1))+$B$4*(C420/100/12+(E421-1))</f>
        <v/>
      </c>
      <c r="G421" s="8">
        <f>G420*(1+F421)</f>
        <v/>
      </c>
    </row>
    <row r="422">
      <c r="A422" s="8" t="inlineStr">
        <is>
          <t>1987-11-01</t>
        </is>
      </c>
      <c r="B422" s="6" t="n">
        <v>8.35</v>
      </c>
      <c r="C422" s="6" t="n">
        <v>11.23</v>
      </c>
      <c r="D422" s="8">
        <f>-PV(B422/100,5,B421/100,1)</f>
        <v/>
      </c>
      <c r="E422" s="8">
        <f>-PV(C422/100,7,C421/100,1)</f>
        <v/>
      </c>
      <c r="F422" s="8">
        <f>$B$3*(B421/100/12+(D422-1))+$B$4*(C421/100/12+(E422-1))</f>
        <v/>
      </c>
      <c r="G422" s="8">
        <f>G421*(1+F422)</f>
        <v/>
      </c>
    </row>
    <row r="423">
      <c r="A423" s="8" t="inlineStr">
        <is>
          <t>1987-12-01</t>
        </is>
      </c>
      <c r="B423" s="6" t="n">
        <v>8.449999999999999</v>
      </c>
      <c r="C423" s="6" t="n">
        <v>11.29</v>
      </c>
      <c r="D423" s="8">
        <f>-PV(B423/100,5,B422/100,1)</f>
        <v/>
      </c>
      <c r="E423" s="8">
        <f>-PV(C423/100,7,C422/100,1)</f>
        <v/>
      </c>
      <c r="F423" s="8">
        <f>$B$3*(B422/100/12+(D423-1))+$B$4*(C422/100/12+(E423-1))</f>
        <v/>
      </c>
      <c r="G423" s="8">
        <f>G422*(1+F423)</f>
        <v/>
      </c>
    </row>
    <row r="424">
      <c r="A424" s="8" t="inlineStr">
        <is>
          <t>1988-01-01</t>
        </is>
      </c>
      <c r="B424" s="6" t="n">
        <v>8.18</v>
      </c>
      <c r="C424" s="6" t="n">
        <v>11.07</v>
      </c>
      <c r="D424" s="8">
        <f>-PV(B424/100,5,B423/100,1)</f>
        <v/>
      </c>
      <c r="E424" s="8">
        <f>-PV(C424/100,7,C423/100,1)</f>
        <v/>
      </c>
      <c r="F424" s="8">
        <f>$B$3*(B423/100/12+(D424-1))+$B$4*(C423/100/12+(E424-1))</f>
        <v/>
      </c>
      <c r="G424" s="8">
        <f>G423*(1+F424)</f>
        <v/>
      </c>
    </row>
    <row r="425">
      <c r="A425" s="8" t="inlineStr">
        <is>
          <t>1988-02-01</t>
        </is>
      </c>
      <c r="B425" s="6" t="n">
        <v>7.71</v>
      </c>
      <c r="C425" s="6" t="n">
        <v>10.62</v>
      </c>
      <c r="D425" s="8">
        <f>-PV(B425/100,5,B424/100,1)</f>
        <v/>
      </c>
      <c r="E425" s="8">
        <f>-PV(C425/100,7,C424/100,1)</f>
        <v/>
      </c>
      <c r="F425" s="8">
        <f>$B$3*(B424/100/12+(D425-1))+$B$4*(C424/100/12+(E425-1))</f>
        <v/>
      </c>
      <c r="G425" s="8">
        <f>G424*(1+F425)</f>
        <v/>
      </c>
    </row>
    <row r="426">
      <c r="A426" s="8" t="inlineStr">
        <is>
          <t>1988-03-01</t>
        </is>
      </c>
      <c r="B426" s="6" t="n">
        <v>7.83</v>
      </c>
      <c r="C426" s="6" t="n">
        <v>10.57</v>
      </c>
      <c r="D426" s="8">
        <f>-PV(B426/100,5,B425/100,1)</f>
        <v/>
      </c>
      <c r="E426" s="8">
        <f>-PV(C426/100,7,C425/100,1)</f>
        <v/>
      </c>
      <c r="F426" s="8">
        <f>$B$3*(B425/100/12+(D426-1))+$B$4*(C425/100/12+(E426-1))</f>
        <v/>
      </c>
      <c r="G426" s="8">
        <f>G425*(1+F426)</f>
        <v/>
      </c>
    </row>
    <row r="427">
      <c r="A427" s="8" t="inlineStr">
        <is>
          <t>1988-04-01</t>
        </is>
      </c>
      <c r="B427" s="6" t="n">
        <v>8.19</v>
      </c>
      <c r="C427" s="6" t="n">
        <v>10.9</v>
      </c>
      <c r="D427" s="8">
        <f>-PV(B427/100,5,B426/100,1)</f>
        <v/>
      </c>
      <c r="E427" s="8">
        <f>-PV(C427/100,7,C426/100,1)</f>
        <v/>
      </c>
      <c r="F427" s="8">
        <f>$B$3*(B426/100/12+(D427-1))+$B$4*(C426/100/12+(E427-1))</f>
        <v/>
      </c>
      <c r="G427" s="8">
        <f>G426*(1+F427)</f>
        <v/>
      </c>
    </row>
    <row r="428">
      <c r="A428" s="8" t="inlineStr">
        <is>
          <t>1988-05-01</t>
        </is>
      </c>
      <c r="B428" s="6" t="n">
        <v>8.58</v>
      </c>
      <c r="C428" s="6" t="n">
        <v>11.04</v>
      </c>
      <c r="D428" s="8">
        <f>-PV(B428/100,5,B427/100,1)</f>
        <v/>
      </c>
      <c r="E428" s="8">
        <f>-PV(C428/100,7,C427/100,1)</f>
        <v/>
      </c>
      <c r="F428" s="8">
        <f>$B$3*(B427/100/12+(D428-1))+$B$4*(C427/100/12+(E428-1))</f>
        <v/>
      </c>
      <c r="G428" s="8">
        <f>G427*(1+F428)</f>
        <v/>
      </c>
    </row>
    <row r="429">
      <c r="A429" s="8" t="inlineStr">
        <is>
          <t>1988-06-01</t>
        </is>
      </c>
      <c r="B429" s="6" t="n">
        <v>8.49</v>
      </c>
      <c r="C429" s="6" t="n">
        <v>11</v>
      </c>
      <c r="D429" s="8">
        <f>-PV(B429/100,5,B428/100,1)</f>
        <v/>
      </c>
      <c r="E429" s="8">
        <f>-PV(C429/100,7,C428/100,1)</f>
        <v/>
      </c>
      <c r="F429" s="8">
        <f>$B$3*(B428/100/12+(D429-1))+$B$4*(C428/100/12+(E429-1))</f>
        <v/>
      </c>
      <c r="G429" s="8">
        <f>G428*(1+F429)</f>
        <v/>
      </c>
    </row>
    <row r="430">
      <c r="A430" s="8" t="inlineStr">
        <is>
          <t>1988-07-01</t>
        </is>
      </c>
      <c r="B430" s="6" t="n">
        <v>8.66</v>
      </c>
      <c r="C430" s="6" t="n">
        <v>11.11</v>
      </c>
      <c r="D430" s="8">
        <f>-PV(B430/100,5,B429/100,1)</f>
        <v/>
      </c>
      <c r="E430" s="8">
        <f>-PV(C430/100,7,C429/100,1)</f>
        <v/>
      </c>
      <c r="F430" s="8">
        <f>$B$3*(B429/100/12+(D430-1))+$B$4*(C429/100/12+(E430-1))</f>
        <v/>
      </c>
      <c r="G430" s="8">
        <f>G429*(1+F430)</f>
        <v/>
      </c>
    </row>
    <row r="431">
      <c r="A431" s="8" t="inlineStr">
        <is>
          <t>1988-08-01</t>
        </is>
      </c>
      <c r="B431" s="6" t="n">
        <v>8.94</v>
      </c>
      <c r="C431" s="6" t="n">
        <v>11.21</v>
      </c>
      <c r="D431" s="8">
        <f>-PV(B431/100,5,B430/100,1)</f>
        <v/>
      </c>
      <c r="E431" s="8">
        <f>-PV(C431/100,7,C430/100,1)</f>
        <v/>
      </c>
      <c r="F431" s="8">
        <f>$B$3*(B430/100/12+(D431-1))+$B$4*(C430/100/12+(E431-1))</f>
        <v/>
      </c>
      <c r="G431" s="8">
        <f>G430*(1+F431)</f>
        <v/>
      </c>
    </row>
    <row r="432">
      <c r="A432" s="8" t="inlineStr">
        <is>
          <t>1988-09-01</t>
        </is>
      </c>
      <c r="B432" s="6" t="n">
        <v>8.69</v>
      </c>
      <c r="C432" s="6" t="n">
        <v>10.9</v>
      </c>
      <c r="D432" s="8">
        <f>-PV(B432/100,5,B431/100,1)</f>
        <v/>
      </c>
      <c r="E432" s="8">
        <f>-PV(C432/100,7,C431/100,1)</f>
        <v/>
      </c>
      <c r="F432" s="8">
        <f>$B$3*(B431/100/12+(D432-1))+$B$4*(C431/100/12+(E432-1))</f>
        <v/>
      </c>
      <c r="G432" s="8">
        <f>G431*(1+F432)</f>
        <v/>
      </c>
    </row>
    <row r="433">
      <c r="A433" s="8" t="inlineStr">
        <is>
          <t>1988-10-01</t>
        </is>
      </c>
      <c r="B433" s="6" t="n">
        <v>8.51</v>
      </c>
      <c r="C433" s="6" t="n">
        <v>10.41</v>
      </c>
      <c r="D433" s="8">
        <f>-PV(B433/100,5,B432/100,1)</f>
        <v/>
      </c>
      <c r="E433" s="8">
        <f>-PV(C433/100,7,C432/100,1)</f>
        <v/>
      </c>
      <c r="F433" s="8">
        <f>$B$3*(B432/100/12+(D433-1))+$B$4*(C432/100/12+(E433-1))</f>
        <v/>
      </c>
      <c r="G433" s="8">
        <f>G432*(1+F433)</f>
        <v/>
      </c>
    </row>
    <row r="434">
      <c r="A434" s="8" t="inlineStr">
        <is>
          <t>1988-11-01</t>
        </is>
      </c>
      <c r="B434" s="6" t="n">
        <v>8.789999999999999</v>
      </c>
      <c r="C434" s="6" t="n">
        <v>10.48</v>
      </c>
      <c r="D434" s="8">
        <f>-PV(B434/100,5,B433/100,1)</f>
        <v/>
      </c>
      <c r="E434" s="8">
        <f>-PV(C434/100,7,C433/100,1)</f>
        <v/>
      </c>
      <c r="F434" s="8">
        <f>$B$3*(B433/100/12+(D434-1))+$B$4*(C433/100/12+(E434-1))</f>
        <v/>
      </c>
      <c r="G434" s="8">
        <f>G433*(1+F434)</f>
        <v/>
      </c>
    </row>
    <row r="435">
      <c r="A435" s="8" t="inlineStr">
        <is>
          <t>1988-12-01</t>
        </is>
      </c>
      <c r="B435" s="6" t="n">
        <v>9.09</v>
      </c>
      <c r="C435" s="6" t="n">
        <v>10.65</v>
      </c>
      <c r="D435" s="8">
        <f>-PV(B435/100,5,B434/100,1)</f>
        <v/>
      </c>
      <c r="E435" s="8">
        <f>-PV(C435/100,7,C434/100,1)</f>
        <v/>
      </c>
      <c r="F435" s="8">
        <f>$B$3*(B434/100/12+(D435-1))+$B$4*(C434/100/12+(E435-1))</f>
        <v/>
      </c>
      <c r="G435" s="8">
        <f>G434*(1+F435)</f>
        <v/>
      </c>
    </row>
    <row r="436">
      <c r="A436" s="8" t="inlineStr">
        <is>
          <t>1989-01-01</t>
        </is>
      </c>
      <c r="B436" s="6" t="n">
        <v>9.15</v>
      </c>
      <c r="C436" s="6" t="n">
        <v>10.65</v>
      </c>
      <c r="D436" s="8">
        <f>-PV(B436/100,5,B435/100,1)</f>
        <v/>
      </c>
      <c r="E436" s="8">
        <f>-PV(C436/100,7,C435/100,1)</f>
        <v/>
      </c>
      <c r="F436" s="8">
        <f>$B$3*(B435/100/12+(D436-1))+$B$4*(C435/100/12+(E436-1))</f>
        <v/>
      </c>
      <c r="G436" s="8">
        <f>G435*(1+F436)</f>
        <v/>
      </c>
    </row>
    <row r="437">
      <c r="A437" s="8" t="inlineStr">
        <is>
          <t>1989-02-01</t>
        </is>
      </c>
      <c r="B437" s="6" t="n">
        <v>9.27</v>
      </c>
      <c r="C437" s="6" t="n">
        <v>10.61</v>
      </c>
      <c r="D437" s="8">
        <f>-PV(B437/100,5,B436/100,1)</f>
        <v/>
      </c>
      <c r="E437" s="8">
        <f>-PV(C437/100,7,C436/100,1)</f>
        <v/>
      </c>
      <c r="F437" s="8">
        <f>$B$3*(B436/100/12+(D437-1))+$B$4*(C436/100/12+(E437-1))</f>
        <v/>
      </c>
      <c r="G437" s="8">
        <f>G436*(1+F437)</f>
        <v/>
      </c>
    </row>
    <row r="438">
      <c r="A438" s="8" t="inlineStr">
        <is>
          <t>1989-03-01</t>
        </is>
      </c>
      <c r="B438" s="6" t="n">
        <v>9.51</v>
      </c>
      <c r="C438" s="6" t="n">
        <v>10.67</v>
      </c>
      <c r="D438" s="8">
        <f>-PV(B438/100,5,B437/100,1)</f>
        <v/>
      </c>
      <c r="E438" s="8">
        <f>-PV(C438/100,7,C437/100,1)</f>
        <v/>
      </c>
      <c r="F438" s="8">
        <f>$B$3*(B437/100/12+(D438-1))+$B$4*(C437/100/12+(E438-1))</f>
        <v/>
      </c>
      <c r="G438" s="8">
        <f>G437*(1+F438)</f>
        <v/>
      </c>
    </row>
    <row r="439">
      <c r="A439" s="8" t="inlineStr">
        <is>
          <t>1989-04-01</t>
        </is>
      </c>
      <c r="B439" s="6" t="n">
        <v>9.300000000000001</v>
      </c>
      <c r="C439" s="6" t="n">
        <v>10.61</v>
      </c>
      <c r="D439" s="8">
        <f>-PV(B439/100,5,B438/100,1)</f>
        <v/>
      </c>
      <c r="E439" s="8">
        <f>-PV(C439/100,7,C438/100,1)</f>
        <v/>
      </c>
      <c r="F439" s="8">
        <f>$B$3*(B438/100/12+(D439-1))+$B$4*(C438/100/12+(E439-1))</f>
        <v/>
      </c>
      <c r="G439" s="8">
        <f>G438*(1+F439)</f>
        <v/>
      </c>
    </row>
    <row r="440">
      <c r="A440" s="8" t="inlineStr">
        <is>
          <t>1989-05-01</t>
        </is>
      </c>
      <c r="B440" s="6" t="n">
        <v>8.91</v>
      </c>
      <c r="C440" s="6" t="n">
        <v>10.46</v>
      </c>
      <c r="D440" s="8">
        <f>-PV(B440/100,5,B439/100,1)</f>
        <v/>
      </c>
      <c r="E440" s="8">
        <f>-PV(C440/100,7,C439/100,1)</f>
        <v/>
      </c>
      <c r="F440" s="8">
        <f>$B$3*(B439/100/12+(D440-1))+$B$4*(C439/100/12+(E440-1))</f>
        <v/>
      </c>
      <c r="G440" s="8">
        <f>G439*(1+F440)</f>
        <v/>
      </c>
    </row>
    <row r="441">
      <c r="A441" s="8" t="inlineStr">
        <is>
          <t>1989-06-01</t>
        </is>
      </c>
      <c r="B441" s="6" t="n">
        <v>8.289999999999999</v>
      </c>
      <c r="C441" s="6" t="n">
        <v>10.03</v>
      </c>
      <c r="D441" s="8">
        <f>-PV(B441/100,5,B440/100,1)</f>
        <v/>
      </c>
      <c r="E441" s="8">
        <f>-PV(C441/100,7,C440/100,1)</f>
        <v/>
      </c>
      <c r="F441" s="8">
        <f>$B$3*(B440/100/12+(D441-1))+$B$4*(C440/100/12+(E441-1))</f>
        <v/>
      </c>
      <c r="G441" s="8">
        <f>G440*(1+F441)</f>
        <v/>
      </c>
    </row>
    <row r="442">
      <c r="A442" s="8" t="inlineStr">
        <is>
          <t>1989-07-01</t>
        </is>
      </c>
      <c r="B442" s="6" t="n">
        <v>7.83</v>
      </c>
      <c r="C442" s="6" t="n">
        <v>9.869999999999999</v>
      </c>
      <c r="D442" s="8">
        <f>-PV(B442/100,5,B441/100,1)</f>
        <v/>
      </c>
      <c r="E442" s="8">
        <f>-PV(C442/100,7,C441/100,1)</f>
        <v/>
      </c>
      <c r="F442" s="8">
        <f>$B$3*(B441/100/12+(D442-1))+$B$4*(C441/100/12+(E442-1))</f>
        <v/>
      </c>
      <c r="G442" s="8">
        <f>G441*(1+F442)</f>
        <v/>
      </c>
    </row>
    <row r="443">
      <c r="A443" s="8" t="inlineStr">
        <is>
          <t>1989-08-01</t>
        </is>
      </c>
      <c r="B443" s="6" t="n">
        <v>8.09</v>
      </c>
      <c r="C443" s="6" t="n">
        <v>9.880000000000001</v>
      </c>
      <c r="D443" s="8">
        <f>-PV(B443/100,5,B442/100,1)</f>
        <v/>
      </c>
      <c r="E443" s="8">
        <f>-PV(C443/100,7,C442/100,1)</f>
        <v/>
      </c>
      <c r="F443" s="8">
        <f>$B$3*(B442/100/12+(D443-1))+$B$4*(C442/100/12+(E443-1))</f>
        <v/>
      </c>
      <c r="G443" s="8">
        <f>G442*(1+F443)</f>
        <v/>
      </c>
    </row>
    <row r="444">
      <c r="A444" s="8" t="inlineStr">
        <is>
          <t>1989-09-01</t>
        </is>
      </c>
      <c r="B444" s="6" t="n">
        <v>8.17</v>
      </c>
      <c r="C444" s="6" t="n">
        <v>9.91</v>
      </c>
      <c r="D444" s="8">
        <f>-PV(B444/100,5,B443/100,1)</f>
        <v/>
      </c>
      <c r="E444" s="8">
        <f>-PV(C444/100,7,C443/100,1)</f>
        <v/>
      </c>
      <c r="F444" s="8">
        <f>$B$3*(B443/100/12+(D444-1))+$B$4*(C443/100/12+(E444-1))</f>
        <v/>
      </c>
      <c r="G444" s="8">
        <f>G443*(1+F444)</f>
        <v/>
      </c>
    </row>
    <row r="445">
      <c r="A445" s="8" t="inlineStr">
        <is>
          <t>1989-10-01</t>
        </is>
      </c>
      <c r="B445" s="6" t="n">
        <v>7.97</v>
      </c>
      <c r="C445" s="6" t="n">
        <v>9.81</v>
      </c>
      <c r="D445" s="8">
        <f>-PV(B445/100,5,B444/100,1)</f>
        <v/>
      </c>
      <c r="E445" s="8">
        <f>-PV(C445/100,7,C444/100,1)</f>
        <v/>
      </c>
      <c r="F445" s="8">
        <f>$B$3*(B444/100/12+(D445-1))+$B$4*(C444/100/12+(E445-1))</f>
        <v/>
      </c>
      <c r="G445" s="8">
        <f>G444*(1+F445)</f>
        <v/>
      </c>
    </row>
    <row r="446">
      <c r="A446" s="8" t="inlineStr">
        <is>
          <t>1989-11-01</t>
        </is>
      </c>
      <c r="B446" s="6" t="n">
        <v>7.81</v>
      </c>
      <c r="C446" s="6" t="n">
        <v>9.81</v>
      </c>
      <c r="D446" s="8">
        <f>-PV(B446/100,5,B445/100,1)</f>
        <v/>
      </c>
      <c r="E446" s="8">
        <f>-PV(C446/100,7,C445/100,1)</f>
        <v/>
      </c>
      <c r="F446" s="8">
        <f>$B$3*(B445/100/12+(D446-1))+$B$4*(C445/100/12+(E446-1))</f>
        <v/>
      </c>
      <c r="G446" s="8">
        <f>G445*(1+F446)</f>
        <v/>
      </c>
    </row>
    <row r="447">
      <c r="A447" s="8" t="inlineStr">
        <is>
          <t>1989-12-01</t>
        </is>
      </c>
      <c r="B447" s="6" t="n">
        <v>7.75</v>
      </c>
      <c r="C447" s="6" t="n">
        <v>9.82</v>
      </c>
      <c r="D447" s="8">
        <f>-PV(B447/100,5,B446/100,1)</f>
        <v/>
      </c>
      <c r="E447" s="8">
        <f>-PV(C447/100,7,C446/100,1)</f>
        <v/>
      </c>
      <c r="F447" s="8">
        <f>$B$3*(B446/100/12+(D447-1))+$B$4*(C446/100/12+(E447-1))</f>
        <v/>
      </c>
      <c r="G447" s="8">
        <f>G446*(1+F447)</f>
        <v/>
      </c>
    </row>
    <row r="448">
      <c r="A448" s="8" t="inlineStr">
        <is>
          <t>1990-01-01</t>
        </is>
      </c>
      <c r="B448" s="6" t="n">
        <v>8.119999999999999</v>
      </c>
      <c r="C448" s="6" t="n">
        <v>9.94</v>
      </c>
      <c r="D448" s="8">
        <f>-PV(B448/100,5,B447/100,1)</f>
        <v/>
      </c>
      <c r="E448" s="8">
        <f>-PV(C448/100,7,C447/100,1)</f>
        <v/>
      </c>
      <c r="F448" s="8">
        <f>$B$3*(B447/100/12+(D448-1))+$B$4*(C447/100/12+(E448-1))</f>
        <v/>
      </c>
      <c r="G448" s="8">
        <f>G447*(1+F448)</f>
        <v/>
      </c>
    </row>
    <row r="449">
      <c r="A449" s="8" t="inlineStr">
        <is>
          <t>1990-02-01</t>
        </is>
      </c>
      <c r="B449" s="6" t="n">
        <v>8.42</v>
      </c>
      <c r="C449" s="6" t="n">
        <v>10.14</v>
      </c>
      <c r="D449" s="8">
        <f>-PV(B449/100,5,B448/100,1)</f>
        <v/>
      </c>
      <c r="E449" s="8">
        <f>-PV(C449/100,7,C448/100,1)</f>
        <v/>
      </c>
      <c r="F449" s="8">
        <f>$B$3*(B448/100/12+(D449-1))+$B$4*(C448/100/12+(E449-1))</f>
        <v/>
      </c>
      <c r="G449" s="8">
        <f>G448*(1+F449)</f>
        <v/>
      </c>
    </row>
    <row r="450">
      <c r="A450" s="8" t="inlineStr">
        <is>
          <t>1990-03-01</t>
        </is>
      </c>
      <c r="B450" s="6" t="n">
        <v>8.6</v>
      </c>
      <c r="C450" s="6" t="n">
        <v>10.21</v>
      </c>
      <c r="D450" s="8">
        <f>-PV(B450/100,5,B449/100,1)</f>
        <v/>
      </c>
      <c r="E450" s="8">
        <f>-PV(C450/100,7,C449/100,1)</f>
        <v/>
      </c>
      <c r="F450" s="8">
        <f>$B$3*(B449/100/12+(D450-1))+$B$4*(C449/100/12+(E450-1))</f>
        <v/>
      </c>
      <c r="G450" s="8">
        <f>G449*(1+F450)</f>
        <v/>
      </c>
    </row>
    <row r="451">
      <c r="A451" s="8" t="inlineStr">
        <is>
          <t>1990-04-01</t>
        </is>
      </c>
      <c r="B451" s="6" t="n">
        <v>8.77</v>
      </c>
      <c r="C451" s="6" t="n">
        <v>10.3</v>
      </c>
      <c r="D451" s="8">
        <f>-PV(B451/100,5,B450/100,1)</f>
        <v/>
      </c>
      <c r="E451" s="8">
        <f>-PV(C451/100,7,C450/100,1)</f>
        <v/>
      </c>
      <c r="F451" s="8">
        <f>$B$3*(B450/100/12+(D451-1))+$B$4*(C450/100/12+(E451-1))</f>
        <v/>
      </c>
      <c r="G451" s="8">
        <f>G450*(1+F451)</f>
        <v/>
      </c>
    </row>
    <row r="452">
      <c r="A452" s="8" t="inlineStr">
        <is>
          <t>1990-05-01</t>
        </is>
      </c>
      <c r="B452" s="6" t="n">
        <v>8.74</v>
      </c>
      <c r="C452" s="6" t="n">
        <v>10.41</v>
      </c>
      <c r="D452" s="8">
        <f>-PV(B452/100,5,B451/100,1)</f>
        <v/>
      </c>
      <c r="E452" s="8">
        <f>-PV(C452/100,7,C451/100,1)</f>
        <v/>
      </c>
      <c r="F452" s="8">
        <f>$B$3*(B451/100/12+(D452-1))+$B$4*(C451/100/12+(E452-1))</f>
        <v/>
      </c>
      <c r="G452" s="8">
        <f>G451*(1+F452)</f>
        <v/>
      </c>
    </row>
    <row r="453">
      <c r="A453" s="8" t="inlineStr">
        <is>
          <t>1990-06-01</t>
        </is>
      </c>
      <c r="B453" s="6" t="n">
        <v>8.43</v>
      </c>
      <c r="C453" s="6" t="n">
        <v>10.22</v>
      </c>
      <c r="D453" s="8">
        <f>-PV(B453/100,5,B452/100,1)</f>
        <v/>
      </c>
      <c r="E453" s="8">
        <f>-PV(C453/100,7,C452/100,1)</f>
        <v/>
      </c>
      <c r="F453" s="8">
        <f>$B$3*(B452/100/12+(D453-1))+$B$4*(C452/100/12+(E453-1))</f>
        <v/>
      </c>
      <c r="G453" s="8">
        <f>G452*(1+F453)</f>
        <v/>
      </c>
    </row>
    <row r="454">
      <c r="A454" s="8" t="inlineStr">
        <is>
          <t>1990-07-01</t>
        </is>
      </c>
      <c r="B454" s="6" t="n">
        <v>8.33</v>
      </c>
      <c r="C454" s="6" t="n">
        <v>10.2</v>
      </c>
      <c r="D454" s="8">
        <f>-PV(B454/100,5,B453/100,1)</f>
        <v/>
      </c>
      <c r="E454" s="8">
        <f>-PV(C454/100,7,C453/100,1)</f>
        <v/>
      </c>
      <c r="F454" s="8">
        <f>$B$3*(B453/100/12+(D454-1))+$B$4*(C453/100/12+(E454-1))</f>
        <v/>
      </c>
      <c r="G454" s="8">
        <f>G453*(1+F454)</f>
        <v/>
      </c>
    </row>
    <row r="455">
      <c r="A455" s="8" t="inlineStr">
        <is>
          <t>1990-08-01</t>
        </is>
      </c>
      <c r="B455" s="6" t="n">
        <v>8.44</v>
      </c>
      <c r="C455" s="6" t="n">
        <v>10.41</v>
      </c>
      <c r="D455" s="8">
        <f>-PV(B455/100,5,B454/100,1)</f>
        <v/>
      </c>
      <c r="E455" s="8">
        <f>-PV(C455/100,7,C454/100,1)</f>
        <v/>
      </c>
      <c r="F455" s="8">
        <f>$B$3*(B454/100/12+(D455-1))+$B$4*(C454/100/12+(E455-1))</f>
        <v/>
      </c>
      <c r="G455" s="8">
        <f>G454*(1+F455)</f>
        <v/>
      </c>
    </row>
    <row r="456">
      <c r="A456" s="8" t="inlineStr">
        <is>
          <t>1990-09-01</t>
        </is>
      </c>
      <c r="B456" s="6" t="n">
        <v>8.51</v>
      </c>
      <c r="C456" s="6" t="n">
        <v>10.64</v>
      </c>
      <c r="D456" s="8">
        <f>-PV(B456/100,5,B455/100,1)</f>
        <v/>
      </c>
      <c r="E456" s="8">
        <f>-PV(C456/100,7,C455/100,1)</f>
        <v/>
      </c>
      <c r="F456" s="8">
        <f>$B$3*(B455/100/12+(D456-1))+$B$4*(C455/100/12+(E456-1))</f>
        <v/>
      </c>
      <c r="G456" s="8">
        <f>G455*(1+F456)</f>
        <v/>
      </c>
    </row>
    <row r="457">
      <c r="A457" s="8" t="inlineStr">
        <is>
          <t>1990-10-01</t>
        </is>
      </c>
      <c r="B457" s="6" t="n">
        <v>8.33</v>
      </c>
      <c r="C457" s="6" t="n">
        <v>10.74</v>
      </c>
      <c r="D457" s="8">
        <f>-PV(B457/100,5,B456/100,1)</f>
        <v/>
      </c>
      <c r="E457" s="8">
        <f>-PV(C457/100,7,C456/100,1)</f>
        <v/>
      </c>
      <c r="F457" s="8">
        <f>$B$3*(B456/100/12+(D457-1))+$B$4*(C456/100/12+(E457-1))</f>
        <v/>
      </c>
      <c r="G457" s="8">
        <f>G456*(1+F457)</f>
        <v/>
      </c>
    </row>
    <row r="458">
      <c r="A458" s="8" t="inlineStr">
        <is>
          <t>1990-11-01</t>
        </is>
      </c>
      <c r="B458" s="6" t="n">
        <v>8.02</v>
      </c>
      <c r="C458" s="6" t="n">
        <v>10.62</v>
      </c>
      <c r="D458" s="8">
        <f>-PV(B458/100,5,B457/100,1)</f>
        <v/>
      </c>
      <c r="E458" s="8">
        <f>-PV(C458/100,7,C457/100,1)</f>
        <v/>
      </c>
      <c r="F458" s="8">
        <f>$B$3*(B457/100/12+(D458-1))+$B$4*(C457/100/12+(E458-1))</f>
        <v/>
      </c>
      <c r="G458" s="8">
        <f>G457*(1+F458)</f>
        <v/>
      </c>
    </row>
    <row r="459">
      <c r="A459" s="8" t="inlineStr">
        <is>
          <t>1990-12-01</t>
        </is>
      </c>
      <c r="B459" s="6" t="n">
        <v>7.73</v>
      </c>
      <c r="C459" s="6" t="n">
        <v>10.43</v>
      </c>
      <c r="D459" s="8">
        <f>-PV(B459/100,5,B458/100,1)</f>
        <v/>
      </c>
      <c r="E459" s="8">
        <f>-PV(C459/100,7,C458/100,1)</f>
        <v/>
      </c>
      <c r="F459" s="8">
        <f>$B$3*(B458/100/12+(D459-1))+$B$4*(C458/100/12+(E459-1))</f>
        <v/>
      </c>
      <c r="G459" s="8">
        <f>G458*(1+F459)</f>
        <v/>
      </c>
    </row>
    <row r="460">
      <c r="A460" s="8" t="inlineStr">
        <is>
          <t>1991-01-01</t>
        </is>
      </c>
      <c r="B460" s="6" t="n">
        <v>7.7</v>
      </c>
      <c r="C460" s="6" t="n">
        <v>10.45</v>
      </c>
      <c r="D460" s="8">
        <f>-PV(B460/100,5,B459/100,1)</f>
        <v/>
      </c>
      <c r="E460" s="8">
        <f>-PV(C460/100,7,C459/100,1)</f>
        <v/>
      </c>
      <c r="F460" s="8">
        <f>$B$3*(B459/100/12+(D460-1))+$B$4*(C459/100/12+(E460-1))</f>
        <v/>
      </c>
      <c r="G460" s="8">
        <f>G459*(1+F460)</f>
        <v/>
      </c>
    </row>
    <row r="461">
      <c r="A461" s="8" t="inlineStr">
        <is>
          <t>1991-02-01</t>
        </is>
      </c>
      <c r="B461" s="6" t="n">
        <v>7.47</v>
      </c>
      <c r="C461" s="6" t="n">
        <v>10.07</v>
      </c>
      <c r="D461" s="8">
        <f>-PV(B461/100,5,B460/100,1)</f>
        <v/>
      </c>
      <c r="E461" s="8">
        <f>-PV(C461/100,7,C460/100,1)</f>
        <v/>
      </c>
      <c r="F461" s="8">
        <f>$B$3*(B460/100/12+(D461-1))+$B$4*(C460/100/12+(E461-1))</f>
        <v/>
      </c>
      <c r="G461" s="8">
        <f>G460*(1+F461)</f>
        <v/>
      </c>
    </row>
    <row r="462">
      <c r="A462" s="8" t="inlineStr">
        <is>
          <t>1991-03-01</t>
        </is>
      </c>
      <c r="B462" s="6" t="n">
        <v>7.77</v>
      </c>
      <c r="C462" s="6" t="n">
        <v>10.09</v>
      </c>
      <c r="D462" s="8">
        <f>-PV(B462/100,5,B461/100,1)</f>
        <v/>
      </c>
      <c r="E462" s="8">
        <f>-PV(C462/100,7,C461/100,1)</f>
        <v/>
      </c>
      <c r="F462" s="8">
        <f>$B$3*(B461/100/12+(D462-1))+$B$4*(C461/100/12+(E462-1))</f>
        <v/>
      </c>
      <c r="G462" s="8">
        <f>G461*(1+F462)</f>
        <v/>
      </c>
    </row>
    <row r="463">
      <c r="A463" s="8" t="inlineStr">
        <is>
          <t>1991-04-01</t>
        </is>
      </c>
      <c r="B463" s="6" t="n">
        <v>7.7</v>
      </c>
      <c r="C463" s="6" t="n">
        <v>9.94</v>
      </c>
      <c r="D463" s="8">
        <f>-PV(B463/100,5,B462/100,1)</f>
        <v/>
      </c>
      <c r="E463" s="8">
        <f>-PV(C463/100,7,C462/100,1)</f>
        <v/>
      </c>
      <c r="F463" s="8">
        <f>$B$3*(B462/100/12+(D463-1))+$B$4*(C462/100/12+(E463-1))</f>
        <v/>
      </c>
      <c r="G463" s="8">
        <f>G462*(1+F463)</f>
        <v/>
      </c>
    </row>
    <row r="464">
      <c r="A464" s="8" t="inlineStr">
        <is>
          <t>1991-05-01</t>
        </is>
      </c>
      <c r="B464" s="6" t="n">
        <v>7.7</v>
      </c>
      <c r="C464" s="6" t="n">
        <v>9.859999999999999</v>
      </c>
      <c r="D464" s="8">
        <f>-PV(B464/100,5,B463/100,1)</f>
        <v/>
      </c>
      <c r="E464" s="8">
        <f>-PV(C464/100,7,C463/100,1)</f>
        <v/>
      </c>
      <c r="F464" s="8">
        <f>$B$3*(B463/100/12+(D464-1))+$B$4*(C463/100/12+(E464-1))</f>
        <v/>
      </c>
      <c r="G464" s="8">
        <f>G463*(1+F464)</f>
        <v/>
      </c>
    </row>
    <row r="465">
      <c r="A465" s="8" t="inlineStr">
        <is>
          <t>1991-06-01</t>
        </is>
      </c>
      <c r="B465" s="6" t="n">
        <v>7.94</v>
      </c>
      <c r="C465" s="6" t="n">
        <v>9.960000000000001</v>
      </c>
      <c r="D465" s="8">
        <f>-PV(B465/100,5,B464/100,1)</f>
        <v/>
      </c>
      <c r="E465" s="8">
        <f>-PV(C465/100,7,C464/100,1)</f>
        <v/>
      </c>
      <c r="F465" s="8">
        <f>$B$3*(B464/100/12+(D465-1))+$B$4*(C464/100/12+(E465-1))</f>
        <v/>
      </c>
      <c r="G465" s="8">
        <f>G464*(1+F465)</f>
        <v/>
      </c>
    </row>
    <row r="466">
      <c r="A466" s="8" t="inlineStr">
        <is>
          <t>1991-07-01</t>
        </is>
      </c>
      <c r="B466" s="6" t="n">
        <v>7.91</v>
      </c>
      <c r="C466" s="6" t="n">
        <v>9.890000000000001</v>
      </c>
      <c r="D466" s="8">
        <f>-PV(B466/100,5,B465/100,1)</f>
        <v/>
      </c>
      <c r="E466" s="8">
        <f>-PV(C466/100,7,C465/100,1)</f>
        <v/>
      </c>
      <c r="F466" s="8">
        <f>$B$3*(B465/100/12+(D466-1))+$B$4*(C465/100/12+(E466-1))</f>
        <v/>
      </c>
      <c r="G466" s="8">
        <f>G465*(1+F466)</f>
        <v/>
      </c>
    </row>
    <row r="467">
      <c r="A467" s="8" t="inlineStr">
        <is>
          <t>1991-08-01</t>
        </is>
      </c>
      <c r="B467" s="6" t="n">
        <v>7.43</v>
      </c>
      <c r="C467" s="6" t="n">
        <v>9.65</v>
      </c>
      <c r="D467" s="8">
        <f>-PV(B467/100,5,B466/100,1)</f>
        <v/>
      </c>
      <c r="E467" s="8">
        <f>-PV(C467/100,7,C466/100,1)</f>
        <v/>
      </c>
      <c r="F467" s="8">
        <f>$B$3*(B466/100/12+(D467-1))+$B$4*(C466/100/12+(E467-1))</f>
        <v/>
      </c>
      <c r="G467" s="8">
        <f>G466*(1+F467)</f>
        <v/>
      </c>
    </row>
    <row r="468">
      <c r="A468" s="8" t="inlineStr">
        <is>
          <t>1991-09-01</t>
        </is>
      </c>
      <c r="B468" s="6" t="n">
        <v>7.14</v>
      </c>
      <c r="C468" s="6" t="n">
        <v>9.51</v>
      </c>
      <c r="D468" s="8">
        <f>-PV(B468/100,5,B467/100,1)</f>
        <v/>
      </c>
      <c r="E468" s="8">
        <f>-PV(C468/100,7,C467/100,1)</f>
        <v/>
      </c>
      <c r="F468" s="8">
        <f>$B$3*(B467/100/12+(D468-1))+$B$4*(C467/100/12+(E468-1))</f>
        <v/>
      </c>
      <c r="G468" s="8">
        <f>G467*(1+F468)</f>
        <v/>
      </c>
    </row>
    <row r="469">
      <c r="A469" s="8" t="inlineStr">
        <is>
          <t>1991-10-01</t>
        </is>
      </c>
      <c r="B469" s="6" t="n">
        <v>6.87</v>
      </c>
      <c r="C469" s="6" t="n">
        <v>9.49</v>
      </c>
      <c r="D469" s="8">
        <f>-PV(B469/100,5,B468/100,1)</f>
        <v/>
      </c>
      <c r="E469" s="8">
        <f>-PV(C469/100,7,C468/100,1)</f>
        <v/>
      </c>
      <c r="F469" s="8">
        <f>$B$3*(B468/100/12+(D469-1))+$B$4*(C468/100/12+(E469-1))</f>
        <v/>
      </c>
      <c r="G469" s="8">
        <f>G468*(1+F469)</f>
        <v/>
      </c>
    </row>
    <row r="470">
      <c r="A470" s="8" t="inlineStr">
        <is>
          <t>1991-11-01</t>
        </is>
      </c>
      <c r="B470" s="6" t="n">
        <v>6.62</v>
      </c>
      <c r="C470" s="6" t="n">
        <v>9.449999999999999</v>
      </c>
      <c r="D470" s="8">
        <f>-PV(B470/100,5,B469/100,1)</f>
        <v/>
      </c>
      <c r="E470" s="8">
        <f>-PV(C470/100,7,C469/100,1)</f>
        <v/>
      </c>
      <c r="F470" s="8">
        <f>$B$3*(B469/100/12+(D470-1))+$B$4*(C469/100/12+(E470-1))</f>
        <v/>
      </c>
      <c r="G470" s="8">
        <f>G469*(1+F470)</f>
        <v/>
      </c>
    </row>
    <row r="471">
      <c r="A471" s="8" t="inlineStr">
        <is>
          <t>1991-12-01</t>
        </is>
      </c>
      <c r="B471" s="6" t="n">
        <v>6.19</v>
      </c>
      <c r="C471" s="6" t="n">
        <v>9.26</v>
      </c>
      <c r="D471" s="8">
        <f>-PV(B471/100,5,B470/100,1)</f>
        <v/>
      </c>
      <c r="E471" s="8">
        <f>-PV(C471/100,7,C470/100,1)</f>
        <v/>
      </c>
      <c r="F471" s="8">
        <f>$B$3*(B470/100/12+(D471-1))+$B$4*(C470/100/12+(E471-1))</f>
        <v/>
      </c>
      <c r="G471" s="8">
        <f>G470*(1+F471)</f>
        <v/>
      </c>
    </row>
    <row r="472">
      <c r="A472" s="8" t="inlineStr">
        <is>
          <t>1992-01-01</t>
        </is>
      </c>
      <c r="B472" s="6" t="n">
        <v>6.24</v>
      </c>
      <c r="C472" s="6" t="n">
        <v>9.130000000000001</v>
      </c>
      <c r="D472" s="8">
        <f>-PV(B472/100,5,B471/100,1)</f>
        <v/>
      </c>
      <c r="E472" s="8">
        <f>-PV(C472/100,7,C471/100,1)</f>
        <v/>
      </c>
      <c r="F472" s="8">
        <f>$B$3*(B471/100/12+(D472-1))+$B$4*(C471/100/12+(E472-1))</f>
        <v/>
      </c>
      <c r="G472" s="8">
        <f>G471*(1+F472)</f>
        <v/>
      </c>
    </row>
    <row r="473">
      <c r="A473" s="8" t="inlineStr">
        <is>
          <t>1992-02-01</t>
        </is>
      </c>
      <c r="B473" s="6" t="n">
        <v>6.58</v>
      </c>
      <c r="C473" s="6" t="n">
        <v>9.23</v>
      </c>
      <c r="D473" s="8">
        <f>-PV(B473/100,5,B472/100,1)</f>
        <v/>
      </c>
      <c r="E473" s="8">
        <f>-PV(C473/100,7,C472/100,1)</f>
        <v/>
      </c>
      <c r="F473" s="8">
        <f>$B$3*(B472/100/12+(D473-1))+$B$4*(C472/100/12+(E473-1))</f>
        <v/>
      </c>
      <c r="G473" s="8">
        <f>G472*(1+F473)</f>
        <v/>
      </c>
    </row>
    <row r="474">
      <c r="A474" s="8" t="inlineStr">
        <is>
          <t>1992-03-01</t>
        </is>
      </c>
      <c r="B474" s="6" t="n">
        <v>6.95</v>
      </c>
      <c r="C474" s="6" t="n">
        <v>9.25</v>
      </c>
      <c r="D474" s="8">
        <f>-PV(B474/100,5,B473/100,1)</f>
        <v/>
      </c>
      <c r="E474" s="8">
        <f>-PV(C474/100,7,C473/100,1)</f>
        <v/>
      </c>
      <c r="F474" s="8">
        <f>$B$3*(B473/100/12+(D474-1))+$B$4*(C473/100/12+(E474-1))</f>
        <v/>
      </c>
      <c r="G474" s="8">
        <f>G473*(1+F474)</f>
        <v/>
      </c>
    </row>
    <row r="475">
      <c r="A475" s="8" t="inlineStr">
        <is>
          <t>1992-04-01</t>
        </is>
      </c>
      <c r="B475" s="6" t="n">
        <v>6.78</v>
      </c>
      <c r="C475" s="6" t="n">
        <v>9.210000000000001</v>
      </c>
      <c r="D475" s="8">
        <f>-PV(B475/100,5,B474/100,1)</f>
        <v/>
      </c>
      <c r="E475" s="8">
        <f>-PV(C475/100,7,C474/100,1)</f>
        <v/>
      </c>
      <c r="F475" s="8">
        <f>$B$3*(B474/100/12+(D475-1))+$B$4*(C474/100/12+(E475-1))</f>
        <v/>
      </c>
      <c r="G475" s="8">
        <f>G474*(1+F475)</f>
        <v/>
      </c>
    </row>
    <row r="476">
      <c r="A476" s="8" t="inlineStr">
        <is>
          <t>1992-05-01</t>
        </is>
      </c>
      <c r="B476" s="6" t="n">
        <v>6.69</v>
      </c>
      <c r="C476" s="6" t="n">
        <v>9.130000000000001</v>
      </c>
      <c r="D476" s="8">
        <f>-PV(B476/100,5,B475/100,1)</f>
        <v/>
      </c>
      <c r="E476" s="8">
        <f>-PV(C476/100,7,C475/100,1)</f>
        <v/>
      </c>
      <c r="F476" s="8">
        <f>$B$3*(B475/100/12+(D476-1))+$B$4*(C475/100/12+(E476-1))</f>
        <v/>
      </c>
      <c r="G476" s="8">
        <f>G475*(1+F476)</f>
        <v/>
      </c>
    </row>
    <row r="477">
      <c r="A477" s="8" t="inlineStr">
        <is>
          <t>1992-06-01</t>
        </is>
      </c>
      <c r="B477" s="6" t="n">
        <v>6.48</v>
      </c>
      <c r="C477" s="6" t="n">
        <v>9.050000000000001</v>
      </c>
      <c r="D477" s="8">
        <f>-PV(B477/100,5,B476/100,1)</f>
        <v/>
      </c>
      <c r="E477" s="8">
        <f>-PV(C477/100,7,C476/100,1)</f>
        <v/>
      </c>
      <c r="F477" s="8">
        <f>$B$3*(B476/100/12+(D477-1))+$B$4*(C476/100/12+(E477-1))</f>
        <v/>
      </c>
      <c r="G477" s="8">
        <f>G476*(1+F477)</f>
        <v/>
      </c>
    </row>
    <row r="478">
      <c r="A478" s="8" t="inlineStr">
        <is>
          <t>1992-07-01</t>
        </is>
      </c>
      <c r="B478" s="6" t="n">
        <v>5.84</v>
      </c>
      <c r="C478" s="6" t="n">
        <v>8.84</v>
      </c>
      <c r="D478" s="8">
        <f>-PV(B478/100,5,B477/100,1)</f>
        <v/>
      </c>
      <c r="E478" s="8">
        <f>-PV(C478/100,7,C477/100,1)</f>
        <v/>
      </c>
      <c r="F478" s="8">
        <f>$B$3*(B477/100/12+(D478-1))+$B$4*(C477/100/12+(E478-1))</f>
        <v/>
      </c>
      <c r="G478" s="8">
        <f>G477*(1+F478)</f>
        <v/>
      </c>
    </row>
    <row r="479">
      <c r="A479" s="8" t="inlineStr">
        <is>
          <t>1992-08-01</t>
        </is>
      </c>
      <c r="B479" s="6" t="n">
        <v>5.6</v>
      </c>
      <c r="C479" s="6" t="n">
        <v>8.65</v>
      </c>
      <c r="D479" s="8">
        <f>-PV(B479/100,5,B478/100,1)</f>
        <v/>
      </c>
      <c r="E479" s="8">
        <f>-PV(C479/100,7,C478/100,1)</f>
        <v/>
      </c>
      <c r="F479" s="8">
        <f>$B$3*(B478/100/12+(D479-1))+$B$4*(C478/100/12+(E479-1))</f>
        <v/>
      </c>
      <c r="G479" s="8">
        <f>G478*(1+F479)</f>
        <v/>
      </c>
    </row>
    <row r="480">
      <c r="A480" s="8" t="inlineStr">
        <is>
          <t>1992-09-01</t>
        </is>
      </c>
      <c r="B480" s="6" t="n">
        <v>5.38</v>
      </c>
      <c r="C480" s="6" t="n">
        <v>8.619999999999999</v>
      </c>
      <c r="D480" s="8">
        <f>-PV(B480/100,5,B479/100,1)</f>
        <v/>
      </c>
      <c r="E480" s="8">
        <f>-PV(C480/100,7,C479/100,1)</f>
        <v/>
      </c>
      <c r="F480" s="8">
        <f>$B$3*(B479/100/12+(D480-1))+$B$4*(C479/100/12+(E480-1))</f>
        <v/>
      </c>
      <c r="G480" s="8">
        <f>G479*(1+F480)</f>
        <v/>
      </c>
    </row>
    <row r="481">
      <c r="A481" s="8" t="inlineStr">
        <is>
          <t>1992-10-01</t>
        </is>
      </c>
      <c r="B481" s="6" t="n">
        <v>5.6</v>
      </c>
      <c r="C481" s="6" t="n">
        <v>8.84</v>
      </c>
      <c r="D481" s="8">
        <f>-PV(B481/100,5,B480/100,1)</f>
        <v/>
      </c>
      <c r="E481" s="8">
        <f>-PV(C481/100,7,C480/100,1)</f>
        <v/>
      </c>
      <c r="F481" s="8">
        <f>$B$3*(B480/100/12+(D481-1))+$B$4*(C480/100/12+(E481-1))</f>
        <v/>
      </c>
      <c r="G481" s="8">
        <f>G480*(1+F481)</f>
        <v/>
      </c>
    </row>
    <row r="482">
      <c r="A482" s="8" t="inlineStr">
        <is>
          <t>1992-11-01</t>
        </is>
      </c>
      <c r="B482" s="6" t="n">
        <v>6.04</v>
      </c>
      <c r="C482" s="6" t="n">
        <v>8.960000000000001</v>
      </c>
      <c r="D482" s="8">
        <f>-PV(B482/100,5,B481/100,1)</f>
        <v/>
      </c>
      <c r="E482" s="8">
        <f>-PV(C482/100,7,C481/100,1)</f>
        <v/>
      </c>
      <c r="F482" s="8">
        <f>$B$3*(B481/100/12+(D482-1))+$B$4*(C481/100/12+(E482-1))</f>
        <v/>
      </c>
      <c r="G482" s="8">
        <f>G481*(1+F482)</f>
        <v/>
      </c>
    </row>
    <row r="483">
      <c r="A483" s="8" t="inlineStr">
        <is>
          <t>1992-12-01</t>
        </is>
      </c>
      <c r="B483" s="6" t="n">
        <v>6.08</v>
      </c>
      <c r="C483" s="6" t="n">
        <v>8.81</v>
      </c>
      <c r="D483" s="8">
        <f>-PV(B483/100,5,B482/100,1)</f>
        <v/>
      </c>
      <c r="E483" s="8">
        <f>-PV(C483/100,7,C482/100,1)</f>
        <v/>
      </c>
      <c r="F483" s="8">
        <f>$B$3*(B482/100/12+(D483-1))+$B$4*(C482/100/12+(E483-1))</f>
        <v/>
      </c>
      <c r="G483" s="8">
        <f>G482*(1+F483)</f>
        <v/>
      </c>
    </row>
    <row r="484">
      <c r="A484" s="8" t="inlineStr">
        <is>
          <t>1993-01-01</t>
        </is>
      </c>
      <c r="B484" s="6" t="n">
        <v>5.83</v>
      </c>
      <c r="C484" s="6" t="n">
        <v>8.67</v>
      </c>
      <c r="D484" s="8">
        <f>-PV(B484/100,5,B483/100,1)</f>
        <v/>
      </c>
      <c r="E484" s="8">
        <f>-PV(C484/100,7,C483/100,1)</f>
        <v/>
      </c>
      <c r="F484" s="8">
        <f>$B$3*(B483/100/12+(D484-1))+$B$4*(C483/100/12+(E484-1))</f>
        <v/>
      </c>
      <c r="G484" s="8">
        <f>G483*(1+F484)</f>
        <v/>
      </c>
    </row>
    <row r="485">
      <c r="A485" s="8" t="inlineStr">
        <is>
          <t>1993-02-01</t>
        </is>
      </c>
      <c r="B485" s="6" t="n">
        <v>5.43</v>
      </c>
      <c r="C485" s="6" t="n">
        <v>8.390000000000001</v>
      </c>
      <c r="D485" s="8">
        <f>-PV(B485/100,5,B484/100,1)</f>
        <v/>
      </c>
      <c r="E485" s="8">
        <f>-PV(C485/100,7,C484/100,1)</f>
        <v/>
      </c>
      <c r="F485" s="8">
        <f>$B$3*(B484/100/12+(D485-1))+$B$4*(C484/100/12+(E485-1))</f>
        <v/>
      </c>
      <c r="G485" s="8">
        <f>G484*(1+F485)</f>
        <v/>
      </c>
    </row>
    <row r="486">
      <c r="A486" s="8" t="inlineStr">
        <is>
          <t>1993-03-01</t>
        </is>
      </c>
      <c r="B486" s="6" t="n">
        <v>5.19</v>
      </c>
      <c r="C486" s="6" t="n">
        <v>8.15</v>
      </c>
      <c r="D486" s="8">
        <f>-PV(B486/100,5,B485/100,1)</f>
        <v/>
      </c>
      <c r="E486" s="8">
        <f>-PV(C486/100,7,C485/100,1)</f>
        <v/>
      </c>
      <c r="F486" s="8">
        <f>$B$3*(B485/100/12+(D486-1))+$B$4*(C485/100/12+(E486-1))</f>
        <v/>
      </c>
      <c r="G486" s="8">
        <f>G485*(1+F486)</f>
        <v/>
      </c>
    </row>
    <row r="487">
      <c r="A487" s="8" t="inlineStr">
        <is>
          <t>1993-04-01</t>
        </is>
      </c>
      <c r="B487" s="6" t="n">
        <v>5.13</v>
      </c>
      <c r="C487" s="6" t="n">
        <v>8.140000000000001</v>
      </c>
      <c r="D487" s="8">
        <f>-PV(B487/100,5,B486/100,1)</f>
        <v/>
      </c>
      <c r="E487" s="8">
        <f>-PV(C487/100,7,C486/100,1)</f>
        <v/>
      </c>
      <c r="F487" s="8">
        <f>$B$3*(B486/100/12+(D487-1))+$B$4*(C486/100/12+(E487-1))</f>
        <v/>
      </c>
      <c r="G487" s="8">
        <f>G486*(1+F487)</f>
        <v/>
      </c>
    </row>
    <row r="488">
      <c r="A488" s="8" t="inlineStr">
        <is>
          <t>1993-05-01</t>
        </is>
      </c>
      <c r="B488" s="6" t="n">
        <v>5.2</v>
      </c>
      <c r="C488" s="6" t="n">
        <v>8.210000000000001</v>
      </c>
      <c r="D488" s="8">
        <f>-PV(B488/100,5,B487/100,1)</f>
        <v/>
      </c>
      <c r="E488" s="8">
        <f>-PV(C488/100,7,C487/100,1)</f>
        <v/>
      </c>
      <c r="F488" s="8">
        <f>$B$3*(B487/100/12+(D488-1))+$B$4*(C487/100/12+(E488-1))</f>
        <v/>
      </c>
      <c r="G488" s="8">
        <f>G487*(1+F488)</f>
        <v/>
      </c>
    </row>
    <row r="489">
      <c r="A489" s="8" t="inlineStr">
        <is>
          <t>1993-06-01</t>
        </is>
      </c>
      <c r="B489" s="6" t="n">
        <v>5.22</v>
      </c>
      <c r="C489" s="6" t="n">
        <v>8.07</v>
      </c>
      <c r="D489" s="8">
        <f>-PV(B489/100,5,B488/100,1)</f>
        <v/>
      </c>
      <c r="E489" s="8">
        <f>-PV(C489/100,7,C488/100,1)</f>
        <v/>
      </c>
      <c r="F489" s="8">
        <f>$B$3*(B488/100/12+(D489-1))+$B$4*(C488/100/12+(E489-1))</f>
        <v/>
      </c>
      <c r="G489" s="8">
        <f>G488*(1+F489)</f>
        <v/>
      </c>
    </row>
    <row r="490">
      <c r="A490" s="8" t="inlineStr">
        <is>
          <t>1993-07-01</t>
        </is>
      </c>
      <c r="B490" s="6" t="n">
        <v>5.09</v>
      </c>
      <c r="C490" s="6" t="n">
        <v>7.93</v>
      </c>
      <c r="D490" s="8">
        <f>-PV(B490/100,5,B489/100,1)</f>
        <v/>
      </c>
      <c r="E490" s="8">
        <f>-PV(C490/100,7,C489/100,1)</f>
        <v/>
      </c>
      <c r="F490" s="8">
        <f>$B$3*(B489/100/12+(D490-1))+$B$4*(C489/100/12+(E490-1))</f>
        <v/>
      </c>
      <c r="G490" s="8">
        <f>G489*(1+F490)</f>
        <v/>
      </c>
    </row>
    <row r="491">
      <c r="A491" s="8" t="inlineStr">
        <is>
          <t>1993-08-01</t>
        </is>
      </c>
      <c r="B491" s="6" t="n">
        <v>5.03</v>
      </c>
      <c r="C491" s="6" t="n">
        <v>7.6</v>
      </c>
      <c r="D491" s="8">
        <f>-PV(B491/100,5,B490/100,1)</f>
        <v/>
      </c>
      <c r="E491" s="8">
        <f>-PV(C491/100,7,C490/100,1)</f>
        <v/>
      </c>
      <c r="F491" s="8">
        <f>$B$3*(B490/100/12+(D491-1))+$B$4*(C490/100/12+(E491-1))</f>
        <v/>
      </c>
      <c r="G491" s="8">
        <f>G490*(1+F491)</f>
        <v/>
      </c>
    </row>
    <row r="492">
      <c r="A492" s="8" t="inlineStr">
        <is>
          <t>1993-09-01</t>
        </is>
      </c>
      <c r="B492" s="6" t="n">
        <v>4.73</v>
      </c>
      <c r="C492" s="6" t="n">
        <v>7.34</v>
      </c>
      <c r="D492" s="8">
        <f>-PV(B492/100,5,B491/100,1)</f>
        <v/>
      </c>
      <c r="E492" s="8">
        <f>-PV(C492/100,7,C491/100,1)</f>
        <v/>
      </c>
      <c r="F492" s="8">
        <f>$B$3*(B491/100/12+(D492-1))+$B$4*(C491/100/12+(E492-1))</f>
        <v/>
      </c>
      <c r="G492" s="8">
        <f>G491*(1+F492)</f>
        <v/>
      </c>
    </row>
    <row r="493">
      <c r="A493" s="8" t="inlineStr">
        <is>
          <t>1993-10-01</t>
        </is>
      </c>
      <c r="B493" s="6" t="n">
        <v>4.71</v>
      </c>
      <c r="C493" s="6" t="n">
        <v>7.31</v>
      </c>
      <c r="D493" s="8">
        <f>-PV(B493/100,5,B492/100,1)</f>
        <v/>
      </c>
      <c r="E493" s="8">
        <f>-PV(C493/100,7,C492/100,1)</f>
        <v/>
      </c>
      <c r="F493" s="8">
        <f>$B$3*(B492/100/12+(D493-1))+$B$4*(C492/100/12+(E493-1))</f>
        <v/>
      </c>
      <c r="G493" s="8">
        <f>G492*(1+F493)</f>
        <v/>
      </c>
    </row>
    <row r="494">
      <c r="A494" s="8" t="inlineStr">
        <is>
          <t>1993-11-01</t>
        </is>
      </c>
      <c r="B494" s="6" t="n">
        <v>5.06</v>
      </c>
      <c r="C494" s="6" t="n">
        <v>7.66</v>
      </c>
      <c r="D494" s="8">
        <f>-PV(B494/100,5,B493/100,1)</f>
        <v/>
      </c>
      <c r="E494" s="8">
        <f>-PV(C494/100,7,C493/100,1)</f>
        <v/>
      </c>
      <c r="F494" s="8">
        <f>$B$3*(B493/100/12+(D494-1))+$B$4*(C493/100/12+(E494-1))</f>
        <v/>
      </c>
      <c r="G494" s="8">
        <f>G493*(1+F494)</f>
        <v/>
      </c>
    </row>
    <row r="495">
      <c r="A495" s="8" t="inlineStr">
        <is>
          <t>1993-12-01</t>
        </is>
      </c>
      <c r="B495" s="6" t="n">
        <v>5.15</v>
      </c>
      <c r="C495" s="6" t="n">
        <v>7.69</v>
      </c>
      <c r="D495" s="8">
        <f>-PV(B495/100,5,B494/100,1)</f>
        <v/>
      </c>
      <c r="E495" s="8">
        <f>-PV(C495/100,7,C494/100,1)</f>
        <v/>
      </c>
      <c r="F495" s="8">
        <f>$B$3*(B494/100/12+(D495-1))+$B$4*(C494/100/12+(E495-1))</f>
        <v/>
      </c>
      <c r="G495" s="8">
        <f>G494*(1+F495)</f>
        <v/>
      </c>
    </row>
    <row r="496">
      <c r="A496" s="8" t="inlineStr">
        <is>
          <t>1994-01-01</t>
        </is>
      </c>
      <c r="B496" s="6" t="n">
        <v>5.09</v>
      </c>
      <c r="C496" s="6" t="n">
        <v>7.65</v>
      </c>
      <c r="D496" s="8">
        <f>-PV(B496/100,5,B495/100,1)</f>
        <v/>
      </c>
      <c r="E496" s="8">
        <f>-PV(C496/100,7,C495/100,1)</f>
        <v/>
      </c>
      <c r="F496" s="8">
        <f>$B$3*(B495/100/12+(D496-1))+$B$4*(C495/100/12+(E496-1))</f>
        <v/>
      </c>
      <c r="G496" s="8">
        <f>G495*(1+F496)</f>
        <v/>
      </c>
    </row>
    <row r="497">
      <c r="A497" s="8" t="inlineStr">
        <is>
          <t>1994-02-01</t>
        </is>
      </c>
      <c r="B497" s="6" t="n">
        <v>5.4</v>
      </c>
      <c r="C497" s="6" t="n">
        <v>7.76</v>
      </c>
      <c r="D497" s="8">
        <f>-PV(B497/100,5,B496/100,1)</f>
        <v/>
      </c>
      <c r="E497" s="8">
        <f>-PV(C497/100,7,C496/100,1)</f>
        <v/>
      </c>
      <c r="F497" s="8">
        <f>$B$3*(B496/100/12+(D497-1))+$B$4*(C496/100/12+(E497-1))</f>
        <v/>
      </c>
      <c r="G497" s="8">
        <f>G496*(1+F497)</f>
        <v/>
      </c>
    </row>
    <row r="498">
      <c r="A498" s="8" t="inlineStr">
        <is>
          <t>1994-03-01</t>
        </is>
      </c>
      <c r="B498" s="6" t="n">
        <v>5.94</v>
      </c>
      <c r="C498" s="6" t="n">
        <v>8.130000000000001</v>
      </c>
      <c r="D498" s="8">
        <f>-PV(B498/100,5,B497/100,1)</f>
        <v/>
      </c>
      <c r="E498" s="8">
        <f>-PV(C498/100,7,C497/100,1)</f>
        <v/>
      </c>
      <c r="F498" s="8">
        <f>$B$3*(B497/100/12+(D498-1))+$B$4*(C497/100/12+(E498-1))</f>
        <v/>
      </c>
      <c r="G498" s="8">
        <f>G497*(1+F498)</f>
        <v/>
      </c>
    </row>
    <row r="499">
      <c r="A499" s="8" t="inlineStr">
        <is>
          <t>1994-04-01</t>
        </is>
      </c>
      <c r="B499" s="6" t="n">
        <v>6.52</v>
      </c>
      <c r="C499" s="6" t="n">
        <v>8.52</v>
      </c>
      <c r="D499" s="8">
        <f>-PV(B499/100,5,B498/100,1)</f>
        <v/>
      </c>
      <c r="E499" s="8">
        <f>-PV(C499/100,7,C498/100,1)</f>
        <v/>
      </c>
      <c r="F499" s="8">
        <f>$B$3*(B498/100/12+(D499-1))+$B$4*(C498/100/12+(E499-1))</f>
        <v/>
      </c>
      <c r="G499" s="8">
        <f>G498*(1+F499)</f>
        <v/>
      </c>
    </row>
    <row r="500">
      <c r="A500" s="8" t="inlineStr">
        <is>
          <t>1994-05-01</t>
        </is>
      </c>
      <c r="B500" s="6" t="n">
        <v>6.78</v>
      </c>
      <c r="C500" s="6" t="n">
        <v>8.619999999999999</v>
      </c>
      <c r="D500" s="8">
        <f>-PV(B500/100,5,B499/100,1)</f>
        <v/>
      </c>
      <c r="E500" s="8">
        <f>-PV(C500/100,7,C499/100,1)</f>
        <v/>
      </c>
      <c r="F500" s="8">
        <f>$B$3*(B499/100/12+(D500-1))+$B$4*(C499/100/12+(E500-1))</f>
        <v/>
      </c>
      <c r="G500" s="8">
        <f>G499*(1+F500)</f>
        <v/>
      </c>
    </row>
    <row r="501">
      <c r="A501" s="8" t="inlineStr">
        <is>
          <t>1994-06-01</t>
        </is>
      </c>
      <c r="B501" s="6" t="n">
        <v>6.7</v>
      </c>
      <c r="C501" s="6" t="n">
        <v>8.65</v>
      </c>
      <c r="D501" s="8">
        <f>-PV(B501/100,5,B500/100,1)</f>
        <v/>
      </c>
      <c r="E501" s="8">
        <f>-PV(C501/100,7,C500/100,1)</f>
        <v/>
      </c>
      <c r="F501" s="8">
        <f>$B$3*(B500/100/12+(D501-1))+$B$4*(C500/100/12+(E501-1))</f>
        <v/>
      </c>
      <c r="G501" s="8">
        <f>G500*(1+F501)</f>
        <v/>
      </c>
    </row>
    <row r="502">
      <c r="A502" s="8" t="inlineStr">
        <is>
          <t>1994-07-01</t>
        </is>
      </c>
      <c r="B502" s="6" t="n">
        <v>6.91</v>
      </c>
      <c r="C502" s="6" t="n">
        <v>8.800000000000001</v>
      </c>
      <c r="D502" s="8">
        <f>-PV(B502/100,5,B501/100,1)</f>
        <v/>
      </c>
      <c r="E502" s="8">
        <f>-PV(C502/100,7,C501/100,1)</f>
        <v/>
      </c>
      <c r="F502" s="8">
        <f>$B$3*(B501/100/12+(D502-1))+$B$4*(C501/100/12+(E502-1))</f>
        <v/>
      </c>
      <c r="G502" s="8">
        <f>G501*(1+F502)</f>
        <v/>
      </c>
    </row>
    <row r="503">
      <c r="A503" s="8" t="inlineStr">
        <is>
          <t>1994-08-01</t>
        </is>
      </c>
      <c r="B503" s="6" t="n">
        <v>6.88</v>
      </c>
      <c r="C503" s="6" t="n">
        <v>8.74</v>
      </c>
      <c r="D503" s="8">
        <f>-PV(B503/100,5,B502/100,1)</f>
        <v/>
      </c>
      <c r="E503" s="8">
        <f>-PV(C503/100,7,C502/100,1)</f>
        <v/>
      </c>
      <c r="F503" s="8">
        <f>$B$3*(B502/100/12+(D503-1))+$B$4*(C502/100/12+(E503-1))</f>
        <v/>
      </c>
      <c r="G503" s="8">
        <f>G502*(1+F503)</f>
        <v/>
      </c>
    </row>
    <row r="504">
      <c r="A504" s="8" t="inlineStr">
        <is>
          <t>1994-09-01</t>
        </is>
      </c>
      <c r="B504" s="6" t="n">
        <v>7.08</v>
      </c>
      <c r="C504" s="6" t="n">
        <v>8.98</v>
      </c>
      <c r="D504" s="8">
        <f>-PV(B504/100,5,B503/100,1)</f>
        <v/>
      </c>
      <c r="E504" s="8">
        <f>-PV(C504/100,7,C503/100,1)</f>
        <v/>
      </c>
      <c r="F504" s="8">
        <f>$B$3*(B503/100/12+(D504-1))+$B$4*(C503/100/12+(E504-1))</f>
        <v/>
      </c>
      <c r="G504" s="8">
        <f>G503*(1+F504)</f>
        <v/>
      </c>
    </row>
    <row r="505">
      <c r="A505" s="8" t="inlineStr">
        <is>
          <t>1994-10-01</t>
        </is>
      </c>
      <c r="B505" s="6" t="n">
        <v>7.4</v>
      </c>
      <c r="C505" s="6" t="n">
        <v>9.199999999999999</v>
      </c>
      <c r="D505" s="8">
        <f>-PV(B505/100,5,B504/100,1)</f>
        <v/>
      </c>
      <c r="E505" s="8">
        <f>-PV(C505/100,7,C504/100,1)</f>
        <v/>
      </c>
      <c r="F505" s="8">
        <f>$B$3*(B504/100/12+(D505-1))+$B$4*(C504/100/12+(E505-1))</f>
        <v/>
      </c>
      <c r="G505" s="8">
        <f>G504*(1+F505)</f>
        <v/>
      </c>
    </row>
    <row r="506">
      <c r="A506" s="8" t="inlineStr">
        <is>
          <t>1994-11-01</t>
        </is>
      </c>
      <c r="B506" s="6" t="n">
        <v>7.72</v>
      </c>
      <c r="C506" s="6" t="n">
        <v>9.32</v>
      </c>
      <c r="D506" s="8">
        <f>-PV(B506/100,5,B505/100,1)</f>
        <v/>
      </c>
      <c r="E506" s="8">
        <f>-PV(C506/100,7,C505/100,1)</f>
        <v/>
      </c>
      <c r="F506" s="8">
        <f>$B$3*(B505/100/12+(D506-1))+$B$4*(C505/100/12+(E506-1))</f>
        <v/>
      </c>
      <c r="G506" s="8">
        <f>G505*(1+F506)</f>
        <v/>
      </c>
    </row>
    <row r="507">
      <c r="A507" s="8" t="inlineStr">
        <is>
          <t>1994-12-01</t>
        </is>
      </c>
      <c r="B507" s="6" t="n">
        <v>7.78</v>
      </c>
      <c r="C507" s="6" t="n">
        <v>9.1</v>
      </c>
      <c r="D507" s="8">
        <f>-PV(B507/100,5,B506/100,1)</f>
        <v/>
      </c>
      <c r="E507" s="8">
        <f>-PV(C507/100,7,C506/100,1)</f>
        <v/>
      </c>
      <c r="F507" s="8">
        <f>$B$3*(B506/100/12+(D507-1))+$B$4*(C506/100/12+(E507-1))</f>
        <v/>
      </c>
      <c r="G507" s="8">
        <f>G506*(1+F507)</f>
        <v/>
      </c>
    </row>
    <row r="508">
      <c r="A508" s="8" t="inlineStr">
        <is>
          <t>1995-01-01</t>
        </is>
      </c>
      <c r="B508" s="6" t="n">
        <v>7.76</v>
      </c>
      <c r="C508" s="6" t="n">
        <v>9.08</v>
      </c>
      <c r="D508" s="8">
        <f>-PV(B508/100,5,B507/100,1)</f>
        <v/>
      </c>
      <c r="E508" s="8">
        <f>-PV(C508/100,7,C507/100,1)</f>
        <v/>
      </c>
      <c r="F508" s="8">
        <f>$B$3*(B507/100/12+(D508-1))+$B$4*(C507/100/12+(E508-1))</f>
        <v/>
      </c>
      <c r="G508" s="8">
        <f>G507*(1+F508)</f>
        <v/>
      </c>
    </row>
    <row r="509">
      <c r="A509" s="8" t="inlineStr">
        <is>
          <t>1995-02-01</t>
        </is>
      </c>
      <c r="B509" s="6" t="n">
        <v>7.37</v>
      </c>
      <c r="C509" s="6" t="n">
        <v>8.85</v>
      </c>
      <c r="D509" s="8">
        <f>-PV(B509/100,5,B508/100,1)</f>
        <v/>
      </c>
      <c r="E509" s="8">
        <f>-PV(C509/100,7,C508/100,1)</f>
        <v/>
      </c>
      <c r="F509" s="8">
        <f>$B$3*(B508/100/12+(D509-1))+$B$4*(C508/100/12+(E509-1))</f>
        <v/>
      </c>
      <c r="G509" s="8">
        <f>G508*(1+F509)</f>
        <v/>
      </c>
    </row>
    <row r="510">
      <c r="A510" s="8" t="inlineStr">
        <is>
          <t>1995-03-01</t>
        </is>
      </c>
      <c r="B510" s="6" t="n">
        <v>7.05</v>
      </c>
      <c r="C510" s="6" t="n">
        <v>8.699999999999999</v>
      </c>
      <c r="D510" s="8">
        <f>-PV(B510/100,5,B509/100,1)</f>
        <v/>
      </c>
      <c r="E510" s="8">
        <f>-PV(C510/100,7,C509/100,1)</f>
        <v/>
      </c>
      <c r="F510" s="8">
        <f>$B$3*(B509/100/12+(D510-1))+$B$4*(C509/100/12+(E510-1))</f>
        <v/>
      </c>
      <c r="G510" s="8">
        <f>G509*(1+F510)</f>
        <v/>
      </c>
    </row>
    <row r="511">
      <c r="A511" s="8" t="inlineStr">
        <is>
          <t>1995-04-01</t>
        </is>
      </c>
      <c r="B511" s="6" t="n">
        <v>6.86</v>
      </c>
      <c r="C511" s="6" t="n">
        <v>8.6</v>
      </c>
      <c r="D511" s="8">
        <f>-PV(B511/100,5,B510/100,1)</f>
        <v/>
      </c>
      <c r="E511" s="8">
        <f>-PV(C511/100,7,C510/100,1)</f>
        <v/>
      </c>
      <c r="F511" s="8">
        <f>$B$3*(B510/100/12+(D511-1))+$B$4*(C510/100/12+(E511-1))</f>
        <v/>
      </c>
      <c r="G511" s="8">
        <f>G510*(1+F511)</f>
        <v/>
      </c>
    </row>
    <row r="512">
      <c r="A512" s="8" t="inlineStr">
        <is>
          <t>1995-05-01</t>
        </is>
      </c>
      <c r="B512" s="6" t="n">
        <v>6.41</v>
      </c>
      <c r="C512" s="6" t="n">
        <v>8.199999999999999</v>
      </c>
      <c r="D512" s="8">
        <f>-PV(B512/100,5,B511/100,1)</f>
        <v/>
      </c>
      <c r="E512" s="8">
        <f>-PV(C512/100,7,C511/100,1)</f>
        <v/>
      </c>
      <c r="F512" s="8">
        <f>$B$3*(B511/100/12+(D512-1))+$B$4*(C511/100/12+(E512-1))</f>
        <v/>
      </c>
      <c r="G512" s="8">
        <f>G511*(1+F512)</f>
        <v/>
      </c>
    </row>
    <row r="513">
      <c r="A513" s="8" t="inlineStr">
        <is>
          <t>1995-06-01</t>
        </is>
      </c>
      <c r="B513" s="6" t="n">
        <v>5.93</v>
      </c>
      <c r="C513" s="6" t="n">
        <v>7.9</v>
      </c>
      <c r="D513" s="8">
        <f>-PV(B513/100,5,B512/100,1)</f>
        <v/>
      </c>
      <c r="E513" s="8">
        <f>-PV(C513/100,7,C512/100,1)</f>
        <v/>
      </c>
      <c r="F513" s="8">
        <f>$B$3*(B512/100/12+(D513-1))+$B$4*(C512/100/12+(E513-1))</f>
        <v/>
      </c>
      <c r="G513" s="8">
        <f>G512*(1+F513)</f>
        <v/>
      </c>
    </row>
    <row r="514">
      <c r="A514" s="8" t="inlineStr">
        <is>
          <t>1995-07-01</t>
        </is>
      </c>
      <c r="B514" s="6" t="n">
        <v>6.01</v>
      </c>
      <c r="C514" s="6" t="n">
        <v>8.039999999999999</v>
      </c>
      <c r="D514" s="8">
        <f>-PV(B514/100,5,B513/100,1)</f>
        <v/>
      </c>
      <c r="E514" s="8">
        <f>-PV(C514/100,7,C513/100,1)</f>
        <v/>
      </c>
      <c r="F514" s="8">
        <f>$B$3*(B513/100/12+(D514-1))+$B$4*(C513/100/12+(E514-1))</f>
        <v/>
      </c>
      <c r="G514" s="8">
        <f>G513*(1+F514)</f>
        <v/>
      </c>
    </row>
    <row r="515">
      <c r="A515" s="8" t="inlineStr">
        <is>
          <t>1995-08-01</t>
        </is>
      </c>
      <c r="B515" s="6" t="n">
        <v>6.24</v>
      </c>
      <c r="C515" s="6" t="n">
        <v>8.19</v>
      </c>
      <c r="D515" s="8">
        <f>-PV(B515/100,5,B514/100,1)</f>
        <v/>
      </c>
      <c r="E515" s="8">
        <f>-PV(C515/100,7,C514/100,1)</f>
        <v/>
      </c>
      <c r="F515" s="8">
        <f>$B$3*(B514/100/12+(D515-1))+$B$4*(C514/100/12+(E515-1))</f>
        <v/>
      </c>
      <c r="G515" s="8">
        <f>G514*(1+F515)</f>
        <v/>
      </c>
    </row>
    <row r="516">
      <c r="A516" s="8" t="inlineStr">
        <is>
          <t>1995-09-01</t>
        </is>
      </c>
      <c r="B516" s="6" t="n">
        <v>6</v>
      </c>
      <c r="C516" s="6" t="n">
        <v>7.93</v>
      </c>
      <c r="D516" s="8">
        <f>-PV(B516/100,5,B515/100,1)</f>
        <v/>
      </c>
      <c r="E516" s="8">
        <f>-PV(C516/100,7,C515/100,1)</f>
        <v/>
      </c>
      <c r="F516" s="8">
        <f>$B$3*(B515/100/12+(D516-1))+$B$4*(C515/100/12+(E516-1))</f>
        <v/>
      </c>
      <c r="G516" s="8">
        <f>G515*(1+F516)</f>
        <v/>
      </c>
    </row>
    <row r="517">
      <c r="A517" s="8" t="inlineStr">
        <is>
          <t>1995-10-01</t>
        </is>
      </c>
      <c r="B517" s="6" t="n">
        <v>5.86</v>
      </c>
      <c r="C517" s="6" t="n">
        <v>7.75</v>
      </c>
      <c r="D517" s="8">
        <f>-PV(B517/100,5,B516/100,1)</f>
        <v/>
      </c>
      <c r="E517" s="8">
        <f>-PV(C517/100,7,C516/100,1)</f>
        <v/>
      </c>
      <c r="F517" s="8">
        <f>$B$3*(B516/100/12+(D517-1))+$B$4*(C516/100/12+(E517-1))</f>
        <v/>
      </c>
      <c r="G517" s="8">
        <f>G516*(1+F517)</f>
        <v/>
      </c>
    </row>
    <row r="518">
      <c r="A518" s="8" t="inlineStr">
        <is>
          <t>1995-11-01</t>
        </is>
      </c>
      <c r="B518" s="6" t="n">
        <v>5.69</v>
      </c>
      <c r="C518" s="6" t="n">
        <v>7.68</v>
      </c>
      <c r="D518" s="8">
        <f>-PV(B518/100,5,B517/100,1)</f>
        <v/>
      </c>
      <c r="E518" s="8">
        <f>-PV(C518/100,7,C517/100,1)</f>
        <v/>
      </c>
      <c r="F518" s="8">
        <f>$B$3*(B517/100/12+(D518-1))+$B$4*(C517/100/12+(E518-1))</f>
        <v/>
      </c>
      <c r="G518" s="8">
        <f>G517*(1+F518)</f>
        <v/>
      </c>
    </row>
    <row r="519">
      <c r="A519" s="8" t="inlineStr">
        <is>
          <t>1995-12-01</t>
        </is>
      </c>
      <c r="B519" s="6" t="n">
        <v>5.51</v>
      </c>
      <c r="C519" s="6" t="n">
        <v>7.49</v>
      </c>
      <c r="D519" s="8">
        <f>-PV(B519/100,5,B518/100,1)</f>
        <v/>
      </c>
      <c r="E519" s="8">
        <f>-PV(C519/100,7,C518/100,1)</f>
        <v/>
      </c>
      <c r="F519" s="8">
        <f>$B$3*(B518/100/12+(D519-1))+$B$4*(C518/100/12+(E519-1))</f>
        <v/>
      </c>
      <c r="G519" s="8">
        <f>G518*(1+F519)</f>
        <v/>
      </c>
    </row>
    <row r="520">
      <c r="A520" s="8" t="inlineStr">
        <is>
          <t>1996-01-01</t>
        </is>
      </c>
      <c r="B520" s="6" t="n">
        <v>5.36</v>
      </c>
      <c r="C520" s="6" t="n">
        <v>7.47</v>
      </c>
      <c r="D520" s="8">
        <f>-PV(B520/100,5,B519/100,1)</f>
        <v/>
      </c>
      <c r="E520" s="8">
        <f>-PV(C520/100,7,C519/100,1)</f>
        <v/>
      </c>
      <c r="F520" s="8">
        <f>$B$3*(B519/100/12+(D520-1))+$B$4*(C519/100/12+(E520-1))</f>
        <v/>
      </c>
      <c r="G520" s="8">
        <f>G519*(1+F520)</f>
        <v/>
      </c>
    </row>
    <row r="521">
      <c r="A521" s="8" t="inlineStr">
        <is>
          <t>1996-02-01</t>
        </is>
      </c>
      <c r="B521" s="6" t="n">
        <v>5.38</v>
      </c>
      <c r="C521" s="6" t="n">
        <v>7.63</v>
      </c>
      <c r="D521" s="8">
        <f>-PV(B521/100,5,B520/100,1)</f>
        <v/>
      </c>
      <c r="E521" s="8">
        <f>-PV(C521/100,7,C520/100,1)</f>
        <v/>
      </c>
      <c r="F521" s="8">
        <f>$B$3*(B520/100/12+(D521-1))+$B$4*(C520/100/12+(E521-1))</f>
        <v/>
      </c>
      <c r="G521" s="8">
        <f>G520*(1+F521)</f>
        <v/>
      </c>
    </row>
    <row r="522">
      <c r="A522" s="8" t="inlineStr">
        <is>
          <t>1996-03-01</t>
        </is>
      </c>
      <c r="B522" s="6" t="n">
        <v>5.97</v>
      </c>
      <c r="C522" s="6" t="n">
        <v>8.029999999999999</v>
      </c>
      <c r="D522" s="8">
        <f>-PV(B522/100,5,B521/100,1)</f>
        <v/>
      </c>
      <c r="E522" s="8">
        <f>-PV(C522/100,7,C521/100,1)</f>
        <v/>
      </c>
      <c r="F522" s="8">
        <f>$B$3*(B521/100/12+(D522-1))+$B$4*(C521/100/12+(E522-1))</f>
        <v/>
      </c>
      <c r="G522" s="8">
        <f>G521*(1+F522)</f>
        <v/>
      </c>
    </row>
    <row r="523">
      <c r="A523" s="8" t="inlineStr">
        <is>
          <t>1996-04-01</t>
        </is>
      </c>
      <c r="B523" s="6" t="n">
        <v>6.3</v>
      </c>
      <c r="C523" s="6" t="n">
        <v>8.19</v>
      </c>
      <c r="D523" s="8">
        <f>-PV(B523/100,5,B522/100,1)</f>
        <v/>
      </c>
      <c r="E523" s="8">
        <f>-PV(C523/100,7,C522/100,1)</f>
        <v/>
      </c>
      <c r="F523" s="8">
        <f>$B$3*(B522/100/12+(D523-1))+$B$4*(C522/100/12+(E523-1))</f>
        <v/>
      </c>
      <c r="G523" s="8">
        <f>G522*(1+F523)</f>
        <v/>
      </c>
    </row>
    <row r="524">
      <c r="A524" s="8" t="inlineStr">
        <is>
          <t>1996-05-01</t>
        </is>
      </c>
      <c r="B524" s="6" t="n">
        <v>6.48</v>
      </c>
      <c r="C524" s="6" t="n">
        <v>8.300000000000001</v>
      </c>
      <c r="D524" s="8">
        <f>-PV(B524/100,5,B523/100,1)</f>
        <v/>
      </c>
      <c r="E524" s="8">
        <f>-PV(C524/100,7,C523/100,1)</f>
        <v/>
      </c>
      <c r="F524" s="8">
        <f>$B$3*(B523/100/12+(D524-1))+$B$4*(C523/100/12+(E524-1))</f>
        <v/>
      </c>
      <c r="G524" s="8">
        <f>G523*(1+F524)</f>
        <v/>
      </c>
    </row>
    <row r="525">
      <c r="A525" s="8" t="inlineStr">
        <is>
          <t>1996-06-01</t>
        </is>
      </c>
      <c r="B525" s="6" t="n">
        <v>6.69</v>
      </c>
      <c r="C525" s="6" t="n">
        <v>8.4</v>
      </c>
      <c r="D525" s="8">
        <f>-PV(B525/100,5,B524/100,1)</f>
        <v/>
      </c>
      <c r="E525" s="8">
        <f>-PV(C525/100,7,C524/100,1)</f>
        <v/>
      </c>
      <c r="F525" s="8">
        <f>$B$3*(B524/100/12+(D525-1))+$B$4*(C524/100/12+(E525-1))</f>
        <v/>
      </c>
      <c r="G525" s="8">
        <f>G524*(1+F525)</f>
        <v/>
      </c>
    </row>
    <row r="526">
      <c r="A526" s="8" t="inlineStr">
        <is>
          <t>1996-07-01</t>
        </is>
      </c>
      <c r="B526" s="6" t="n">
        <v>6.64</v>
      </c>
      <c r="C526" s="6" t="n">
        <v>8.35</v>
      </c>
      <c r="D526" s="8">
        <f>-PV(B526/100,5,B525/100,1)</f>
        <v/>
      </c>
      <c r="E526" s="8">
        <f>-PV(C526/100,7,C525/100,1)</f>
        <v/>
      </c>
      <c r="F526" s="8">
        <f>$B$3*(B525/100/12+(D526-1))+$B$4*(C525/100/12+(E526-1))</f>
        <v/>
      </c>
      <c r="G526" s="8">
        <f>G525*(1+F526)</f>
        <v/>
      </c>
    </row>
    <row r="527">
      <c r="A527" s="8" t="inlineStr">
        <is>
          <t>1996-08-01</t>
        </is>
      </c>
      <c r="B527" s="6" t="n">
        <v>6.39</v>
      </c>
      <c r="C527" s="6" t="n">
        <v>8.18</v>
      </c>
      <c r="D527" s="8">
        <f>-PV(B527/100,5,B526/100,1)</f>
        <v/>
      </c>
      <c r="E527" s="8">
        <f>-PV(C527/100,7,C526/100,1)</f>
        <v/>
      </c>
      <c r="F527" s="8">
        <f>$B$3*(B526/100/12+(D527-1))+$B$4*(C526/100/12+(E527-1))</f>
        <v/>
      </c>
      <c r="G527" s="8">
        <f>G526*(1+F527)</f>
        <v/>
      </c>
    </row>
    <row r="528">
      <c r="A528" s="8" t="inlineStr">
        <is>
          <t>1996-09-01</t>
        </is>
      </c>
      <c r="B528" s="6" t="n">
        <v>6.6</v>
      </c>
      <c r="C528" s="6" t="n">
        <v>8.35</v>
      </c>
      <c r="D528" s="8">
        <f>-PV(B528/100,5,B527/100,1)</f>
        <v/>
      </c>
      <c r="E528" s="8">
        <f>-PV(C528/100,7,C527/100,1)</f>
        <v/>
      </c>
      <c r="F528" s="8">
        <f>$B$3*(B527/100/12+(D528-1))+$B$4*(C527/100/12+(E528-1))</f>
        <v/>
      </c>
      <c r="G528" s="8">
        <f>G527*(1+F528)</f>
        <v/>
      </c>
    </row>
    <row r="529">
      <c r="A529" s="8" t="inlineStr">
        <is>
          <t>1996-10-01</t>
        </is>
      </c>
      <c r="B529" s="6" t="n">
        <v>6.27</v>
      </c>
      <c r="C529" s="6" t="n">
        <v>8.07</v>
      </c>
      <c r="D529" s="8">
        <f>-PV(B529/100,5,B528/100,1)</f>
        <v/>
      </c>
      <c r="E529" s="8">
        <f>-PV(C529/100,7,C528/100,1)</f>
        <v/>
      </c>
      <c r="F529" s="8">
        <f>$B$3*(B528/100/12+(D529-1))+$B$4*(C528/100/12+(E529-1))</f>
        <v/>
      </c>
      <c r="G529" s="8">
        <f>G528*(1+F529)</f>
        <v/>
      </c>
    </row>
    <row r="530">
      <c r="A530" s="8" t="inlineStr">
        <is>
          <t>1996-11-01</t>
        </is>
      </c>
      <c r="B530" s="6" t="n">
        <v>5.97</v>
      </c>
      <c r="C530" s="6" t="n">
        <v>7.79</v>
      </c>
      <c r="D530" s="8">
        <f>-PV(B530/100,5,B529/100,1)</f>
        <v/>
      </c>
      <c r="E530" s="8">
        <f>-PV(C530/100,7,C529/100,1)</f>
        <v/>
      </c>
      <c r="F530" s="8">
        <f>$B$3*(B529/100/12+(D530-1))+$B$4*(C529/100/12+(E530-1))</f>
        <v/>
      </c>
      <c r="G530" s="8">
        <f>G529*(1+F530)</f>
        <v/>
      </c>
    </row>
    <row r="531">
      <c r="A531" s="8" t="inlineStr">
        <is>
          <t>1996-12-01</t>
        </is>
      </c>
      <c r="B531" s="6" t="n">
        <v>6.07</v>
      </c>
      <c r="C531" s="6" t="n">
        <v>7.89</v>
      </c>
      <c r="D531" s="8">
        <f>-PV(B531/100,5,B530/100,1)</f>
        <v/>
      </c>
      <c r="E531" s="8">
        <f>-PV(C531/100,7,C530/100,1)</f>
        <v/>
      </c>
      <c r="F531" s="8">
        <f>$B$3*(B530/100/12+(D531-1))+$B$4*(C530/100/12+(E531-1))</f>
        <v/>
      </c>
      <c r="G531" s="8">
        <f>G530*(1+F531)</f>
        <v/>
      </c>
    </row>
    <row r="532">
      <c r="A532" s="8" t="inlineStr">
        <is>
          <t>1997-01-01</t>
        </is>
      </c>
      <c r="B532" s="6" t="n">
        <v>6.33</v>
      </c>
      <c r="C532" s="6" t="n">
        <v>8.09</v>
      </c>
      <c r="D532" s="8">
        <f>-PV(B532/100,5,B531/100,1)</f>
        <v/>
      </c>
      <c r="E532" s="8">
        <f>-PV(C532/100,7,C531/100,1)</f>
        <v/>
      </c>
      <c r="F532" s="8">
        <f>$B$3*(B531/100/12+(D532-1))+$B$4*(C531/100/12+(E532-1))</f>
        <v/>
      </c>
      <c r="G532" s="8">
        <f>G531*(1+F532)</f>
        <v/>
      </c>
    </row>
    <row r="533">
      <c r="A533" s="8" t="inlineStr">
        <is>
          <t>1997-02-01</t>
        </is>
      </c>
      <c r="B533" s="6" t="n">
        <v>6.2</v>
      </c>
      <c r="C533" s="6" t="n">
        <v>7.94</v>
      </c>
      <c r="D533" s="8">
        <f>-PV(B533/100,5,B532/100,1)</f>
        <v/>
      </c>
      <c r="E533" s="8">
        <f>-PV(C533/100,7,C532/100,1)</f>
        <v/>
      </c>
      <c r="F533" s="8">
        <f>$B$3*(B532/100/12+(D533-1))+$B$4*(C532/100/12+(E533-1))</f>
        <v/>
      </c>
      <c r="G533" s="8">
        <f>G532*(1+F533)</f>
        <v/>
      </c>
    </row>
    <row r="534">
      <c r="A534" s="8" t="inlineStr">
        <is>
          <t>1997-03-01</t>
        </is>
      </c>
      <c r="B534" s="6" t="n">
        <v>6.54</v>
      </c>
      <c r="C534" s="6" t="n">
        <v>8.18</v>
      </c>
      <c r="D534" s="8">
        <f>-PV(B534/100,5,B533/100,1)</f>
        <v/>
      </c>
      <c r="E534" s="8">
        <f>-PV(C534/100,7,C533/100,1)</f>
        <v/>
      </c>
      <c r="F534" s="8">
        <f>$B$3*(B533/100/12+(D534-1))+$B$4*(C533/100/12+(E534-1))</f>
        <v/>
      </c>
      <c r="G534" s="8">
        <f>G533*(1+F534)</f>
        <v/>
      </c>
    </row>
    <row r="535">
      <c r="A535" s="8" t="inlineStr">
        <is>
          <t>1997-04-01</t>
        </is>
      </c>
      <c r="B535" s="6" t="n">
        <v>6.76</v>
      </c>
      <c r="C535" s="6" t="n">
        <v>8.34</v>
      </c>
      <c r="D535" s="8">
        <f>-PV(B535/100,5,B534/100,1)</f>
        <v/>
      </c>
      <c r="E535" s="8">
        <f>-PV(C535/100,7,C534/100,1)</f>
        <v/>
      </c>
      <c r="F535" s="8">
        <f>$B$3*(B534/100/12+(D535-1))+$B$4*(C534/100/12+(E535-1))</f>
        <v/>
      </c>
      <c r="G535" s="8">
        <f>G534*(1+F535)</f>
        <v/>
      </c>
    </row>
    <row r="536">
      <c r="A536" s="8" t="inlineStr">
        <is>
          <t>1997-05-01</t>
        </is>
      </c>
      <c r="B536" s="6" t="n">
        <v>6.57</v>
      </c>
      <c r="C536" s="6" t="n">
        <v>8.199999999999999</v>
      </c>
      <c r="D536" s="8">
        <f>-PV(B536/100,5,B535/100,1)</f>
        <v/>
      </c>
      <c r="E536" s="8">
        <f>-PV(C536/100,7,C535/100,1)</f>
        <v/>
      </c>
      <c r="F536" s="8">
        <f>$B$3*(B535/100/12+(D536-1))+$B$4*(C535/100/12+(E536-1))</f>
        <v/>
      </c>
      <c r="G536" s="8">
        <f>G535*(1+F536)</f>
        <v/>
      </c>
    </row>
    <row r="537">
      <c r="A537" s="8" t="inlineStr">
        <is>
          <t>1997-06-01</t>
        </is>
      </c>
      <c r="B537" s="6" t="n">
        <v>6.38</v>
      </c>
      <c r="C537" s="6" t="n">
        <v>8.02</v>
      </c>
      <c r="D537" s="8">
        <f>-PV(B537/100,5,B536/100,1)</f>
        <v/>
      </c>
      <c r="E537" s="8">
        <f>-PV(C537/100,7,C536/100,1)</f>
        <v/>
      </c>
      <c r="F537" s="8">
        <f>$B$3*(B536/100/12+(D537-1))+$B$4*(C536/100/12+(E537-1))</f>
        <v/>
      </c>
      <c r="G537" s="8">
        <f>G536*(1+F537)</f>
        <v/>
      </c>
    </row>
    <row r="538">
      <c r="A538" s="8" t="inlineStr">
        <is>
          <t>1997-07-01</t>
        </is>
      </c>
      <c r="B538" s="6" t="n">
        <v>6.12</v>
      </c>
      <c r="C538" s="6" t="n">
        <v>7.75</v>
      </c>
      <c r="D538" s="8">
        <f>-PV(B538/100,5,B537/100,1)</f>
        <v/>
      </c>
      <c r="E538" s="8">
        <f>-PV(C538/100,7,C537/100,1)</f>
        <v/>
      </c>
      <c r="F538" s="8">
        <f>$B$3*(B537/100/12+(D538-1))+$B$4*(C537/100/12+(E538-1))</f>
        <v/>
      </c>
      <c r="G538" s="8">
        <f>G537*(1+F538)</f>
        <v/>
      </c>
    </row>
    <row r="539">
      <c r="A539" s="8" t="inlineStr">
        <is>
          <t>1997-08-01</t>
        </is>
      </c>
      <c r="B539" s="6" t="n">
        <v>6.16</v>
      </c>
      <c r="C539" s="6" t="n">
        <v>7.82</v>
      </c>
      <c r="D539" s="8">
        <f>-PV(B539/100,5,B538/100,1)</f>
        <v/>
      </c>
      <c r="E539" s="8">
        <f>-PV(C539/100,7,C538/100,1)</f>
        <v/>
      </c>
      <c r="F539" s="8">
        <f>$B$3*(B538/100/12+(D539-1))+$B$4*(C538/100/12+(E539-1))</f>
        <v/>
      </c>
      <c r="G539" s="8">
        <f>G538*(1+F539)</f>
        <v/>
      </c>
    </row>
    <row r="540">
      <c r="A540" s="8" t="inlineStr">
        <is>
          <t>1997-09-01</t>
        </is>
      </c>
      <c r="B540" s="6" t="n">
        <v>6.11</v>
      </c>
      <c r="C540" s="6" t="n">
        <v>7.7</v>
      </c>
      <c r="D540" s="8">
        <f>-PV(B540/100,5,B539/100,1)</f>
        <v/>
      </c>
      <c r="E540" s="8">
        <f>-PV(C540/100,7,C539/100,1)</f>
        <v/>
      </c>
      <c r="F540" s="8">
        <f>$B$3*(B539/100/12+(D540-1))+$B$4*(C539/100/12+(E540-1))</f>
        <v/>
      </c>
      <c r="G540" s="8">
        <f>G539*(1+F540)</f>
        <v/>
      </c>
    </row>
    <row r="541">
      <c r="A541" s="8" t="inlineStr">
        <is>
          <t>1997-10-01</t>
        </is>
      </c>
      <c r="B541" s="6" t="n">
        <v>5.93</v>
      </c>
      <c r="C541" s="6" t="n">
        <v>7.57</v>
      </c>
      <c r="D541" s="8">
        <f>-PV(B541/100,5,B540/100,1)</f>
        <v/>
      </c>
      <c r="E541" s="8">
        <f>-PV(C541/100,7,C540/100,1)</f>
        <v/>
      </c>
      <c r="F541" s="8">
        <f>$B$3*(B540/100/12+(D541-1))+$B$4*(C540/100/12+(E541-1))</f>
        <v/>
      </c>
      <c r="G541" s="8">
        <f>G540*(1+F541)</f>
        <v/>
      </c>
    </row>
    <row r="542">
      <c r="A542" s="8" t="inlineStr">
        <is>
          <t>1997-11-01</t>
        </is>
      </c>
      <c r="B542" s="6" t="n">
        <v>5.8</v>
      </c>
      <c r="C542" s="6" t="n">
        <v>7.42</v>
      </c>
      <c r="D542" s="8">
        <f>-PV(B542/100,5,B541/100,1)</f>
        <v/>
      </c>
      <c r="E542" s="8">
        <f>-PV(C542/100,7,C541/100,1)</f>
        <v/>
      </c>
      <c r="F542" s="8">
        <f>$B$3*(B541/100/12+(D542-1))+$B$4*(C541/100/12+(E542-1))</f>
        <v/>
      </c>
      <c r="G542" s="8">
        <f>G541*(1+F542)</f>
        <v/>
      </c>
    </row>
    <row r="543">
      <c r="A543" s="8" t="inlineStr">
        <is>
          <t>1997-12-01</t>
        </is>
      </c>
      <c r="B543" s="6" t="n">
        <v>5.77</v>
      </c>
      <c r="C543" s="6" t="n">
        <v>7.32</v>
      </c>
      <c r="D543" s="8">
        <f>-PV(B543/100,5,B542/100,1)</f>
        <v/>
      </c>
      <c r="E543" s="8">
        <f>-PV(C543/100,7,C542/100,1)</f>
        <v/>
      </c>
      <c r="F543" s="8">
        <f>$B$3*(B542/100/12+(D543-1))+$B$4*(C542/100/12+(E543-1))</f>
        <v/>
      </c>
      <c r="G543" s="8">
        <f>G542*(1+F543)</f>
        <v/>
      </c>
    </row>
    <row r="544">
      <c r="A544" s="8" t="inlineStr">
        <is>
          <t>1998-01-01</t>
        </is>
      </c>
      <c r="B544" s="6" t="n">
        <v>5.42</v>
      </c>
      <c r="C544" s="6" t="n">
        <v>7.19</v>
      </c>
      <c r="D544" s="8">
        <f>-PV(B544/100,5,B543/100,1)</f>
        <v/>
      </c>
      <c r="E544" s="8">
        <f>-PV(C544/100,7,C543/100,1)</f>
        <v/>
      </c>
      <c r="F544" s="8">
        <f>$B$3*(B543/100/12+(D544-1))+$B$4*(C543/100/12+(E544-1))</f>
        <v/>
      </c>
      <c r="G544" s="8">
        <f>G543*(1+F544)</f>
        <v/>
      </c>
    </row>
    <row r="545">
      <c r="A545" s="8" t="inlineStr">
        <is>
          <t>1998-02-01</t>
        </is>
      </c>
      <c r="B545" s="6" t="n">
        <v>5.49</v>
      </c>
      <c r="C545" s="6" t="n">
        <v>7.25</v>
      </c>
      <c r="D545" s="8">
        <f>-PV(B545/100,5,B544/100,1)</f>
        <v/>
      </c>
      <c r="E545" s="8">
        <f>-PV(C545/100,7,C544/100,1)</f>
        <v/>
      </c>
      <c r="F545" s="8">
        <f>$B$3*(B544/100/12+(D545-1))+$B$4*(C544/100/12+(E545-1))</f>
        <v/>
      </c>
      <c r="G545" s="8">
        <f>G544*(1+F545)</f>
        <v/>
      </c>
    </row>
    <row r="546">
      <c r="A546" s="8" t="inlineStr">
        <is>
          <t>1998-03-01</t>
        </is>
      </c>
      <c r="B546" s="6" t="n">
        <v>5.61</v>
      </c>
      <c r="C546" s="6" t="n">
        <v>7.32</v>
      </c>
      <c r="D546" s="8">
        <f>-PV(B546/100,5,B545/100,1)</f>
        <v/>
      </c>
      <c r="E546" s="8">
        <f>-PV(C546/100,7,C545/100,1)</f>
        <v/>
      </c>
      <c r="F546" s="8">
        <f>$B$3*(B545/100/12+(D546-1))+$B$4*(C545/100/12+(E546-1))</f>
        <v/>
      </c>
      <c r="G546" s="8">
        <f>G545*(1+F546)</f>
        <v/>
      </c>
    </row>
    <row r="547">
      <c r="A547" s="8" t="inlineStr">
        <is>
          <t>1998-04-01</t>
        </is>
      </c>
      <c r="B547" s="6" t="n">
        <v>5.61</v>
      </c>
      <c r="C547" s="6" t="n">
        <v>7.33</v>
      </c>
      <c r="D547" s="8">
        <f>-PV(B547/100,5,B546/100,1)</f>
        <v/>
      </c>
      <c r="E547" s="8">
        <f>-PV(C547/100,7,C546/100,1)</f>
        <v/>
      </c>
      <c r="F547" s="8">
        <f>$B$3*(B546/100/12+(D547-1))+$B$4*(C546/100/12+(E547-1))</f>
        <v/>
      </c>
      <c r="G547" s="8">
        <f>G546*(1+F547)</f>
        <v/>
      </c>
    </row>
    <row r="548">
      <c r="A548" s="8" t="inlineStr">
        <is>
          <t>1998-05-01</t>
        </is>
      </c>
      <c r="B548" s="6" t="n">
        <v>5.63</v>
      </c>
      <c r="C548" s="6" t="n">
        <v>7.3</v>
      </c>
      <c r="D548" s="8">
        <f>-PV(B548/100,5,B547/100,1)</f>
        <v/>
      </c>
      <c r="E548" s="8">
        <f>-PV(C548/100,7,C547/100,1)</f>
        <v/>
      </c>
      <c r="F548" s="8">
        <f>$B$3*(B547/100/12+(D548-1))+$B$4*(C547/100/12+(E548-1))</f>
        <v/>
      </c>
      <c r="G548" s="8">
        <f>G547*(1+F548)</f>
        <v/>
      </c>
    </row>
    <row r="549">
      <c r="A549" s="8" t="inlineStr">
        <is>
          <t>1998-06-01</t>
        </is>
      </c>
      <c r="B549" s="6" t="n">
        <v>5.52</v>
      </c>
      <c r="C549" s="6" t="n">
        <v>7.13</v>
      </c>
      <c r="D549" s="8">
        <f>-PV(B549/100,5,B548/100,1)</f>
        <v/>
      </c>
      <c r="E549" s="8">
        <f>-PV(C549/100,7,C548/100,1)</f>
        <v/>
      </c>
      <c r="F549" s="8">
        <f>$B$3*(B548/100/12+(D549-1))+$B$4*(C548/100/12+(E549-1))</f>
        <v/>
      </c>
      <c r="G549" s="8">
        <f>G548*(1+F549)</f>
        <v/>
      </c>
    </row>
    <row r="550">
      <c r="A550" s="8" t="inlineStr">
        <is>
          <t>1998-07-01</t>
        </is>
      </c>
      <c r="B550" s="6" t="n">
        <v>5.46</v>
      </c>
      <c r="C550" s="6" t="n">
        <v>7.15</v>
      </c>
      <c r="D550" s="8">
        <f>-PV(B550/100,5,B549/100,1)</f>
        <v/>
      </c>
      <c r="E550" s="8">
        <f>-PV(C550/100,7,C549/100,1)</f>
        <v/>
      </c>
      <c r="F550" s="8">
        <f>$B$3*(B549/100/12+(D550-1))+$B$4*(C549/100/12+(E550-1))</f>
        <v/>
      </c>
      <c r="G550" s="8">
        <f>G549*(1+F550)</f>
        <v/>
      </c>
    </row>
    <row r="551">
      <c r="A551" s="8" t="inlineStr">
        <is>
          <t>1998-08-01</t>
        </is>
      </c>
      <c r="B551" s="6" t="n">
        <v>5.27</v>
      </c>
      <c r="C551" s="6" t="n">
        <v>7.14</v>
      </c>
      <c r="D551" s="8">
        <f>-PV(B551/100,5,B550/100,1)</f>
        <v/>
      </c>
      <c r="E551" s="8">
        <f>-PV(C551/100,7,C550/100,1)</f>
        <v/>
      </c>
      <c r="F551" s="8">
        <f>$B$3*(B550/100/12+(D551-1))+$B$4*(C550/100/12+(E551-1))</f>
        <v/>
      </c>
      <c r="G551" s="8">
        <f>G550*(1+F551)</f>
        <v/>
      </c>
    </row>
    <row r="552">
      <c r="A552" s="8" t="inlineStr">
        <is>
          <t>1998-09-01</t>
        </is>
      </c>
      <c r="B552" s="6" t="n">
        <v>4.62</v>
      </c>
      <c r="C552" s="6" t="n">
        <v>7.09</v>
      </c>
      <c r="D552" s="8">
        <f>-PV(B552/100,5,B551/100,1)</f>
        <v/>
      </c>
      <c r="E552" s="8">
        <f>-PV(C552/100,7,C551/100,1)</f>
        <v/>
      </c>
      <c r="F552" s="8">
        <f>$B$3*(B551/100/12+(D552-1))+$B$4*(C551/100/12+(E552-1))</f>
        <v/>
      </c>
      <c r="G552" s="8">
        <f>G551*(1+F552)</f>
        <v/>
      </c>
    </row>
    <row r="553">
      <c r="A553" s="8" t="inlineStr">
        <is>
          <t>1998-10-01</t>
        </is>
      </c>
      <c r="B553" s="6" t="n">
        <v>4.18</v>
      </c>
      <c r="C553" s="6" t="n">
        <v>7.18</v>
      </c>
      <c r="D553" s="8">
        <f>-PV(B553/100,5,B552/100,1)</f>
        <v/>
      </c>
      <c r="E553" s="8">
        <f>-PV(C553/100,7,C552/100,1)</f>
        <v/>
      </c>
      <c r="F553" s="8">
        <f>$B$3*(B552/100/12+(D553-1))+$B$4*(C552/100/12+(E553-1))</f>
        <v/>
      </c>
      <c r="G553" s="8">
        <f>G552*(1+F553)</f>
        <v/>
      </c>
    </row>
    <row r="554">
      <c r="A554" s="8" t="inlineStr">
        <is>
          <t>1998-11-01</t>
        </is>
      </c>
      <c r="B554" s="6" t="n">
        <v>4.54</v>
      </c>
      <c r="C554" s="6" t="n">
        <v>7.34</v>
      </c>
      <c r="D554" s="8">
        <f>-PV(B554/100,5,B553/100,1)</f>
        <v/>
      </c>
      <c r="E554" s="8">
        <f>-PV(C554/100,7,C553/100,1)</f>
        <v/>
      </c>
      <c r="F554" s="8">
        <f>$B$3*(B553/100/12+(D554-1))+$B$4*(C553/100/12+(E554-1))</f>
        <v/>
      </c>
      <c r="G554" s="8">
        <f>G553*(1+F554)</f>
        <v/>
      </c>
    </row>
    <row r="555">
      <c r="A555" s="8" t="inlineStr">
        <is>
          <t>1998-12-01</t>
        </is>
      </c>
      <c r="B555" s="6" t="n">
        <v>4.45</v>
      </c>
      <c r="C555" s="6" t="n">
        <v>7.23</v>
      </c>
      <c r="D555" s="8">
        <f>-PV(B555/100,5,B554/100,1)</f>
        <v/>
      </c>
      <c r="E555" s="8">
        <f>-PV(C555/100,7,C554/100,1)</f>
        <v/>
      </c>
      <c r="F555" s="8">
        <f>$B$3*(B554/100/12+(D555-1))+$B$4*(C554/100/12+(E555-1))</f>
        <v/>
      </c>
      <c r="G555" s="8">
        <f>G554*(1+F555)</f>
        <v/>
      </c>
    </row>
    <row r="556">
      <c r="A556" s="8" t="inlineStr">
        <is>
          <t>1999-01-01</t>
        </is>
      </c>
      <c r="B556" s="6" t="n">
        <v>4.6</v>
      </c>
      <c r="C556" s="6" t="n">
        <v>7.29</v>
      </c>
      <c r="D556" s="8">
        <f>-PV(B556/100,5,B555/100,1)</f>
        <v/>
      </c>
      <c r="E556" s="8">
        <f>-PV(C556/100,7,C555/100,1)</f>
        <v/>
      </c>
      <c r="F556" s="8">
        <f>$B$3*(B555/100/12+(D556-1))+$B$4*(C555/100/12+(E556-1))</f>
        <v/>
      </c>
      <c r="G556" s="8">
        <f>G555*(1+F556)</f>
        <v/>
      </c>
    </row>
    <row r="557">
      <c r="A557" s="8" t="inlineStr">
        <is>
          <t>1999-02-01</t>
        </is>
      </c>
      <c r="B557" s="6" t="n">
        <v>4.91</v>
      </c>
      <c r="C557" s="6" t="n">
        <v>7.39</v>
      </c>
      <c r="D557" s="8">
        <f>-PV(B557/100,5,B556/100,1)</f>
        <v/>
      </c>
      <c r="E557" s="8">
        <f>-PV(C557/100,7,C556/100,1)</f>
        <v/>
      </c>
      <c r="F557" s="8">
        <f>$B$3*(B556/100/12+(D557-1))+$B$4*(C556/100/12+(E557-1))</f>
        <v/>
      </c>
      <c r="G557" s="8">
        <f>G556*(1+F557)</f>
        <v/>
      </c>
    </row>
    <row r="558">
      <c r="A558" s="8" t="inlineStr">
        <is>
          <t>1999-03-01</t>
        </is>
      </c>
      <c r="B558" s="6" t="n">
        <v>5.14</v>
      </c>
      <c r="C558" s="6" t="n">
        <v>7.53</v>
      </c>
      <c r="D558" s="8">
        <f>-PV(B558/100,5,B557/100,1)</f>
        <v/>
      </c>
      <c r="E558" s="8">
        <f>-PV(C558/100,7,C557/100,1)</f>
        <v/>
      </c>
      <c r="F558" s="8">
        <f>$B$3*(B557/100/12+(D558-1))+$B$4*(C557/100/12+(E558-1))</f>
        <v/>
      </c>
      <c r="G558" s="8">
        <f>G557*(1+F558)</f>
        <v/>
      </c>
    </row>
    <row r="559">
      <c r="A559" s="8" t="inlineStr">
        <is>
          <t>1999-04-01</t>
        </is>
      </c>
      <c r="B559" s="6" t="n">
        <v>5.08</v>
      </c>
      <c r="C559" s="6" t="n">
        <v>7.48</v>
      </c>
      <c r="D559" s="8">
        <f>-PV(B559/100,5,B558/100,1)</f>
        <v/>
      </c>
      <c r="E559" s="8">
        <f>-PV(C559/100,7,C558/100,1)</f>
        <v/>
      </c>
      <c r="F559" s="8">
        <f>$B$3*(B558/100/12+(D559-1))+$B$4*(C558/100/12+(E559-1))</f>
        <v/>
      </c>
      <c r="G559" s="8">
        <f>G558*(1+F559)</f>
        <v/>
      </c>
    </row>
    <row r="560">
      <c r="A560" s="8" t="inlineStr">
        <is>
          <t>1999-05-01</t>
        </is>
      </c>
      <c r="B560" s="6" t="n">
        <v>5.44</v>
      </c>
      <c r="C560" s="6" t="n">
        <v>7.72</v>
      </c>
      <c r="D560" s="8">
        <f>-PV(B560/100,5,B559/100,1)</f>
        <v/>
      </c>
      <c r="E560" s="8">
        <f>-PV(C560/100,7,C559/100,1)</f>
        <v/>
      </c>
      <c r="F560" s="8">
        <f>$B$3*(B559/100/12+(D560-1))+$B$4*(C559/100/12+(E560-1))</f>
        <v/>
      </c>
      <c r="G560" s="8">
        <f>G559*(1+F560)</f>
        <v/>
      </c>
    </row>
    <row r="561">
      <c r="A561" s="8" t="inlineStr">
        <is>
          <t>1999-06-01</t>
        </is>
      </c>
      <c r="B561" s="6" t="n">
        <v>5.81</v>
      </c>
      <c r="C561" s="6" t="n">
        <v>8.02</v>
      </c>
      <c r="D561" s="8">
        <f>-PV(B561/100,5,B560/100,1)</f>
        <v/>
      </c>
      <c r="E561" s="8">
        <f>-PV(C561/100,7,C560/100,1)</f>
        <v/>
      </c>
      <c r="F561" s="8">
        <f>$B$3*(B560/100/12+(D561-1))+$B$4*(C560/100/12+(E561-1))</f>
        <v/>
      </c>
      <c r="G561" s="8">
        <f>G560*(1+F561)</f>
        <v/>
      </c>
    </row>
    <row r="562">
      <c r="A562" s="8" t="inlineStr">
        <is>
          <t>1999-07-01</t>
        </is>
      </c>
      <c r="B562" s="6" t="n">
        <v>5.68</v>
      </c>
      <c r="C562" s="6" t="n">
        <v>7.95</v>
      </c>
      <c r="D562" s="8">
        <f>-PV(B562/100,5,B561/100,1)</f>
        <v/>
      </c>
      <c r="E562" s="8">
        <f>-PV(C562/100,7,C561/100,1)</f>
        <v/>
      </c>
      <c r="F562" s="8">
        <f>$B$3*(B561/100/12+(D562-1))+$B$4*(C561/100/12+(E562-1))</f>
        <v/>
      </c>
      <c r="G562" s="8">
        <f>G561*(1+F562)</f>
        <v/>
      </c>
    </row>
    <row r="563">
      <c r="A563" s="8" t="inlineStr">
        <is>
          <t>1999-08-01</t>
        </is>
      </c>
      <c r="B563" s="6" t="n">
        <v>5.84</v>
      </c>
      <c r="C563" s="6" t="n">
        <v>8.15</v>
      </c>
      <c r="D563" s="8">
        <f>-PV(B563/100,5,B562/100,1)</f>
        <v/>
      </c>
      <c r="E563" s="8">
        <f>-PV(C563/100,7,C562/100,1)</f>
        <v/>
      </c>
      <c r="F563" s="8">
        <f>$B$3*(B562/100/12+(D563-1))+$B$4*(C562/100/12+(E563-1))</f>
        <v/>
      </c>
      <c r="G563" s="8">
        <f>G562*(1+F563)</f>
        <v/>
      </c>
    </row>
    <row r="564">
      <c r="A564" s="8" t="inlineStr">
        <is>
          <t>1999-09-01</t>
        </is>
      </c>
      <c r="B564" s="6" t="n">
        <v>5.8</v>
      </c>
      <c r="C564" s="6" t="n">
        <v>8.199999999999999</v>
      </c>
      <c r="D564" s="8">
        <f>-PV(B564/100,5,B563/100,1)</f>
        <v/>
      </c>
      <c r="E564" s="8">
        <f>-PV(C564/100,7,C563/100,1)</f>
        <v/>
      </c>
      <c r="F564" s="8">
        <f>$B$3*(B563/100/12+(D564-1))+$B$4*(C563/100/12+(E564-1))</f>
        <v/>
      </c>
      <c r="G564" s="8">
        <f>G563*(1+F564)</f>
        <v/>
      </c>
    </row>
    <row r="565">
      <c r="A565" s="8" t="inlineStr">
        <is>
          <t>1999-10-01</t>
        </is>
      </c>
      <c r="B565" s="6" t="n">
        <v>6.03</v>
      </c>
      <c r="C565" s="6" t="n">
        <v>8.380000000000001</v>
      </c>
      <c r="D565" s="8">
        <f>-PV(B565/100,5,B564/100,1)</f>
        <v/>
      </c>
      <c r="E565" s="8">
        <f>-PV(C565/100,7,C564/100,1)</f>
        <v/>
      </c>
      <c r="F565" s="8">
        <f>$B$3*(B564/100/12+(D565-1))+$B$4*(C564/100/12+(E565-1))</f>
        <v/>
      </c>
      <c r="G565" s="8">
        <f>G564*(1+F565)</f>
        <v/>
      </c>
    </row>
    <row r="566">
      <c r="A566" s="8" t="inlineStr">
        <is>
          <t>1999-11-01</t>
        </is>
      </c>
      <c r="B566" s="6" t="n">
        <v>5.97</v>
      </c>
      <c r="C566" s="6" t="n">
        <v>8.15</v>
      </c>
      <c r="D566" s="8">
        <f>-PV(B566/100,5,B565/100,1)</f>
        <v/>
      </c>
      <c r="E566" s="8">
        <f>-PV(C566/100,7,C565/100,1)</f>
        <v/>
      </c>
      <c r="F566" s="8">
        <f>$B$3*(B565/100/12+(D566-1))+$B$4*(C565/100/12+(E566-1))</f>
        <v/>
      </c>
      <c r="G566" s="8">
        <f>G565*(1+F566)</f>
        <v/>
      </c>
    </row>
    <row r="567">
      <c r="A567" s="8" t="inlineStr">
        <is>
          <t>1999-12-01</t>
        </is>
      </c>
      <c r="B567" s="6" t="n">
        <v>6.19</v>
      </c>
      <c r="C567" s="6" t="n">
        <v>8.19</v>
      </c>
      <c r="D567" s="8">
        <f>-PV(B567/100,5,B566/100,1)</f>
        <v/>
      </c>
      <c r="E567" s="8">
        <f>-PV(C567/100,7,C566/100,1)</f>
        <v/>
      </c>
      <c r="F567" s="8">
        <f>$B$3*(B566/100/12+(D567-1))+$B$4*(C566/100/12+(E567-1))</f>
        <v/>
      </c>
      <c r="G567" s="8">
        <f>G566*(1+F567)</f>
        <v/>
      </c>
    </row>
    <row r="568">
      <c r="A568" s="8" t="inlineStr">
        <is>
          <t>2000-01-01</t>
        </is>
      </c>
      <c r="B568" s="6" t="n">
        <v>6.58</v>
      </c>
      <c r="C568" s="6" t="n">
        <v>8.33</v>
      </c>
      <c r="D568" s="8">
        <f>-PV(B568/100,5,B567/100,1)</f>
        <v/>
      </c>
      <c r="E568" s="8">
        <f>-PV(C568/100,7,C567/100,1)</f>
        <v/>
      </c>
      <c r="F568" s="8">
        <f>$B$3*(B567/100/12+(D568-1))+$B$4*(C567/100/12+(E568-1))</f>
        <v/>
      </c>
      <c r="G568" s="8">
        <f>G567*(1+F568)</f>
        <v/>
      </c>
    </row>
    <row r="569">
      <c r="A569" s="8" t="inlineStr">
        <is>
          <t>2000-02-01</t>
        </is>
      </c>
      <c r="B569" s="6" t="n">
        <v>6.68</v>
      </c>
      <c r="C569" s="6" t="n">
        <v>8.289999999999999</v>
      </c>
      <c r="D569" s="8">
        <f>-PV(B569/100,5,B568/100,1)</f>
        <v/>
      </c>
      <c r="E569" s="8">
        <f>-PV(C569/100,7,C568/100,1)</f>
        <v/>
      </c>
      <c r="F569" s="8">
        <f>$B$3*(B568/100/12+(D569-1))+$B$4*(C568/100/12+(E569-1))</f>
        <v/>
      </c>
      <c r="G569" s="8">
        <f>G568*(1+F569)</f>
        <v/>
      </c>
    </row>
    <row r="570">
      <c r="A570" s="8" t="inlineStr">
        <is>
          <t>2000-03-01</t>
        </is>
      </c>
      <c r="B570" s="6" t="n">
        <v>6.5</v>
      </c>
      <c r="C570" s="6" t="n">
        <v>8.369999999999999</v>
      </c>
      <c r="D570" s="8">
        <f>-PV(B570/100,5,B569/100,1)</f>
        <v/>
      </c>
      <c r="E570" s="8">
        <f>-PV(C570/100,7,C569/100,1)</f>
        <v/>
      </c>
      <c r="F570" s="8">
        <f>$B$3*(B569/100/12+(D570-1))+$B$4*(C569/100/12+(E570-1))</f>
        <v/>
      </c>
      <c r="G570" s="8">
        <f>G569*(1+F570)</f>
        <v/>
      </c>
    </row>
    <row r="571">
      <c r="A571" s="8" t="inlineStr">
        <is>
          <t>2000-04-01</t>
        </is>
      </c>
      <c r="B571" s="6" t="n">
        <v>6.26</v>
      </c>
      <c r="C571" s="6" t="n">
        <v>8.4</v>
      </c>
      <c r="D571" s="8">
        <f>-PV(B571/100,5,B570/100,1)</f>
        <v/>
      </c>
      <c r="E571" s="8">
        <f>-PV(C571/100,7,C570/100,1)</f>
        <v/>
      </c>
      <c r="F571" s="8">
        <f>$B$3*(B570/100/12+(D571-1))+$B$4*(C570/100/12+(E571-1))</f>
        <v/>
      </c>
      <c r="G571" s="8">
        <f>G570*(1+F571)</f>
        <v/>
      </c>
    </row>
    <row r="572">
      <c r="A572" s="8" t="inlineStr">
        <is>
          <t>2000-05-01</t>
        </is>
      </c>
      <c r="B572" s="6" t="n">
        <v>6.69</v>
      </c>
      <c r="C572" s="6" t="n">
        <v>8.9</v>
      </c>
      <c r="D572" s="8">
        <f>-PV(B572/100,5,B571/100,1)</f>
        <v/>
      </c>
      <c r="E572" s="8">
        <f>-PV(C572/100,7,C571/100,1)</f>
        <v/>
      </c>
      <c r="F572" s="8">
        <f>$B$3*(B571/100/12+(D572-1))+$B$4*(C571/100/12+(E572-1))</f>
        <v/>
      </c>
      <c r="G572" s="8">
        <f>G571*(1+F572)</f>
        <v/>
      </c>
    </row>
    <row r="573">
      <c r="A573" s="8" t="inlineStr">
        <is>
          <t>2000-06-01</t>
        </is>
      </c>
      <c r="B573" s="6" t="n">
        <v>6.3</v>
      </c>
      <c r="C573" s="6" t="n">
        <v>8.48</v>
      </c>
      <c r="D573" s="8">
        <f>-PV(B573/100,5,B572/100,1)</f>
        <v/>
      </c>
      <c r="E573" s="8">
        <f>-PV(C573/100,7,C572/100,1)</f>
        <v/>
      </c>
      <c r="F573" s="8">
        <f>$B$3*(B572/100/12+(D573-1))+$B$4*(C572/100/12+(E573-1))</f>
        <v/>
      </c>
      <c r="G573" s="8">
        <f>G572*(1+F573)</f>
        <v/>
      </c>
    </row>
    <row r="574">
      <c r="A574" s="8" t="inlineStr">
        <is>
          <t>2000-07-01</t>
        </is>
      </c>
      <c r="B574" s="6" t="n">
        <v>6.18</v>
      </c>
      <c r="C574" s="6" t="n">
        <v>8.35</v>
      </c>
      <c r="D574" s="8">
        <f>-PV(B574/100,5,B573/100,1)</f>
        <v/>
      </c>
      <c r="E574" s="8">
        <f>-PV(C574/100,7,C573/100,1)</f>
        <v/>
      </c>
      <c r="F574" s="8">
        <f>$B$3*(B573/100/12+(D574-1))+$B$4*(C573/100/12+(E574-1))</f>
        <v/>
      </c>
      <c r="G574" s="8">
        <f>G573*(1+F574)</f>
        <v/>
      </c>
    </row>
    <row r="575">
      <c r="A575" s="8" t="inlineStr">
        <is>
          <t>2000-08-01</t>
        </is>
      </c>
      <c r="B575" s="6" t="n">
        <v>6.06</v>
      </c>
      <c r="C575" s="6" t="n">
        <v>8.26</v>
      </c>
      <c r="D575" s="8">
        <f>-PV(B575/100,5,B574/100,1)</f>
        <v/>
      </c>
      <c r="E575" s="8">
        <f>-PV(C575/100,7,C574/100,1)</f>
        <v/>
      </c>
      <c r="F575" s="8">
        <f>$B$3*(B574/100/12+(D575-1))+$B$4*(C574/100/12+(E575-1))</f>
        <v/>
      </c>
      <c r="G575" s="8">
        <f>G574*(1+F575)</f>
        <v/>
      </c>
    </row>
    <row r="576">
      <c r="A576" s="8" t="inlineStr">
        <is>
          <t>2000-09-01</t>
        </is>
      </c>
      <c r="B576" s="6" t="n">
        <v>5.93</v>
      </c>
      <c r="C576" s="6" t="n">
        <v>8.35</v>
      </c>
      <c r="D576" s="8">
        <f>-PV(B576/100,5,B575/100,1)</f>
        <v/>
      </c>
      <c r="E576" s="8">
        <f>-PV(C576/100,7,C575/100,1)</f>
        <v/>
      </c>
      <c r="F576" s="8">
        <f>$B$3*(B575/100/12+(D576-1))+$B$4*(C575/100/12+(E576-1))</f>
        <v/>
      </c>
      <c r="G576" s="8">
        <f>G575*(1+F576)</f>
        <v/>
      </c>
    </row>
    <row r="577">
      <c r="A577" s="8" t="inlineStr">
        <is>
          <t>2000-10-01</t>
        </is>
      </c>
      <c r="B577" s="6" t="n">
        <v>5.78</v>
      </c>
      <c r="C577" s="6" t="n">
        <v>8.34</v>
      </c>
      <c r="D577" s="8">
        <f>-PV(B577/100,5,B576/100,1)</f>
        <v/>
      </c>
      <c r="E577" s="8">
        <f>-PV(C577/100,7,C576/100,1)</f>
        <v/>
      </c>
      <c r="F577" s="8">
        <f>$B$3*(B576/100/12+(D577-1))+$B$4*(C576/100/12+(E577-1))</f>
        <v/>
      </c>
      <c r="G577" s="8">
        <f>G576*(1+F577)</f>
        <v/>
      </c>
    </row>
    <row r="578">
      <c r="A578" s="8" t="inlineStr">
        <is>
          <t>2000-11-01</t>
        </is>
      </c>
      <c r="B578" s="6" t="n">
        <v>5.7</v>
      </c>
      <c r="C578" s="6" t="n">
        <v>8.279999999999999</v>
      </c>
      <c r="D578" s="8">
        <f>-PV(B578/100,5,B577/100,1)</f>
        <v/>
      </c>
      <c r="E578" s="8">
        <f>-PV(C578/100,7,C577/100,1)</f>
        <v/>
      </c>
      <c r="F578" s="8">
        <f>$B$3*(B577/100/12+(D578-1))+$B$4*(C577/100/12+(E578-1))</f>
        <v/>
      </c>
      <c r="G578" s="8">
        <f>G577*(1+F578)</f>
        <v/>
      </c>
    </row>
    <row r="579">
      <c r="A579" s="8" t="inlineStr">
        <is>
          <t>2000-12-01</t>
        </is>
      </c>
      <c r="B579" s="6" t="n">
        <v>5.17</v>
      </c>
      <c r="C579" s="6" t="n">
        <v>8.02</v>
      </c>
      <c r="D579" s="8">
        <f>-PV(B579/100,5,B578/100,1)</f>
        <v/>
      </c>
      <c r="E579" s="8">
        <f>-PV(C579/100,7,C578/100,1)</f>
        <v/>
      </c>
      <c r="F579" s="8">
        <f>$B$3*(B578/100/12+(D579-1))+$B$4*(C578/100/12+(E579-1))</f>
        <v/>
      </c>
      <c r="G579" s="8">
        <f>G578*(1+F579)</f>
        <v/>
      </c>
    </row>
    <row r="580">
      <c r="A580" s="8" t="inlineStr">
        <is>
          <t>2001-01-01</t>
        </is>
      </c>
      <c r="B580" s="6" t="n">
        <v>4.86</v>
      </c>
      <c r="C580" s="6" t="n">
        <v>7.93</v>
      </c>
      <c r="D580" s="8">
        <f>-PV(B580/100,5,B579/100,1)</f>
        <v/>
      </c>
      <c r="E580" s="8">
        <f>-PV(C580/100,7,C579/100,1)</f>
        <v/>
      </c>
      <c r="F580" s="8">
        <f>$B$3*(B579/100/12+(D580-1))+$B$4*(C579/100/12+(E580-1))</f>
        <v/>
      </c>
      <c r="G580" s="8">
        <f>G579*(1+F580)</f>
        <v/>
      </c>
    </row>
    <row r="581">
      <c r="A581" s="8" t="inlineStr">
        <is>
          <t>2001-02-01</t>
        </is>
      </c>
      <c r="B581" s="6" t="n">
        <v>4.89</v>
      </c>
      <c r="C581" s="6" t="n">
        <v>7.87</v>
      </c>
      <c r="D581" s="8">
        <f>-PV(B581/100,5,B580/100,1)</f>
        <v/>
      </c>
      <c r="E581" s="8">
        <f>-PV(C581/100,7,C580/100,1)</f>
        <v/>
      </c>
      <c r="F581" s="8">
        <f>$B$3*(B580/100/12+(D581-1))+$B$4*(C580/100/12+(E581-1))</f>
        <v/>
      </c>
      <c r="G581" s="8">
        <f>G580*(1+F581)</f>
        <v/>
      </c>
    </row>
    <row r="582">
      <c r="A582" s="8" t="inlineStr">
        <is>
          <t>2001-03-01</t>
        </is>
      </c>
      <c r="B582" s="6" t="n">
        <v>4.64</v>
      </c>
      <c r="C582" s="6" t="n">
        <v>7.84</v>
      </c>
      <c r="D582" s="8">
        <f>-PV(B582/100,5,B581/100,1)</f>
        <v/>
      </c>
      <c r="E582" s="8">
        <f>-PV(C582/100,7,C581/100,1)</f>
        <v/>
      </c>
      <c r="F582" s="8">
        <f>$B$3*(B581/100/12+(D582-1))+$B$4*(C581/100/12+(E582-1))</f>
        <v/>
      </c>
      <c r="G582" s="8">
        <f>G581*(1+F582)</f>
        <v/>
      </c>
    </row>
    <row r="583">
      <c r="A583" s="8" t="inlineStr">
        <is>
          <t>2001-04-01</t>
        </is>
      </c>
      <c r="B583" s="6" t="n">
        <v>4.76</v>
      </c>
      <c r="C583" s="6" t="n">
        <v>8.07</v>
      </c>
      <c r="D583" s="8">
        <f>-PV(B583/100,5,B582/100,1)</f>
        <v/>
      </c>
      <c r="E583" s="8">
        <f>-PV(C583/100,7,C582/100,1)</f>
        <v/>
      </c>
      <c r="F583" s="8">
        <f>$B$3*(B582/100/12+(D583-1))+$B$4*(C582/100/12+(E583-1))</f>
        <v/>
      </c>
      <c r="G583" s="8">
        <f>G582*(1+F583)</f>
        <v/>
      </c>
    </row>
    <row r="584">
      <c r="A584" s="8" t="inlineStr">
        <is>
          <t>2001-05-01</t>
        </is>
      </c>
      <c r="B584" s="6" t="n">
        <v>4.93</v>
      </c>
      <c r="C584" s="6" t="n">
        <v>8.07</v>
      </c>
      <c r="D584" s="8">
        <f>-PV(B584/100,5,B583/100,1)</f>
        <v/>
      </c>
      <c r="E584" s="8">
        <f>-PV(C584/100,7,C583/100,1)</f>
        <v/>
      </c>
      <c r="F584" s="8">
        <f>$B$3*(B583/100/12+(D584-1))+$B$4*(C583/100/12+(E584-1))</f>
        <v/>
      </c>
      <c r="G584" s="8">
        <f>G583*(1+F584)</f>
        <v/>
      </c>
    </row>
    <row r="585">
      <c r="A585" s="8" t="inlineStr">
        <is>
          <t>2001-06-01</t>
        </is>
      </c>
      <c r="B585" s="6" t="n">
        <v>4.81</v>
      </c>
      <c r="C585" s="6" t="n">
        <v>7.97</v>
      </c>
      <c r="D585" s="8">
        <f>-PV(B585/100,5,B584/100,1)</f>
        <v/>
      </c>
      <c r="E585" s="8">
        <f>-PV(C585/100,7,C584/100,1)</f>
        <v/>
      </c>
      <c r="F585" s="8">
        <f>$B$3*(B584/100/12+(D585-1))+$B$4*(C584/100/12+(E585-1))</f>
        <v/>
      </c>
      <c r="G585" s="8">
        <f>G584*(1+F585)</f>
        <v/>
      </c>
    </row>
    <row r="586">
      <c r="A586" s="8" t="inlineStr">
        <is>
          <t>2001-07-01</t>
        </is>
      </c>
      <c r="B586" s="6" t="n">
        <v>4.76</v>
      </c>
      <c r="C586" s="6" t="n">
        <v>7.97</v>
      </c>
      <c r="D586" s="8">
        <f>-PV(B586/100,5,B585/100,1)</f>
        <v/>
      </c>
      <c r="E586" s="8">
        <f>-PV(C586/100,7,C585/100,1)</f>
        <v/>
      </c>
      <c r="F586" s="8">
        <f>$B$3*(B585/100/12+(D586-1))+$B$4*(C585/100/12+(E586-1))</f>
        <v/>
      </c>
      <c r="G586" s="8">
        <f>G585*(1+F586)</f>
        <v/>
      </c>
    </row>
    <row r="587">
      <c r="A587" s="8" t="inlineStr">
        <is>
          <t>2001-08-01</t>
        </is>
      </c>
      <c r="B587" s="6" t="n">
        <v>4.57</v>
      </c>
      <c r="C587" s="6" t="n">
        <v>7.85</v>
      </c>
      <c r="D587" s="8">
        <f>-PV(B587/100,5,B586/100,1)</f>
        <v/>
      </c>
      <c r="E587" s="8">
        <f>-PV(C587/100,7,C586/100,1)</f>
        <v/>
      </c>
      <c r="F587" s="8">
        <f>$B$3*(B586/100/12+(D587-1))+$B$4*(C586/100/12+(E587-1))</f>
        <v/>
      </c>
      <c r="G587" s="8">
        <f>G586*(1+F587)</f>
        <v/>
      </c>
    </row>
    <row r="588">
      <c r="A588" s="8" t="inlineStr">
        <is>
          <t>2001-09-01</t>
        </is>
      </c>
      <c r="B588" s="6" t="n">
        <v>4.12</v>
      </c>
      <c r="C588" s="6" t="n">
        <v>8.029999999999999</v>
      </c>
      <c r="D588" s="8">
        <f>-PV(B588/100,5,B587/100,1)</f>
        <v/>
      </c>
      <c r="E588" s="8">
        <f>-PV(C588/100,7,C587/100,1)</f>
        <v/>
      </c>
      <c r="F588" s="8">
        <f>$B$3*(B587/100/12+(D588-1))+$B$4*(C587/100/12+(E588-1))</f>
        <v/>
      </c>
      <c r="G588" s="8">
        <f>G587*(1+F588)</f>
        <v/>
      </c>
    </row>
    <row r="589">
      <c r="A589" s="8" t="inlineStr">
        <is>
          <t>2001-10-01</t>
        </is>
      </c>
      <c r="B589" s="6" t="n">
        <v>3.91</v>
      </c>
      <c r="C589" s="6" t="n">
        <v>7.91</v>
      </c>
      <c r="D589" s="8">
        <f>-PV(B589/100,5,B588/100,1)</f>
        <v/>
      </c>
      <c r="E589" s="8">
        <f>-PV(C589/100,7,C588/100,1)</f>
        <v/>
      </c>
      <c r="F589" s="8">
        <f>$B$3*(B588/100/12+(D589-1))+$B$4*(C588/100/12+(E589-1))</f>
        <v/>
      </c>
      <c r="G589" s="8">
        <f>G588*(1+F589)</f>
        <v/>
      </c>
    </row>
    <row r="590">
      <c r="A590" s="8" t="inlineStr">
        <is>
          <t>2001-11-01</t>
        </is>
      </c>
      <c r="B590" s="6" t="n">
        <v>3.97</v>
      </c>
      <c r="C590" s="6" t="n">
        <v>7.81</v>
      </c>
      <c r="D590" s="8">
        <f>-PV(B590/100,5,B589/100,1)</f>
        <v/>
      </c>
      <c r="E590" s="8">
        <f>-PV(C590/100,7,C589/100,1)</f>
        <v/>
      </c>
      <c r="F590" s="8">
        <f>$B$3*(B589/100/12+(D590-1))+$B$4*(C589/100/12+(E590-1))</f>
        <v/>
      </c>
      <c r="G590" s="8">
        <f>G589*(1+F590)</f>
        <v/>
      </c>
    </row>
    <row r="591">
      <c r="A591" s="8" t="inlineStr">
        <is>
          <t>2001-12-01</t>
        </is>
      </c>
      <c r="B591" s="6" t="n">
        <v>4.39</v>
      </c>
      <c r="C591" s="6" t="n">
        <v>8.050000000000001</v>
      </c>
      <c r="D591" s="8">
        <f>-PV(B591/100,5,B590/100,1)</f>
        <v/>
      </c>
      <c r="E591" s="8">
        <f>-PV(C591/100,7,C590/100,1)</f>
        <v/>
      </c>
      <c r="F591" s="8">
        <f>$B$3*(B590/100/12+(D591-1))+$B$4*(C590/100/12+(E591-1))</f>
        <v/>
      </c>
      <c r="G591" s="8">
        <f>G590*(1+F591)</f>
        <v/>
      </c>
    </row>
    <row r="592">
      <c r="A592" s="8" t="inlineStr">
        <is>
          <t>2002-01-01</t>
        </is>
      </c>
      <c r="B592" s="6" t="n">
        <v>4.34</v>
      </c>
      <c r="C592" s="6" t="n">
        <v>7.87</v>
      </c>
      <c r="D592" s="8">
        <f>-PV(B592/100,5,B591/100,1)</f>
        <v/>
      </c>
      <c r="E592" s="8">
        <f>-PV(C592/100,7,C591/100,1)</f>
        <v/>
      </c>
      <c r="F592" s="8">
        <f>$B$3*(B591/100/12+(D592-1))+$B$4*(C591/100/12+(E592-1))</f>
        <v/>
      </c>
      <c r="G592" s="8">
        <f>G591*(1+F592)</f>
        <v/>
      </c>
    </row>
    <row r="593">
      <c r="A593" s="8" t="inlineStr">
        <is>
          <t>2002-02-01</t>
        </is>
      </c>
      <c r="B593" s="6" t="n">
        <v>4.3</v>
      </c>
      <c r="C593" s="6" t="n">
        <v>7.89</v>
      </c>
      <c r="D593" s="8">
        <f>-PV(B593/100,5,B592/100,1)</f>
        <v/>
      </c>
      <c r="E593" s="8">
        <f>-PV(C593/100,7,C592/100,1)</f>
        <v/>
      </c>
      <c r="F593" s="8">
        <f>$B$3*(B592/100/12+(D593-1))+$B$4*(C592/100/12+(E593-1))</f>
        <v/>
      </c>
      <c r="G593" s="8">
        <f>G592*(1+F593)</f>
        <v/>
      </c>
    </row>
    <row r="594">
      <c r="A594" s="8" t="inlineStr">
        <is>
          <t>2002-03-01</t>
        </is>
      </c>
      <c r="B594" s="6" t="n">
        <v>4.74</v>
      </c>
      <c r="C594" s="6" t="n">
        <v>8.109999999999999</v>
      </c>
      <c r="D594" s="8">
        <f>-PV(B594/100,5,B593/100,1)</f>
        <v/>
      </c>
      <c r="E594" s="8">
        <f>-PV(C594/100,7,C593/100,1)</f>
        <v/>
      </c>
      <c r="F594" s="8">
        <f>$B$3*(B593/100/12+(D594-1))+$B$4*(C593/100/12+(E594-1))</f>
        <v/>
      </c>
      <c r="G594" s="8">
        <f>G593*(1+F594)</f>
        <v/>
      </c>
    </row>
    <row r="595">
      <c r="A595" s="8" t="inlineStr">
        <is>
          <t>2002-04-01</t>
        </is>
      </c>
      <c r="B595" s="6" t="n">
        <v>4.65</v>
      </c>
      <c r="C595" s="6" t="n">
        <v>8.029999999999999</v>
      </c>
      <c r="D595" s="8">
        <f>-PV(B595/100,5,B594/100,1)</f>
        <v/>
      </c>
      <c r="E595" s="8">
        <f>-PV(C595/100,7,C594/100,1)</f>
        <v/>
      </c>
      <c r="F595" s="8">
        <f>$B$3*(B594/100/12+(D595-1))+$B$4*(C594/100/12+(E595-1))</f>
        <v/>
      </c>
      <c r="G595" s="8">
        <f>G594*(1+F595)</f>
        <v/>
      </c>
    </row>
    <row r="596">
      <c r="A596" s="8" t="inlineStr">
        <is>
          <t>2002-05-01</t>
        </is>
      </c>
      <c r="B596" s="6" t="n">
        <v>4.49</v>
      </c>
      <c r="C596" s="6" t="n">
        <v>8.09</v>
      </c>
      <c r="D596" s="8">
        <f>-PV(B596/100,5,B595/100,1)</f>
        <v/>
      </c>
      <c r="E596" s="8">
        <f>-PV(C596/100,7,C595/100,1)</f>
        <v/>
      </c>
      <c r="F596" s="8">
        <f>$B$3*(B595/100/12+(D596-1))+$B$4*(C595/100/12+(E596-1))</f>
        <v/>
      </c>
      <c r="G596" s="8">
        <f>G595*(1+F596)</f>
        <v/>
      </c>
    </row>
    <row r="597">
      <c r="A597" s="8" t="inlineStr">
        <is>
          <t>2002-06-01</t>
        </is>
      </c>
      <c r="B597" s="6" t="n">
        <v>4.19</v>
      </c>
      <c r="C597" s="6" t="n">
        <v>7.95</v>
      </c>
      <c r="D597" s="8">
        <f>-PV(B597/100,5,B596/100,1)</f>
        <v/>
      </c>
      <c r="E597" s="8">
        <f>-PV(C597/100,7,C596/100,1)</f>
        <v/>
      </c>
      <c r="F597" s="8">
        <f>$B$3*(B596/100/12+(D597-1))+$B$4*(C596/100/12+(E597-1))</f>
        <v/>
      </c>
      <c r="G597" s="8">
        <f>G596*(1+F597)</f>
        <v/>
      </c>
    </row>
    <row r="598">
      <c r="A598" s="8" t="inlineStr">
        <is>
          <t>2002-07-01</t>
        </is>
      </c>
      <c r="B598" s="6" t="n">
        <v>3.81</v>
      </c>
      <c r="C598" s="6" t="n">
        <v>7.9</v>
      </c>
      <c r="D598" s="8">
        <f>-PV(B598/100,5,B597/100,1)</f>
        <v/>
      </c>
      <c r="E598" s="8">
        <f>-PV(C598/100,7,C597/100,1)</f>
        <v/>
      </c>
      <c r="F598" s="8">
        <f>$B$3*(B597/100/12+(D598-1))+$B$4*(C597/100/12+(E598-1))</f>
        <v/>
      </c>
      <c r="G598" s="8">
        <f>G597*(1+F598)</f>
        <v/>
      </c>
    </row>
    <row r="599">
      <c r="A599" s="8" t="inlineStr">
        <is>
          <t>2002-08-01</t>
        </is>
      </c>
      <c r="B599" s="6" t="n">
        <v>3.29</v>
      </c>
      <c r="C599" s="6" t="n">
        <v>7.58</v>
      </c>
      <c r="D599" s="8">
        <f>-PV(B599/100,5,B598/100,1)</f>
        <v/>
      </c>
      <c r="E599" s="8">
        <f>-PV(C599/100,7,C598/100,1)</f>
        <v/>
      </c>
      <c r="F599" s="8">
        <f>$B$3*(B598/100/12+(D599-1))+$B$4*(C598/100/12+(E599-1))</f>
        <v/>
      </c>
      <c r="G599" s="8">
        <f>G598*(1+F599)</f>
        <v/>
      </c>
    </row>
    <row r="600">
      <c r="A600" s="8" t="inlineStr">
        <is>
          <t>2002-09-01</t>
        </is>
      </c>
      <c r="B600" s="6" t="n">
        <v>2.94</v>
      </c>
      <c r="C600" s="6" t="n">
        <v>7.4</v>
      </c>
      <c r="D600" s="8">
        <f>-PV(B600/100,5,B599/100,1)</f>
        <v/>
      </c>
      <c r="E600" s="8">
        <f>-PV(C600/100,7,C599/100,1)</f>
        <v/>
      </c>
      <c r="F600" s="8">
        <f>$B$3*(B599/100/12+(D600-1))+$B$4*(C599/100/12+(E600-1))</f>
        <v/>
      </c>
      <c r="G600" s="8">
        <f>G599*(1+F600)</f>
        <v/>
      </c>
    </row>
    <row r="601">
      <c r="A601" s="8" t="inlineStr">
        <is>
          <t>2002-10-01</t>
        </is>
      </c>
      <c r="B601" s="6" t="n">
        <v>2.95</v>
      </c>
      <c r="C601" s="6" t="n">
        <v>7.73</v>
      </c>
      <c r="D601" s="8">
        <f>-PV(B601/100,5,B600/100,1)</f>
        <v/>
      </c>
      <c r="E601" s="8">
        <f>-PV(C601/100,7,C600/100,1)</f>
        <v/>
      </c>
      <c r="F601" s="8">
        <f>$B$3*(B600/100/12+(D601-1))+$B$4*(C600/100/12+(E601-1))</f>
        <v/>
      </c>
      <c r="G601" s="8">
        <f>G600*(1+F601)</f>
        <v/>
      </c>
    </row>
    <row r="602">
      <c r="A602" s="8" t="inlineStr">
        <is>
          <t>2002-11-01</t>
        </is>
      </c>
      <c r="B602" s="6" t="n">
        <v>3.05</v>
      </c>
      <c r="C602" s="6" t="n">
        <v>7.62</v>
      </c>
      <c r="D602" s="8">
        <f>-PV(B602/100,5,B601/100,1)</f>
        <v/>
      </c>
      <c r="E602" s="8">
        <f>-PV(C602/100,7,C601/100,1)</f>
        <v/>
      </c>
      <c r="F602" s="8">
        <f>$B$3*(B601/100/12+(D602-1))+$B$4*(C601/100/12+(E602-1))</f>
        <v/>
      </c>
      <c r="G602" s="8">
        <f>G601*(1+F602)</f>
        <v/>
      </c>
    </row>
    <row r="603">
      <c r="A603" s="8" t="inlineStr">
        <is>
          <t>2002-12-01</t>
        </is>
      </c>
      <c r="B603" s="6" t="n">
        <v>3.03</v>
      </c>
      <c r="C603" s="6" t="n">
        <v>7.45</v>
      </c>
      <c r="D603" s="8">
        <f>-PV(B603/100,5,B602/100,1)</f>
        <v/>
      </c>
      <c r="E603" s="8">
        <f>-PV(C603/100,7,C602/100,1)</f>
        <v/>
      </c>
      <c r="F603" s="8">
        <f>$B$3*(B602/100/12+(D603-1))+$B$4*(C602/100/12+(E603-1))</f>
        <v/>
      </c>
      <c r="G603" s="8">
        <f>G602*(1+F603)</f>
        <v/>
      </c>
    </row>
    <row r="604">
      <c r="A604" s="8" t="inlineStr">
        <is>
          <t>2003-01-01</t>
        </is>
      </c>
      <c r="B604" s="6" t="n">
        <v>3.05</v>
      </c>
      <c r="C604" s="6" t="n">
        <v>7.35</v>
      </c>
      <c r="D604" s="8">
        <f>-PV(B604/100,5,B603/100,1)</f>
        <v/>
      </c>
      <c r="E604" s="8">
        <f>-PV(C604/100,7,C603/100,1)</f>
        <v/>
      </c>
      <c r="F604" s="8">
        <f>$B$3*(B603/100/12+(D604-1))+$B$4*(C603/100/12+(E604-1))</f>
        <v/>
      </c>
      <c r="G604" s="8">
        <f>G603*(1+F604)</f>
        <v/>
      </c>
    </row>
    <row r="605">
      <c r="A605" s="8" t="inlineStr">
        <is>
          <t>2003-02-01</t>
        </is>
      </c>
      <c r="B605" s="6" t="n">
        <v>2.9</v>
      </c>
      <c r="C605" s="6" t="n">
        <v>7.06</v>
      </c>
      <c r="D605" s="8">
        <f>-PV(B605/100,5,B604/100,1)</f>
        <v/>
      </c>
      <c r="E605" s="8">
        <f>-PV(C605/100,7,C604/100,1)</f>
        <v/>
      </c>
      <c r="F605" s="8">
        <f>$B$3*(B604/100/12+(D605-1))+$B$4*(C604/100/12+(E605-1))</f>
        <v/>
      </c>
      <c r="G605" s="8">
        <f>G604*(1+F605)</f>
        <v/>
      </c>
    </row>
    <row r="606">
      <c r="A606" s="8" t="inlineStr">
        <is>
          <t>2003-03-01</t>
        </is>
      </c>
      <c r="B606" s="6" t="n">
        <v>2.78</v>
      </c>
      <c r="C606" s="6" t="n">
        <v>6.95</v>
      </c>
      <c r="D606" s="8">
        <f>-PV(B606/100,5,B605/100,1)</f>
        <v/>
      </c>
      <c r="E606" s="8">
        <f>-PV(C606/100,7,C605/100,1)</f>
        <v/>
      </c>
      <c r="F606" s="8">
        <f>$B$3*(B605/100/12+(D606-1))+$B$4*(C605/100/12+(E606-1))</f>
        <v/>
      </c>
      <c r="G606" s="8">
        <f>G605*(1+F606)</f>
        <v/>
      </c>
    </row>
    <row r="607">
      <c r="A607" s="8" t="inlineStr">
        <is>
          <t>2003-04-01</t>
        </is>
      </c>
      <c r="B607" s="6" t="n">
        <v>2.93</v>
      </c>
      <c r="C607" s="6" t="n">
        <v>6.85</v>
      </c>
      <c r="D607" s="8">
        <f>-PV(B607/100,5,B606/100,1)</f>
        <v/>
      </c>
      <c r="E607" s="8">
        <f>-PV(C607/100,7,C606/100,1)</f>
        <v/>
      </c>
      <c r="F607" s="8">
        <f>$B$3*(B606/100/12+(D607-1))+$B$4*(C606/100/12+(E607-1))</f>
        <v/>
      </c>
      <c r="G607" s="8">
        <f>G606*(1+F607)</f>
        <v/>
      </c>
    </row>
    <row r="608">
      <c r="A608" s="8" t="inlineStr">
        <is>
          <t>2003-05-01</t>
        </is>
      </c>
      <c r="B608" s="6" t="n">
        <v>2.52</v>
      </c>
      <c r="C608" s="6" t="n">
        <v>6.38</v>
      </c>
      <c r="D608" s="8">
        <f>-PV(B608/100,5,B607/100,1)</f>
        <v/>
      </c>
      <c r="E608" s="8">
        <f>-PV(C608/100,7,C607/100,1)</f>
        <v/>
      </c>
      <c r="F608" s="8">
        <f>$B$3*(B607/100/12+(D608-1))+$B$4*(C607/100/12+(E608-1))</f>
        <v/>
      </c>
      <c r="G608" s="8">
        <f>G607*(1+F608)</f>
        <v/>
      </c>
    </row>
    <row r="609">
      <c r="A609" s="8" t="inlineStr">
        <is>
          <t>2003-06-01</t>
        </is>
      </c>
      <c r="B609" s="6" t="n">
        <v>2.27</v>
      </c>
      <c r="C609" s="6" t="n">
        <v>6.19</v>
      </c>
      <c r="D609" s="8">
        <f>-PV(B609/100,5,B608/100,1)</f>
        <v/>
      </c>
      <c r="E609" s="8">
        <f>-PV(C609/100,7,C608/100,1)</f>
        <v/>
      </c>
      <c r="F609" s="8">
        <f>$B$3*(B608/100/12+(D609-1))+$B$4*(C608/100/12+(E609-1))</f>
        <v/>
      </c>
      <c r="G609" s="8">
        <f>G608*(1+F609)</f>
        <v/>
      </c>
    </row>
    <row r="610">
      <c r="A610" s="8" t="inlineStr">
        <is>
          <t>2003-07-01</t>
        </is>
      </c>
      <c r="B610" s="6" t="n">
        <v>2.87</v>
      </c>
      <c r="C610" s="6" t="n">
        <v>6.62</v>
      </c>
      <c r="D610" s="8">
        <f>-PV(B610/100,5,B609/100,1)</f>
        <v/>
      </c>
      <c r="E610" s="8">
        <f>-PV(C610/100,7,C609/100,1)</f>
        <v/>
      </c>
      <c r="F610" s="8">
        <f>$B$3*(B609/100/12+(D610-1))+$B$4*(C609/100/12+(E610-1))</f>
        <v/>
      </c>
      <c r="G610" s="8">
        <f>G609*(1+F610)</f>
        <v/>
      </c>
    </row>
    <row r="611">
      <c r="A611" s="8" t="inlineStr">
        <is>
          <t>2003-08-01</t>
        </is>
      </c>
      <c r="B611" s="6" t="n">
        <v>3.37</v>
      </c>
      <c r="C611" s="6" t="n">
        <v>7.01</v>
      </c>
      <c r="D611" s="8">
        <f>-PV(B611/100,5,B610/100,1)</f>
        <v/>
      </c>
      <c r="E611" s="8">
        <f>-PV(C611/100,7,C610/100,1)</f>
        <v/>
      </c>
      <c r="F611" s="8">
        <f>$B$3*(B610/100/12+(D611-1))+$B$4*(C610/100/12+(E611-1))</f>
        <v/>
      </c>
      <c r="G611" s="8">
        <f>G610*(1+F611)</f>
        <v/>
      </c>
    </row>
    <row r="612">
      <c r="A612" s="8" t="inlineStr">
        <is>
          <t>2003-09-01</t>
        </is>
      </c>
      <c r="B612" s="6" t="n">
        <v>3.18</v>
      </c>
      <c r="C612" s="6" t="n">
        <v>6.79</v>
      </c>
      <c r="D612" s="8">
        <f>-PV(B612/100,5,B611/100,1)</f>
        <v/>
      </c>
      <c r="E612" s="8">
        <f>-PV(C612/100,7,C611/100,1)</f>
        <v/>
      </c>
      <c r="F612" s="8">
        <f>$B$3*(B611/100/12+(D612-1))+$B$4*(C611/100/12+(E612-1))</f>
        <v/>
      </c>
      <c r="G612" s="8">
        <f>G611*(1+F612)</f>
        <v/>
      </c>
    </row>
    <row r="613">
      <c r="A613" s="8" t="inlineStr">
        <is>
          <t>2003-10-01</t>
        </is>
      </c>
      <c r="B613" s="6" t="n">
        <v>3.19</v>
      </c>
      <c r="C613" s="6" t="n">
        <v>6.73</v>
      </c>
      <c r="D613" s="8">
        <f>-PV(B613/100,5,B612/100,1)</f>
        <v/>
      </c>
      <c r="E613" s="8">
        <f>-PV(C613/100,7,C612/100,1)</f>
        <v/>
      </c>
      <c r="F613" s="8">
        <f>$B$3*(B612/100/12+(D613-1))+$B$4*(C612/100/12+(E613-1))</f>
        <v/>
      </c>
      <c r="G613" s="8">
        <f>G612*(1+F613)</f>
        <v/>
      </c>
    </row>
    <row r="614">
      <c r="A614" s="8" t="inlineStr">
        <is>
          <t>2003-11-01</t>
        </is>
      </c>
      <c r="B614" s="6" t="n">
        <v>3.29</v>
      </c>
      <c r="C614" s="6" t="n">
        <v>6.66</v>
      </c>
      <c r="D614" s="8">
        <f>-PV(B614/100,5,B613/100,1)</f>
        <v/>
      </c>
      <c r="E614" s="8">
        <f>-PV(C614/100,7,C613/100,1)</f>
        <v/>
      </c>
      <c r="F614" s="8">
        <f>$B$3*(B613/100/12+(D614-1))+$B$4*(C613/100/12+(E614-1))</f>
        <v/>
      </c>
      <c r="G614" s="8">
        <f>G613*(1+F614)</f>
        <v/>
      </c>
    </row>
    <row r="615">
      <c r="A615" s="8" t="inlineStr">
        <is>
          <t>2003-12-01</t>
        </is>
      </c>
      <c r="B615" s="6" t="n">
        <v>3.27</v>
      </c>
      <c r="C615" s="6" t="n">
        <v>6.6</v>
      </c>
      <c r="D615" s="8">
        <f>-PV(B615/100,5,B614/100,1)</f>
        <v/>
      </c>
      <c r="E615" s="8">
        <f>-PV(C615/100,7,C614/100,1)</f>
        <v/>
      </c>
      <c r="F615" s="8">
        <f>$B$3*(B614/100/12+(D615-1))+$B$4*(C614/100/12+(E615-1))</f>
        <v/>
      </c>
      <c r="G615" s="8">
        <f>G614*(1+F615)</f>
        <v/>
      </c>
    </row>
    <row r="616">
      <c r="A616" s="8" t="inlineStr">
        <is>
          <t>2004-01-01</t>
        </is>
      </c>
      <c r="B616" s="6" t="n">
        <v>3.12</v>
      </c>
      <c r="C616" s="6" t="n">
        <v>6.44</v>
      </c>
      <c r="D616" s="8">
        <f>-PV(B616/100,5,B615/100,1)</f>
        <v/>
      </c>
      <c r="E616" s="8">
        <f>-PV(C616/100,7,C615/100,1)</f>
        <v/>
      </c>
      <c r="F616" s="8">
        <f>$B$3*(B615/100/12+(D616-1))+$B$4*(C615/100/12+(E616-1))</f>
        <v/>
      </c>
      <c r="G616" s="8">
        <f>G615*(1+F616)</f>
        <v/>
      </c>
    </row>
    <row r="617">
      <c r="A617" s="8" t="inlineStr">
        <is>
          <t>2004-02-01</t>
        </is>
      </c>
      <c r="B617" s="6" t="n">
        <v>3.07</v>
      </c>
      <c r="C617" s="6" t="n">
        <v>6.27</v>
      </c>
      <c r="D617" s="8">
        <f>-PV(B617/100,5,B616/100,1)</f>
        <v/>
      </c>
      <c r="E617" s="8">
        <f>-PV(C617/100,7,C616/100,1)</f>
        <v/>
      </c>
      <c r="F617" s="8">
        <f>$B$3*(B616/100/12+(D617-1))+$B$4*(C616/100/12+(E617-1))</f>
        <v/>
      </c>
      <c r="G617" s="8">
        <f>G616*(1+F617)</f>
        <v/>
      </c>
    </row>
    <row r="618">
      <c r="A618" s="8" t="inlineStr">
        <is>
          <t>2004-03-01</t>
        </is>
      </c>
      <c r="B618" s="6" t="n">
        <v>2.79</v>
      </c>
      <c r="C618" s="6" t="n">
        <v>6.11</v>
      </c>
      <c r="D618" s="8">
        <f>-PV(B618/100,5,B617/100,1)</f>
        <v/>
      </c>
      <c r="E618" s="8">
        <f>-PV(C618/100,7,C617/100,1)</f>
        <v/>
      </c>
      <c r="F618" s="8">
        <f>$B$3*(B617/100/12+(D618-1))+$B$4*(C617/100/12+(E618-1))</f>
        <v/>
      </c>
      <c r="G618" s="8">
        <f>G617*(1+F618)</f>
        <v/>
      </c>
    </row>
    <row r="619">
      <c r="A619" s="8" t="inlineStr">
        <is>
          <t>2004-04-01</t>
        </is>
      </c>
      <c r="B619" s="6" t="n">
        <v>3.39</v>
      </c>
      <c r="C619" s="6" t="n">
        <v>6.46</v>
      </c>
      <c r="D619" s="8">
        <f>-PV(B619/100,5,B618/100,1)</f>
        <v/>
      </c>
      <c r="E619" s="8">
        <f>-PV(C619/100,7,C618/100,1)</f>
        <v/>
      </c>
      <c r="F619" s="8">
        <f>$B$3*(B618/100/12+(D619-1))+$B$4*(C618/100/12+(E619-1))</f>
        <v/>
      </c>
      <c r="G619" s="8">
        <f>G618*(1+F619)</f>
        <v/>
      </c>
    </row>
    <row r="620">
      <c r="A620" s="8" t="inlineStr">
        <is>
          <t>2004-05-01</t>
        </is>
      </c>
      <c r="B620" s="6" t="n">
        <v>3.85</v>
      </c>
      <c r="C620" s="6" t="n">
        <v>6.75</v>
      </c>
      <c r="D620" s="8">
        <f>-PV(B620/100,5,B619/100,1)</f>
        <v/>
      </c>
      <c r="E620" s="8">
        <f>-PV(C620/100,7,C619/100,1)</f>
        <v/>
      </c>
      <c r="F620" s="8">
        <f>$B$3*(B619/100/12+(D620-1))+$B$4*(C619/100/12+(E620-1))</f>
        <v/>
      </c>
      <c r="G620" s="8">
        <f>G619*(1+F620)</f>
        <v/>
      </c>
    </row>
    <row r="621">
      <c r="A621" s="8" t="inlineStr">
        <is>
          <t>2004-06-01</t>
        </is>
      </c>
      <c r="B621" s="6" t="n">
        <v>3.93</v>
      </c>
      <c r="C621" s="6" t="n">
        <v>6.78</v>
      </c>
      <c r="D621" s="8">
        <f>-PV(B621/100,5,B620/100,1)</f>
        <v/>
      </c>
      <c r="E621" s="8">
        <f>-PV(C621/100,7,C620/100,1)</f>
        <v/>
      </c>
      <c r="F621" s="8">
        <f>$B$3*(B620/100/12+(D621-1))+$B$4*(C620/100/12+(E621-1))</f>
        <v/>
      </c>
      <c r="G621" s="8">
        <f>G620*(1+F621)</f>
        <v/>
      </c>
    </row>
    <row r="622">
      <c r="A622" s="8" t="inlineStr">
        <is>
          <t>2004-07-01</t>
        </is>
      </c>
      <c r="B622" s="6" t="n">
        <v>3.69</v>
      </c>
      <c r="C622" s="6" t="n">
        <v>6.62</v>
      </c>
      <c r="D622" s="8">
        <f>-PV(B622/100,5,B621/100,1)</f>
        <v/>
      </c>
      <c r="E622" s="8">
        <f>-PV(C622/100,7,C621/100,1)</f>
        <v/>
      </c>
      <c r="F622" s="8">
        <f>$B$3*(B621/100/12+(D622-1))+$B$4*(C621/100/12+(E622-1))</f>
        <v/>
      </c>
      <c r="G622" s="8">
        <f>G621*(1+F622)</f>
        <v/>
      </c>
    </row>
    <row r="623">
      <c r="A623" s="8" t="inlineStr">
        <is>
          <t>2004-08-01</t>
        </is>
      </c>
      <c r="B623" s="6" t="n">
        <v>3.47</v>
      </c>
      <c r="C623" s="6" t="n">
        <v>6.46</v>
      </c>
      <c r="D623" s="8">
        <f>-PV(B623/100,5,B622/100,1)</f>
        <v/>
      </c>
      <c r="E623" s="8">
        <f>-PV(C623/100,7,C622/100,1)</f>
        <v/>
      </c>
      <c r="F623" s="8">
        <f>$B$3*(B622/100/12+(D623-1))+$B$4*(C622/100/12+(E623-1))</f>
        <v/>
      </c>
      <c r="G623" s="8">
        <f>G622*(1+F623)</f>
        <v/>
      </c>
    </row>
    <row r="624">
      <c r="A624" s="8" t="inlineStr">
        <is>
          <t>2004-09-01</t>
        </is>
      </c>
      <c r="B624" s="6" t="n">
        <v>3.36</v>
      </c>
      <c r="C624" s="6" t="n">
        <v>6.27</v>
      </c>
      <c r="D624" s="8">
        <f>-PV(B624/100,5,B623/100,1)</f>
        <v/>
      </c>
      <c r="E624" s="8">
        <f>-PV(C624/100,7,C623/100,1)</f>
        <v/>
      </c>
      <c r="F624" s="8">
        <f>$B$3*(B623/100/12+(D624-1))+$B$4*(C623/100/12+(E624-1))</f>
        <v/>
      </c>
      <c r="G624" s="8">
        <f>G623*(1+F624)</f>
        <v/>
      </c>
    </row>
    <row r="625">
      <c r="A625" s="8" t="inlineStr">
        <is>
          <t>2004-10-01</t>
        </is>
      </c>
      <c r="B625" s="6" t="n">
        <v>3.35</v>
      </c>
      <c r="C625" s="6" t="n">
        <v>6.21</v>
      </c>
      <c r="D625" s="8">
        <f>-PV(B625/100,5,B624/100,1)</f>
        <v/>
      </c>
      <c r="E625" s="8">
        <f>-PV(C625/100,7,C624/100,1)</f>
        <v/>
      </c>
      <c r="F625" s="8">
        <f>$B$3*(B624/100/12+(D625-1))+$B$4*(C624/100/12+(E625-1))</f>
        <v/>
      </c>
      <c r="G625" s="8">
        <f>G624*(1+F625)</f>
        <v/>
      </c>
    </row>
    <row r="626">
      <c r="A626" s="8" t="inlineStr">
        <is>
          <t>2004-11-01</t>
        </is>
      </c>
      <c r="B626" s="6" t="n">
        <v>3.53</v>
      </c>
      <c r="C626" s="6" t="n">
        <v>6.2</v>
      </c>
      <c r="D626" s="8">
        <f>-PV(B626/100,5,B625/100,1)</f>
        <v/>
      </c>
      <c r="E626" s="8">
        <f>-PV(C626/100,7,C625/100,1)</f>
        <v/>
      </c>
      <c r="F626" s="8">
        <f>$B$3*(B625/100/12+(D626-1))+$B$4*(C625/100/12+(E626-1))</f>
        <v/>
      </c>
      <c r="G626" s="8">
        <f>G625*(1+F626)</f>
        <v/>
      </c>
    </row>
    <row r="627">
      <c r="A627" s="8" t="inlineStr">
        <is>
          <t>2004-12-01</t>
        </is>
      </c>
      <c r="B627" s="6" t="n">
        <v>3.6</v>
      </c>
      <c r="C627" s="6" t="n">
        <v>6.15</v>
      </c>
      <c r="D627" s="8">
        <f>-PV(B627/100,5,B626/100,1)</f>
        <v/>
      </c>
      <c r="E627" s="8">
        <f>-PV(C627/100,7,C626/100,1)</f>
        <v/>
      </c>
      <c r="F627" s="8">
        <f>$B$3*(B626/100/12+(D627-1))+$B$4*(C626/100/12+(E627-1))</f>
        <v/>
      </c>
      <c r="G627" s="8">
        <f>G626*(1+F627)</f>
        <v/>
      </c>
    </row>
    <row r="628">
      <c r="A628" s="8" t="inlineStr">
        <is>
          <t>2005-01-01</t>
        </is>
      </c>
      <c r="B628" s="6" t="n">
        <v>3.71</v>
      </c>
      <c r="C628" s="6" t="n">
        <v>6.02</v>
      </c>
      <c r="D628" s="8">
        <f>-PV(B628/100,5,B627/100,1)</f>
        <v/>
      </c>
      <c r="E628" s="8">
        <f>-PV(C628/100,7,C627/100,1)</f>
        <v/>
      </c>
      <c r="F628" s="8">
        <f>$B$3*(B627/100/12+(D628-1))+$B$4*(C627/100/12+(E628-1))</f>
        <v/>
      </c>
      <c r="G628" s="8">
        <f>G627*(1+F628)</f>
        <v/>
      </c>
    </row>
    <row r="629">
      <c r="A629" s="8" t="inlineStr">
        <is>
          <t>2005-02-01</t>
        </is>
      </c>
      <c r="B629" s="6" t="n">
        <v>3.77</v>
      </c>
      <c r="C629" s="6" t="n">
        <v>5.82</v>
      </c>
      <c r="D629" s="8">
        <f>-PV(B629/100,5,B628/100,1)</f>
        <v/>
      </c>
      <c r="E629" s="8">
        <f>-PV(C629/100,7,C628/100,1)</f>
        <v/>
      </c>
      <c r="F629" s="8">
        <f>$B$3*(B628/100/12+(D629-1))+$B$4*(C628/100/12+(E629-1))</f>
        <v/>
      </c>
      <c r="G629" s="8">
        <f>G628*(1+F629)</f>
        <v/>
      </c>
    </row>
    <row r="630">
      <c r="A630" s="8" t="inlineStr">
        <is>
          <t>2005-03-01</t>
        </is>
      </c>
      <c r="B630" s="6" t="n">
        <v>4.17</v>
      </c>
      <c r="C630" s="6" t="n">
        <v>6.06</v>
      </c>
      <c r="D630" s="8">
        <f>-PV(B630/100,5,B629/100,1)</f>
        <v/>
      </c>
      <c r="E630" s="8">
        <f>-PV(C630/100,7,C629/100,1)</f>
        <v/>
      </c>
      <c r="F630" s="8">
        <f>$B$3*(B629/100/12+(D630-1))+$B$4*(C629/100/12+(E630-1))</f>
        <v/>
      </c>
      <c r="G630" s="8">
        <f>G629*(1+F630)</f>
        <v/>
      </c>
    </row>
    <row r="631">
      <c r="A631" s="8" t="inlineStr">
        <is>
          <t>2005-04-01</t>
        </is>
      </c>
      <c r="B631" s="6" t="n">
        <v>4</v>
      </c>
      <c r="C631" s="6" t="n">
        <v>6.05</v>
      </c>
      <c r="D631" s="8">
        <f>-PV(B631/100,5,B630/100,1)</f>
        <v/>
      </c>
      <c r="E631" s="8">
        <f>-PV(C631/100,7,C630/100,1)</f>
        <v/>
      </c>
      <c r="F631" s="8">
        <f>$B$3*(B630/100/12+(D631-1))+$B$4*(C630/100/12+(E631-1))</f>
        <v/>
      </c>
      <c r="G631" s="8">
        <f>G630*(1+F631)</f>
        <v/>
      </c>
    </row>
    <row r="632">
      <c r="A632" s="8" t="inlineStr">
        <is>
          <t>2005-05-01</t>
        </is>
      </c>
      <c r="B632" s="6" t="n">
        <v>3.85</v>
      </c>
      <c r="C632" s="6" t="n">
        <v>6.01</v>
      </c>
      <c r="D632" s="8">
        <f>-PV(B632/100,5,B631/100,1)</f>
        <v/>
      </c>
      <c r="E632" s="8">
        <f>-PV(C632/100,7,C631/100,1)</f>
        <v/>
      </c>
      <c r="F632" s="8">
        <f>$B$3*(B631/100/12+(D632-1))+$B$4*(C631/100/12+(E632-1))</f>
        <v/>
      </c>
      <c r="G632" s="8">
        <f>G631*(1+F632)</f>
        <v/>
      </c>
    </row>
    <row r="633">
      <c r="A633" s="8" t="inlineStr">
        <is>
          <t>2005-06-01</t>
        </is>
      </c>
      <c r="B633" s="6" t="n">
        <v>3.77</v>
      </c>
      <c r="C633" s="6" t="n">
        <v>5.86</v>
      </c>
      <c r="D633" s="8">
        <f>-PV(B633/100,5,B632/100,1)</f>
        <v/>
      </c>
      <c r="E633" s="8">
        <f>-PV(C633/100,7,C632/100,1)</f>
        <v/>
      </c>
      <c r="F633" s="8">
        <f>$B$3*(B632/100/12+(D633-1))+$B$4*(C632/100/12+(E633-1))</f>
        <v/>
      </c>
      <c r="G633" s="8">
        <f>G632*(1+F633)</f>
        <v/>
      </c>
    </row>
    <row r="634">
      <c r="A634" s="8" t="inlineStr">
        <is>
          <t>2005-07-01</t>
        </is>
      </c>
      <c r="B634" s="6" t="n">
        <v>3.98</v>
      </c>
      <c r="C634" s="6" t="n">
        <v>5.95</v>
      </c>
      <c r="D634" s="8">
        <f>-PV(B634/100,5,B633/100,1)</f>
        <v/>
      </c>
      <c r="E634" s="8">
        <f>-PV(C634/100,7,C633/100,1)</f>
        <v/>
      </c>
      <c r="F634" s="8">
        <f>$B$3*(B633/100/12+(D634-1))+$B$4*(C633/100/12+(E634-1))</f>
        <v/>
      </c>
      <c r="G634" s="8">
        <f>G633*(1+F634)</f>
        <v/>
      </c>
    </row>
    <row r="635">
      <c r="A635" s="8" t="inlineStr">
        <is>
          <t>2005-08-01</t>
        </is>
      </c>
      <c r="B635" s="6" t="n">
        <v>4.12</v>
      </c>
      <c r="C635" s="6" t="n">
        <v>5.96</v>
      </c>
      <c r="D635" s="8">
        <f>-PV(B635/100,5,B634/100,1)</f>
        <v/>
      </c>
      <c r="E635" s="8">
        <f>-PV(C635/100,7,C634/100,1)</f>
        <v/>
      </c>
      <c r="F635" s="8">
        <f>$B$3*(B634/100/12+(D635-1))+$B$4*(C634/100/12+(E635-1))</f>
        <v/>
      </c>
      <c r="G635" s="8">
        <f>G634*(1+F635)</f>
        <v/>
      </c>
    </row>
    <row r="636">
      <c r="A636" s="8" t="inlineStr">
        <is>
          <t>2005-09-01</t>
        </is>
      </c>
      <c r="B636" s="6" t="n">
        <v>4.01</v>
      </c>
      <c r="C636" s="6" t="n">
        <v>6.03</v>
      </c>
      <c r="D636" s="8">
        <f>-PV(B636/100,5,B635/100,1)</f>
        <v/>
      </c>
      <c r="E636" s="8">
        <f>-PV(C636/100,7,C635/100,1)</f>
        <v/>
      </c>
      <c r="F636" s="8">
        <f>$B$3*(B635/100/12+(D636-1))+$B$4*(C635/100/12+(E636-1))</f>
        <v/>
      </c>
      <c r="G636" s="8">
        <f>G635*(1+F636)</f>
        <v/>
      </c>
    </row>
    <row r="637">
      <c r="A637" s="8" t="inlineStr">
        <is>
          <t>2005-10-01</t>
        </is>
      </c>
      <c r="B637" s="6" t="n">
        <v>4.33</v>
      </c>
      <c r="C637" s="6" t="n">
        <v>6.3</v>
      </c>
      <c r="D637" s="8">
        <f>-PV(B637/100,5,B636/100,1)</f>
        <v/>
      </c>
      <c r="E637" s="8">
        <f>-PV(C637/100,7,C636/100,1)</f>
        <v/>
      </c>
      <c r="F637" s="8">
        <f>$B$3*(B636/100/12+(D637-1))+$B$4*(C636/100/12+(E637-1))</f>
        <v/>
      </c>
      <c r="G637" s="8">
        <f>G636*(1+F637)</f>
        <v/>
      </c>
    </row>
    <row r="638">
      <c r="A638" s="8" t="inlineStr">
        <is>
          <t>2005-11-01</t>
        </is>
      </c>
      <c r="B638" s="6" t="n">
        <v>4.45</v>
      </c>
      <c r="C638" s="6" t="n">
        <v>6.39</v>
      </c>
      <c r="D638" s="8">
        <f>-PV(B638/100,5,B637/100,1)</f>
        <v/>
      </c>
      <c r="E638" s="8">
        <f>-PV(C638/100,7,C637/100,1)</f>
        <v/>
      </c>
      <c r="F638" s="8">
        <f>$B$3*(B637/100/12+(D638-1))+$B$4*(C637/100/12+(E638-1))</f>
        <v/>
      </c>
      <c r="G638" s="8">
        <f>G637*(1+F638)</f>
        <v/>
      </c>
    </row>
    <row r="639">
      <c r="A639" s="8" t="inlineStr">
        <is>
          <t>2005-12-01</t>
        </is>
      </c>
      <c r="B639" s="6" t="n">
        <v>4.39</v>
      </c>
      <c r="C639" s="6" t="n">
        <v>6.32</v>
      </c>
      <c r="D639" s="8">
        <f>-PV(B639/100,5,B638/100,1)</f>
        <v/>
      </c>
      <c r="E639" s="8">
        <f>-PV(C639/100,7,C638/100,1)</f>
        <v/>
      </c>
      <c r="F639" s="8">
        <f>$B$3*(B638/100/12+(D639-1))+$B$4*(C638/100/12+(E639-1))</f>
        <v/>
      </c>
      <c r="G639" s="8">
        <f>G638*(1+F639)</f>
        <v/>
      </c>
    </row>
    <row r="640">
      <c r="A640" s="8" t="inlineStr">
        <is>
          <t>2006-01-01</t>
        </is>
      </c>
      <c r="B640" s="6" t="n">
        <v>4.35</v>
      </c>
      <c r="C640" s="6" t="n">
        <v>6.24</v>
      </c>
      <c r="D640" s="8">
        <f>-PV(B640/100,5,B639/100,1)</f>
        <v/>
      </c>
      <c r="E640" s="8">
        <f>-PV(C640/100,7,C639/100,1)</f>
        <v/>
      </c>
      <c r="F640" s="8">
        <f>$B$3*(B639/100/12+(D640-1))+$B$4*(C639/100/12+(E640-1))</f>
        <v/>
      </c>
      <c r="G640" s="8">
        <f>G639*(1+F640)</f>
        <v/>
      </c>
    </row>
    <row r="641">
      <c r="A641" s="8" t="inlineStr">
        <is>
          <t>2006-02-01</t>
        </is>
      </c>
      <c r="B641" s="6" t="n">
        <v>4.57</v>
      </c>
      <c r="C641" s="6" t="n">
        <v>6.27</v>
      </c>
      <c r="D641" s="8">
        <f>-PV(B641/100,5,B640/100,1)</f>
        <v/>
      </c>
      <c r="E641" s="8">
        <f>-PV(C641/100,7,C640/100,1)</f>
        <v/>
      </c>
      <c r="F641" s="8">
        <f>$B$3*(B640/100/12+(D641-1))+$B$4*(C640/100/12+(E641-1))</f>
        <v/>
      </c>
      <c r="G641" s="8">
        <f>G640*(1+F641)</f>
        <v/>
      </c>
    </row>
    <row r="642">
      <c r="A642" s="8" t="inlineStr">
        <is>
          <t>2006-03-01</t>
        </is>
      </c>
      <c r="B642" s="6" t="n">
        <v>4.72</v>
      </c>
      <c r="C642" s="6" t="n">
        <v>6.41</v>
      </c>
      <c r="D642" s="8">
        <f>-PV(B642/100,5,B641/100,1)</f>
        <v/>
      </c>
      <c r="E642" s="8">
        <f>-PV(C642/100,7,C641/100,1)</f>
        <v/>
      </c>
      <c r="F642" s="8">
        <f>$B$3*(B641/100/12+(D642-1))+$B$4*(C641/100/12+(E642-1))</f>
        <v/>
      </c>
      <c r="G642" s="8">
        <f>G641*(1+F642)</f>
        <v/>
      </c>
    </row>
    <row r="643">
      <c r="A643" s="8" t="inlineStr">
        <is>
          <t>2006-04-01</t>
        </is>
      </c>
      <c r="B643" s="6" t="n">
        <v>4.9</v>
      </c>
      <c r="C643" s="6" t="n">
        <v>6.68</v>
      </c>
      <c r="D643" s="8">
        <f>-PV(B643/100,5,B642/100,1)</f>
        <v/>
      </c>
      <c r="E643" s="8">
        <f>-PV(C643/100,7,C642/100,1)</f>
        <v/>
      </c>
      <c r="F643" s="8">
        <f>$B$3*(B642/100/12+(D643-1))+$B$4*(C642/100/12+(E643-1))</f>
        <v/>
      </c>
      <c r="G643" s="8">
        <f>G642*(1+F643)</f>
        <v/>
      </c>
    </row>
    <row r="644">
      <c r="A644" s="8" t="inlineStr">
        <is>
          <t>2006-05-01</t>
        </is>
      </c>
      <c r="B644" s="6" t="n">
        <v>5</v>
      </c>
      <c r="C644" s="6" t="n">
        <v>6.75</v>
      </c>
      <c r="D644" s="8">
        <f>-PV(B644/100,5,B643/100,1)</f>
        <v/>
      </c>
      <c r="E644" s="8">
        <f>-PV(C644/100,7,C643/100,1)</f>
        <v/>
      </c>
      <c r="F644" s="8">
        <f>$B$3*(B643/100/12+(D644-1))+$B$4*(C643/100/12+(E644-1))</f>
        <v/>
      </c>
      <c r="G644" s="8">
        <f>G643*(1+F644)</f>
        <v/>
      </c>
    </row>
    <row r="645">
      <c r="A645" s="8" t="inlineStr">
        <is>
          <t>2006-06-01</t>
        </is>
      </c>
      <c r="B645" s="6" t="n">
        <v>5.07</v>
      </c>
      <c r="C645" s="6" t="n">
        <v>6.78</v>
      </c>
      <c r="D645" s="8">
        <f>-PV(B645/100,5,B644/100,1)</f>
        <v/>
      </c>
      <c r="E645" s="8">
        <f>-PV(C645/100,7,C644/100,1)</f>
        <v/>
      </c>
      <c r="F645" s="8">
        <f>$B$3*(B644/100/12+(D645-1))+$B$4*(C644/100/12+(E645-1))</f>
        <v/>
      </c>
      <c r="G645" s="8">
        <f>G644*(1+F645)</f>
        <v/>
      </c>
    </row>
    <row r="646">
      <c r="A646" s="8" t="inlineStr">
        <is>
          <t>2006-07-01</t>
        </is>
      </c>
      <c r="B646" s="6" t="n">
        <v>5.04</v>
      </c>
      <c r="C646" s="6" t="n">
        <v>6.76</v>
      </c>
      <c r="D646" s="8">
        <f>-PV(B646/100,5,B645/100,1)</f>
        <v/>
      </c>
      <c r="E646" s="8">
        <f>-PV(C646/100,7,C645/100,1)</f>
        <v/>
      </c>
      <c r="F646" s="8">
        <f>$B$3*(B645/100/12+(D646-1))+$B$4*(C645/100/12+(E646-1))</f>
        <v/>
      </c>
      <c r="G646" s="8">
        <f>G645*(1+F646)</f>
        <v/>
      </c>
    </row>
    <row r="647">
      <c r="A647" s="8" t="inlineStr">
        <is>
          <t>2006-08-01</t>
        </is>
      </c>
      <c r="B647" s="6" t="n">
        <v>4.82</v>
      </c>
      <c r="C647" s="6" t="n">
        <v>6.59</v>
      </c>
      <c r="D647" s="8">
        <f>-PV(B647/100,5,B646/100,1)</f>
        <v/>
      </c>
      <c r="E647" s="8">
        <f>-PV(C647/100,7,C646/100,1)</f>
        <v/>
      </c>
      <c r="F647" s="8">
        <f>$B$3*(B646/100/12+(D647-1))+$B$4*(C646/100/12+(E647-1))</f>
        <v/>
      </c>
      <c r="G647" s="8">
        <f>G646*(1+F647)</f>
        <v/>
      </c>
    </row>
    <row r="648">
      <c r="A648" s="8" t="inlineStr">
        <is>
          <t>2006-09-01</t>
        </is>
      </c>
      <c r="B648" s="6" t="n">
        <v>4.67</v>
      </c>
      <c r="C648" s="6" t="n">
        <v>6.43</v>
      </c>
      <c r="D648" s="8">
        <f>-PV(B648/100,5,B647/100,1)</f>
        <v/>
      </c>
      <c r="E648" s="8">
        <f>-PV(C648/100,7,C647/100,1)</f>
        <v/>
      </c>
      <c r="F648" s="8">
        <f>$B$3*(B647/100/12+(D648-1))+$B$4*(C647/100/12+(E648-1))</f>
        <v/>
      </c>
      <c r="G648" s="8">
        <f>G647*(1+F648)</f>
        <v/>
      </c>
    </row>
    <row r="649">
      <c r="A649" s="8" t="inlineStr">
        <is>
          <t>2006-10-01</t>
        </is>
      </c>
      <c r="B649" s="6" t="n">
        <v>4.69</v>
      </c>
      <c r="C649" s="6" t="n">
        <v>6.42</v>
      </c>
      <c r="D649" s="8">
        <f>-PV(B649/100,5,B648/100,1)</f>
        <v/>
      </c>
      <c r="E649" s="8">
        <f>-PV(C649/100,7,C648/100,1)</f>
        <v/>
      </c>
      <c r="F649" s="8">
        <f>$B$3*(B648/100/12+(D649-1))+$B$4*(C648/100/12+(E649-1))</f>
        <v/>
      </c>
      <c r="G649" s="8">
        <f>G648*(1+F649)</f>
        <v/>
      </c>
    </row>
    <row r="650">
      <c r="A650" s="8" t="inlineStr">
        <is>
          <t>2006-11-01</t>
        </is>
      </c>
      <c r="B650" s="6" t="n">
        <v>4.58</v>
      </c>
      <c r="C650" s="6" t="n">
        <v>6.2</v>
      </c>
      <c r="D650" s="8">
        <f>-PV(B650/100,5,B649/100,1)</f>
        <v/>
      </c>
      <c r="E650" s="8">
        <f>-PV(C650/100,7,C649/100,1)</f>
        <v/>
      </c>
      <c r="F650" s="8">
        <f>$B$3*(B649/100/12+(D650-1))+$B$4*(C649/100/12+(E650-1))</f>
        <v/>
      </c>
      <c r="G650" s="8">
        <f>G649*(1+F650)</f>
        <v/>
      </c>
    </row>
    <row r="651">
      <c r="A651" s="8" t="inlineStr">
        <is>
          <t>2006-12-01</t>
        </is>
      </c>
      <c r="B651" s="6" t="n">
        <v>4.53</v>
      </c>
      <c r="C651" s="6" t="n">
        <v>6.22</v>
      </c>
      <c r="D651" s="8">
        <f>-PV(B651/100,5,B650/100,1)</f>
        <v/>
      </c>
      <c r="E651" s="8">
        <f>-PV(C651/100,7,C650/100,1)</f>
        <v/>
      </c>
      <c r="F651" s="8">
        <f>$B$3*(B650/100/12+(D651-1))+$B$4*(C650/100/12+(E651-1))</f>
        <v/>
      </c>
      <c r="G651" s="8">
        <f>G650*(1+F651)</f>
        <v/>
      </c>
    </row>
    <row r="652">
      <c r="A652" s="8" t="inlineStr">
        <is>
          <t>2007-01-01</t>
        </is>
      </c>
      <c r="B652" s="6" t="n">
        <v>4.75</v>
      </c>
      <c r="C652" s="6" t="n">
        <v>6.34</v>
      </c>
      <c r="D652" s="8">
        <f>-PV(B652/100,5,B651/100,1)</f>
        <v/>
      </c>
      <c r="E652" s="8">
        <f>-PV(C652/100,7,C651/100,1)</f>
        <v/>
      </c>
      <c r="F652" s="8">
        <f>$B$3*(B651/100/12+(D652-1))+$B$4*(C651/100/12+(E652-1))</f>
        <v/>
      </c>
      <c r="G652" s="8">
        <f>G651*(1+F652)</f>
        <v/>
      </c>
    </row>
    <row r="653">
      <c r="A653" s="8" t="inlineStr">
        <is>
          <t>2007-02-01</t>
        </is>
      </c>
      <c r="B653" s="6" t="n">
        <v>4.71</v>
      </c>
      <c r="C653" s="6" t="n">
        <v>6.28</v>
      </c>
      <c r="D653" s="8">
        <f>-PV(B653/100,5,B652/100,1)</f>
        <v/>
      </c>
      <c r="E653" s="8">
        <f>-PV(C653/100,7,C652/100,1)</f>
        <v/>
      </c>
      <c r="F653" s="8">
        <f>$B$3*(B652/100/12+(D653-1))+$B$4*(C652/100/12+(E653-1))</f>
        <v/>
      </c>
      <c r="G653" s="8">
        <f>G652*(1+F653)</f>
        <v/>
      </c>
    </row>
    <row r="654">
      <c r="A654" s="8" t="inlineStr">
        <is>
          <t>2007-03-01</t>
        </is>
      </c>
      <c r="B654" s="6" t="n">
        <v>4.48</v>
      </c>
      <c r="C654" s="6" t="n">
        <v>6.27</v>
      </c>
      <c r="D654" s="8">
        <f>-PV(B654/100,5,B653/100,1)</f>
        <v/>
      </c>
      <c r="E654" s="8">
        <f>-PV(C654/100,7,C653/100,1)</f>
        <v/>
      </c>
      <c r="F654" s="8">
        <f>$B$3*(B653/100/12+(D654-1))+$B$4*(C653/100/12+(E654-1))</f>
        <v/>
      </c>
      <c r="G654" s="8">
        <f>G653*(1+F654)</f>
        <v/>
      </c>
    </row>
    <row r="655">
      <c r="A655" s="8" t="inlineStr">
        <is>
          <t>2007-04-01</t>
        </is>
      </c>
      <c r="B655" s="6" t="n">
        <v>4.59</v>
      </c>
      <c r="C655" s="6" t="n">
        <v>6.39</v>
      </c>
      <c r="D655" s="8">
        <f>-PV(B655/100,5,B654/100,1)</f>
        <v/>
      </c>
      <c r="E655" s="8">
        <f>-PV(C655/100,7,C654/100,1)</f>
        <v/>
      </c>
      <c r="F655" s="8">
        <f>$B$3*(B654/100/12+(D655-1))+$B$4*(C654/100/12+(E655-1))</f>
        <v/>
      </c>
      <c r="G655" s="8">
        <f>G654*(1+F655)</f>
        <v/>
      </c>
    </row>
    <row r="656">
      <c r="A656" s="8" t="inlineStr">
        <is>
          <t>2007-05-01</t>
        </is>
      </c>
      <c r="B656" s="6" t="n">
        <v>4.67</v>
      </c>
      <c r="C656" s="6" t="n">
        <v>6.39</v>
      </c>
      <c r="D656" s="8">
        <f>-PV(B656/100,5,B655/100,1)</f>
        <v/>
      </c>
      <c r="E656" s="8">
        <f>-PV(C656/100,7,C655/100,1)</f>
        <v/>
      </c>
      <c r="F656" s="8">
        <f>$B$3*(B655/100/12+(D656-1))+$B$4*(C655/100/12+(E656-1))</f>
        <v/>
      </c>
      <c r="G656" s="8">
        <f>G655*(1+F656)</f>
        <v/>
      </c>
    </row>
    <row r="657">
      <c r="A657" s="8" t="inlineStr">
        <is>
          <t>2007-06-01</t>
        </is>
      </c>
      <c r="B657" s="6" t="n">
        <v>5.03</v>
      </c>
      <c r="C657" s="6" t="n">
        <v>6.7</v>
      </c>
      <c r="D657" s="8">
        <f>-PV(B657/100,5,B656/100,1)</f>
        <v/>
      </c>
      <c r="E657" s="8">
        <f>-PV(C657/100,7,C656/100,1)</f>
        <v/>
      </c>
      <c r="F657" s="8">
        <f>$B$3*(B656/100/12+(D657-1))+$B$4*(C656/100/12+(E657-1))</f>
        <v/>
      </c>
      <c r="G657" s="8">
        <f>G656*(1+F657)</f>
        <v/>
      </c>
    </row>
    <row r="658">
      <c r="A658" s="8" t="inlineStr">
        <is>
          <t>2007-07-01</t>
        </is>
      </c>
      <c r="B658" s="6" t="n">
        <v>4.88</v>
      </c>
      <c r="C658" s="6" t="n">
        <v>6.65</v>
      </c>
      <c r="D658" s="8">
        <f>-PV(B658/100,5,B657/100,1)</f>
        <v/>
      </c>
      <c r="E658" s="8">
        <f>-PV(C658/100,7,C657/100,1)</f>
        <v/>
      </c>
      <c r="F658" s="8">
        <f>$B$3*(B657/100/12+(D658-1))+$B$4*(C657/100/12+(E658-1))</f>
        <v/>
      </c>
      <c r="G658" s="8">
        <f>G657*(1+F658)</f>
        <v/>
      </c>
    </row>
    <row r="659">
      <c r="A659" s="8" t="inlineStr">
        <is>
          <t>2007-08-01</t>
        </is>
      </c>
      <c r="B659" s="6" t="n">
        <v>4.43</v>
      </c>
      <c r="C659" s="6" t="n">
        <v>6.65</v>
      </c>
      <c r="D659" s="8">
        <f>-PV(B659/100,5,B658/100,1)</f>
        <v/>
      </c>
      <c r="E659" s="8">
        <f>-PV(C659/100,7,C658/100,1)</f>
        <v/>
      </c>
      <c r="F659" s="8">
        <f>$B$3*(B658/100/12+(D659-1))+$B$4*(C658/100/12+(E659-1))</f>
        <v/>
      </c>
      <c r="G659" s="8">
        <f>G658*(1+F659)</f>
        <v/>
      </c>
    </row>
    <row r="660">
      <c r="A660" s="8" t="inlineStr">
        <is>
          <t>2007-09-01</t>
        </is>
      </c>
      <c r="B660" s="6" t="n">
        <v>4.2</v>
      </c>
      <c r="C660" s="6" t="n">
        <v>6.59</v>
      </c>
      <c r="D660" s="8">
        <f>-PV(B660/100,5,B659/100,1)</f>
        <v/>
      </c>
      <c r="E660" s="8">
        <f>-PV(C660/100,7,C659/100,1)</f>
        <v/>
      </c>
      <c r="F660" s="8">
        <f>$B$3*(B659/100/12+(D660-1))+$B$4*(C659/100/12+(E660-1))</f>
        <v/>
      </c>
      <c r="G660" s="8">
        <f>G659*(1+F660)</f>
        <v/>
      </c>
    </row>
    <row r="661">
      <c r="A661" s="8" t="inlineStr">
        <is>
          <t>2007-10-01</t>
        </is>
      </c>
      <c r="B661" s="6" t="n">
        <v>4.2</v>
      </c>
      <c r="C661" s="6" t="n">
        <v>6.48</v>
      </c>
      <c r="D661" s="8">
        <f>-PV(B661/100,5,B660/100,1)</f>
        <v/>
      </c>
      <c r="E661" s="8">
        <f>-PV(C661/100,7,C660/100,1)</f>
        <v/>
      </c>
      <c r="F661" s="8">
        <f>$B$3*(B660/100/12+(D661-1))+$B$4*(C660/100/12+(E661-1))</f>
        <v/>
      </c>
      <c r="G661" s="8">
        <f>G660*(1+F661)</f>
        <v/>
      </c>
    </row>
    <row r="662">
      <c r="A662" s="8" t="inlineStr">
        <is>
          <t>2007-11-01</t>
        </is>
      </c>
      <c r="B662" s="6" t="n">
        <v>3.67</v>
      </c>
      <c r="C662" s="6" t="n">
        <v>6.4</v>
      </c>
      <c r="D662" s="8">
        <f>-PV(B662/100,5,B661/100,1)</f>
        <v/>
      </c>
      <c r="E662" s="8">
        <f>-PV(C662/100,7,C661/100,1)</f>
        <v/>
      </c>
      <c r="F662" s="8">
        <f>$B$3*(B661/100/12+(D662-1))+$B$4*(C661/100/12+(E662-1))</f>
        <v/>
      </c>
      <c r="G662" s="8">
        <f>G661*(1+F662)</f>
        <v/>
      </c>
    </row>
    <row r="663">
      <c r="A663" s="8" t="inlineStr">
        <is>
          <t>2007-12-01</t>
        </is>
      </c>
      <c r="B663" s="6" t="n">
        <v>3.49</v>
      </c>
      <c r="C663" s="6" t="n">
        <v>6.65</v>
      </c>
      <c r="D663" s="8">
        <f>-PV(B663/100,5,B662/100,1)</f>
        <v/>
      </c>
      <c r="E663" s="8">
        <f>-PV(C663/100,7,C662/100,1)</f>
        <v/>
      </c>
      <c r="F663" s="8">
        <f>$B$3*(B662/100/12+(D663-1))+$B$4*(C662/100/12+(E663-1))</f>
        <v/>
      </c>
      <c r="G663" s="8">
        <f>G662*(1+F663)</f>
        <v/>
      </c>
    </row>
    <row r="664">
      <c r="A664" s="8" t="inlineStr">
        <is>
          <t>2008-01-01</t>
        </is>
      </c>
      <c r="B664" s="6" t="n">
        <v>2.98</v>
      </c>
      <c r="C664" s="6" t="n">
        <v>6.54</v>
      </c>
      <c r="D664" s="8">
        <f>-PV(B664/100,5,B663/100,1)</f>
        <v/>
      </c>
      <c r="E664" s="8">
        <f>-PV(C664/100,7,C663/100,1)</f>
        <v/>
      </c>
      <c r="F664" s="8">
        <f>$B$3*(B663/100/12+(D664-1))+$B$4*(C663/100/12+(E664-1))</f>
        <v/>
      </c>
      <c r="G664" s="8">
        <f>G663*(1+F664)</f>
        <v/>
      </c>
    </row>
    <row r="665">
      <c r="A665" s="8" t="inlineStr">
        <is>
          <t>2008-02-01</t>
        </is>
      </c>
      <c r="B665" s="6" t="n">
        <v>2.78</v>
      </c>
      <c r="C665" s="6" t="n">
        <v>6.82</v>
      </c>
      <c r="D665" s="8">
        <f>-PV(B665/100,5,B664/100,1)</f>
        <v/>
      </c>
      <c r="E665" s="8">
        <f>-PV(C665/100,7,C664/100,1)</f>
        <v/>
      </c>
      <c r="F665" s="8">
        <f>$B$3*(B664/100/12+(D665-1))+$B$4*(C664/100/12+(E665-1))</f>
        <v/>
      </c>
      <c r="G665" s="8">
        <f>G664*(1+F665)</f>
        <v/>
      </c>
    </row>
    <row r="666">
      <c r="A666" s="8" t="inlineStr">
        <is>
          <t>2008-03-01</t>
        </is>
      </c>
      <c r="B666" s="6" t="n">
        <v>2.48</v>
      </c>
      <c r="C666" s="6" t="n">
        <v>6.89</v>
      </c>
      <c r="D666" s="8">
        <f>-PV(B666/100,5,B665/100,1)</f>
        <v/>
      </c>
      <c r="E666" s="8">
        <f>-PV(C666/100,7,C665/100,1)</f>
        <v/>
      </c>
      <c r="F666" s="8">
        <f>$B$3*(B665/100/12+(D666-1))+$B$4*(C665/100/12+(E666-1))</f>
        <v/>
      </c>
      <c r="G666" s="8">
        <f>G665*(1+F666)</f>
        <v/>
      </c>
    </row>
    <row r="667">
      <c r="A667" s="8" t="inlineStr">
        <is>
          <t>2008-04-01</t>
        </is>
      </c>
      <c r="B667" s="6" t="n">
        <v>2.84</v>
      </c>
      <c r="C667" s="6" t="n">
        <v>6.97</v>
      </c>
      <c r="D667" s="8">
        <f>-PV(B667/100,5,B666/100,1)</f>
        <v/>
      </c>
      <c r="E667" s="8">
        <f>-PV(C667/100,7,C666/100,1)</f>
        <v/>
      </c>
      <c r="F667" s="8">
        <f>$B$3*(B666/100/12+(D667-1))+$B$4*(C666/100/12+(E667-1))</f>
        <v/>
      </c>
      <c r="G667" s="8">
        <f>G666*(1+F667)</f>
        <v/>
      </c>
    </row>
    <row r="668">
      <c r="A668" s="8" t="inlineStr">
        <is>
          <t>2008-05-01</t>
        </is>
      </c>
      <c r="B668" s="6" t="n">
        <v>3.15</v>
      </c>
      <c r="C668" s="6" t="n">
        <v>6.93</v>
      </c>
      <c r="D668" s="8">
        <f>-PV(B668/100,5,B667/100,1)</f>
        <v/>
      </c>
      <c r="E668" s="8">
        <f>-PV(C668/100,7,C667/100,1)</f>
        <v/>
      </c>
      <c r="F668" s="8">
        <f>$B$3*(B667/100/12+(D668-1))+$B$4*(C667/100/12+(E668-1))</f>
        <v/>
      </c>
      <c r="G668" s="8">
        <f>G667*(1+F668)</f>
        <v/>
      </c>
    </row>
    <row r="669">
      <c r="A669" s="8" t="inlineStr">
        <is>
          <t>2008-06-01</t>
        </is>
      </c>
      <c r="B669" s="6" t="n">
        <v>3.49</v>
      </c>
      <c r="C669" s="6" t="n">
        <v>7.07</v>
      </c>
      <c r="D669" s="8">
        <f>-PV(B669/100,5,B668/100,1)</f>
        <v/>
      </c>
      <c r="E669" s="8">
        <f>-PV(C669/100,7,C668/100,1)</f>
        <v/>
      </c>
      <c r="F669" s="8">
        <f>$B$3*(B668/100/12+(D669-1))+$B$4*(C668/100/12+(E669-1))</f>
        <v/>
      </c>
      <c r="G669" s="8">
        <f>G668*(1+F669)</f>
        <v/>
      </c>
    </row>
    <row r="670">
      <c r="A670" s="8" t="inlineStr">
        <is>
          <t>2008-07-01</t>
        </is>
      </c>
      <c r="B670" s="6" t="n">
        <v>3.3</v>
      </c>
      <c r="C670" s="6" t="n">
        <v>7.16</v>
      </c>
      <c r="D670" s="8">
        <f>-PV(B670/100,5,B669/100,1)</f>
        <v/>
      </c>
      <c r="E670" s="8">
        <f>-PV(C670/100,7,C669/100,1)</f>
        <v/>
      </c>
      <c r="F670" s="8">
        <f>$B$3*(B669/100/12+(D670-1))+$B$4*(C669/100/12+(E670-1))</f>
        <v/>
      </c>
      <c r="G670" s="8">
        <f>G669*(1+F670)</f>
        <v/>
      </c>
    </row>
    <row r="671">
      <c r="A671" s="8" t="inlineStr">
        <is>
          <t>2008-08-01</t>
        </is>
      </c>
      <c r="B671" s="6" t="n">
        <v>3.14</v>
      </c>
      <c r="C671" s="6" t="n">
        <v>7.15</v>
      </c>
      <c r="D671" s="8">
        <f>-PV(B671/100,5,B670/100,1)</f>
        <v/>
      </c>
      <c r="E671" s="8">
        <f>-PV(C671/100,7,C670/100,1)</f>
        <v/>
      </c>
      <c r="F671" s="8">
        <f>$B$3*(B670/100/12+(D671-1))+$B$4*(C670/100/12+(E671-1))</f>
        <v/>
      </c>
      <c r="G671" s="8">
        <f>G670*(1+F671)</f>
        <v/>
      </c>
    </row>
    <row r="672">
      <c r="A672" s="8" t="inlineStr">
        <is>
          <t>2008-09-01</t>
        </is>
      </c>
      <c r="B672" s="6" t="n">
        <v>2.88</v>
      </c>
      <c r="C672" s="6" t="n">
        <v>7.31</v>
      </c>
      <c r="D672" s="8">
        <f>-PV(B672/100,5,B671/100,1)</f>
        <v/>
      </c>
      <c r="E672" s="8">
        <f>-PV(C672/100,7,C671/100,1)</f>
        <v/>
      </c>
      <c r="F672" s="8">
        <f>$B$3*(B671/100/12+(D672-1))+$B$4*(C671/100/12+(E672-1))</f>
        <v/>
      </c>
      <c r="G672" s="8">
        <f>G671*(1+F672)</f>
        <v/>
      </c>
    </row>
    <row r="673">
      <c r="A673" s="8" t="inlineStr">
        <is>
          <t>2008-10-01</t>
        </is>
      </c>
      <c r="B673" s="6" t="n">
        <v>2.73</v>
      </c>
      <c r="C673" s="6" t="n">
        <v>8.880000000000001</v>
      </c>
      <c r="D673" s="8">
        <f>-PV(B673/100,5,B672/100,1)</f>
        <v/>
      </c>
      <c r="E673" s="8">
        <f>-PV(C673/100,7,C672/100,1)</f>
        <v/>
      </c>
      <c r="F673" s="8">
        <f>$B$3*(B672/100/12+(D673-1))+$B$4*(C672/100/12+(E673-1))</f>
        <v/>
      </c>
      <c r="G673" s="8">
        <f>G672*(1+F673)</f>
        <v/>
      </c>
    </row>
    <row r="674">
      <c r="A674" s="8" t="inlineStr">
        <is>
          <t>2008-11-01</t>
        </is>
      </c>
      <c r="B674" s="6" t="n">
        <v>2.29</v>
      </c>
      <c r="C674" s="6" t="n">
        <v>9.210000000000001</v>
      </c>
      <c r="D674" s="8">
        <f>-PV(B674/100,5,B673/100,1)</f>
        <v/>
      </c>
      <c r="E674" s="8">
        <f>-PV(C674/100,7,C673/100,1)</f>
        <v/>
      </c>
      <c r="F674" s="8">
        <f>$B$3*(B673/100/12+(D674-1))+$B$4*(C673/100/12+(E674-1))</f>
        <v/>
      </c>
      <c r="G674" s="8">
        <f>G673*(1+F674)</f>
        <v/>
      </c>
    </row>
    <row r="675">
      <c r="A675" s="8" t="inlineStr">
        <is>
          <t>2008-12-01</t>
        </is>
      </c>
      <c r="B675" s="6" t="n">
        <v>1.52</v>
      </c>
      <c r="C675" s="6" t="n">
        <v>8.43</v>
      </c>
      <c r="D675" s="8">
        <f>-PV(B675/100,5,B674/100,1)</f>
        <v/>
      </c>
      <c r="E675" s="8">
        <f>-PV(C675/100,7,C674/100,1)</f>
        <v/>
      </c>
      <c r="F675" s="8">
        <f>$B$3*(B674/100/12+(D675-1))+$B$4*(C674/100/12+(E675-1))</f>
        <v/>
      </c>
      <c r="G675" s="8">
        <f>G674*(1+F675)</f>
        <v/>
      </c>
    </row>
    <row r="676">
      <c r="A676" s="8" t="inlineStr">
        <is>
          <t>2009-01-01</t>
        </is>
      </c>
      <c r="B676" s="6" t="n">
        <v>1.6</v>
      </c>
      <c r="C676" s="6" t="n">
        <v>8.140000000000001</v>
      </c>
      <c r="D676" s="8">
        <f>-PV(B676/100,5,B675/100,1)</f>
        <v/>
      </c>
      <c r="E676" s="8">
        <f>-PV(C676/100,7,C675/100,1)</f>
        <v/>
      </c>
      <c r="F676" s="8">
        <f>$B$3*(B675/100/12+(D676-1))+$B$4*(C675/100/12+(E676-1))</f>
        <v/>
      </c>
      <c r="G676" s="8">
        <f>G675*(1+F676)</f>
        <v/>
      </c>
    </row>
    <row r="677">
      <c r="A677" s="8" t="inlineStr">
        <is>
          <t>2009-02-01</t>
        </is>
      </c>
      <c r="B677" s="6" t="n">
        <v>1.87</v>
      </c>
      <c r="C677" s="6" t="n">
        <v>8.08</v>
      </c>
      <c r="D677" s="8">
        <f>-PV(B677/100,5,B676/100,1)</f>
        <v/>
      </c>
      <c r="E677" s="8">
        <f>-PV(C677/100,7,C676/100,1)</f>
        <v/>
      </c>
      <c r="F677" s="8">
        <f>$B$3*(B676/100/12+(D677-1))+$B$4*(C676/100/12+(E677-1))</f>
        <v/>
      </c>
      <c r="G677" s="8">
        <f>G676*(1+F677)</f>
        <v/>
      </c>
    </row>
    <row r="678">
      <c r="A678" s="8" t="inlineStr">
        <is>
          <t>2009-03-01</t>
        </is>
      </c>
      <c r="B678" s="6" t="n">
        <v>1.82</v>
      </c>
      <c r="C678" s="6" t="n">
        <v>8.42</v>
      </c>
      <c r="D678" s="8">
        <f>-PV(B678/100,5,B677/100,1)</f>
        <v/>
      </c>
      <c r="E678" s="8">
        <f>-PV(C678/100,7,C677/100,1)</f>
        <v/>
      </c>
      <c r="F678" s="8">
        <f>$B$3*(B677/100/12+(D678-1))+$B$4*(C677/100/12+(E678-1))</f>
        <v/>
      </c>
      <c r="G678" s="8">
        <f>G677*(1+F678)</f>
        <v/>
      </c>
    </row>
    <row r="679">
      <c r="A679" s="8" t="inlineStr">
        <is>
          <t>2009-04-01</t>
        </is>
      </c>
      <c r="B679" s="6" t="n">
        <v>1.86</v>
      </c>
      <c r="C679" s="6" t="n">
        <v>8.390000000000001</v>
      </c>
      <c r="D679" s="8">
        <f>-PV(B679/100,5,B678/100,1)</f>
        <v/>
      </c>
      <c r="E679" s="8">
        <f>-PV(C679/100,7,C678/100,1)</f>
        <v/>
      </c>
      <c r="F679" s="8">
        <f>$B$3*(B678/100/12+(D679-1))+$B$4*(C678/100/12+(E679-1))</f>
        <v/>
      </c>
      <c r="G679" s="8">
        <f>G678*(1+F679)</f>
        <v/>
      </c>
    </row>
    <row r="680">
      <c r="A680" s="8" t="inlineStr">
        <is>
          <t>2009-05-01</t>
        </is>
      </c>
      <c r="B680" s="6" t="n">
        <v>2.13</v>
      </c>
      <c r="C680" s="6" t="n">
        <v>8.06</v>
      </c>
      <c r="D680" s="8">
        <f>-PV(B680/100,5,B679/100,1)</f>
        <v/>
      </c>
      <c r="E680" s="8">
        <f>-PV(C680/100,7,C679/100,1)</f>
        <v/>
      </c>
      <c r="F680" s="8">
        <f>$B$3*(B679/100/12+(D680-1))+$B$4*(C679/100/12+(E680-1))</f>
        <v/>
      </c>
      <c r="G680" s="8">
        <f>G679*(1+F680)</f>
        <v/>
      </c>
    </row>
    <row r="681">
      <c r="A681" s="8" t="inlineStr">
        <is>
          <t>2009-06-01</t>
        </is>
      </c>
      <c r="B681" s="6" t="n">
        <v>2.71</v>
      </c>
      <c r="C681" s="6" t="n">
        <v>7.5</v>
      </c>
      <c r="D681" s="8">
        <f>-PV(B681/100,5,B680/100,1)</f>
        <v/>
      </c>
      <c r="E681" s="8">
        <f>-PV(C681/100,7,C680/100,1)</f>
        <v/>
      </c>
      <c r="F681" s="8">
        <f>$B$3*(B680/100/12+(D681-1))+$B$4*(C680/100/12+(E681-1))</f>
        <v/>
      </c>
      <c r="G681" s="8">
        <f>G680*(1+F681)</f>
        <v/>
      </c>
    </row>
    <row r="682">
      <c r="A682" s="8" t="inlineStr">
        <is>
          <t>2009-07-01</t>
        </is>
      </c>
      <c r="B682" s="6" t="n">
        <v>2.46</v>
      </c>
      <c r="C682" s="6" t="n">
        <v>7.09</v>
      </c>
      <c r="D682" s="8">
        <f>-PV(B682/100,5,B681/100,1)</f>
        <v/>
      </c>
      <c r="E682" s="8">
        <f>-PV(C682/100,7,C681/100,1)</f>
        <v/>
      </c>
      <c r="F682" s="8">
        <f>$B$3*(B681/100/12+(D682-1))+$B$4*(C681/100/12+(E682-1))</f>
        <v/>
      </c>
      <c r="G682" s="8">
        <f>G681*(1+F682)</f>
        <v/>
      </c>
    </row>
    <row r="683">
      <c r="A683" s="8" t="inlineStr">
        <is>
          <t>2009-08-01</t>
        </is>
      </c>
      <c r="B683" s="6" t="n">
        <v>2.57</v>
      </c>
      <c r="C683" s="6" t="n">
        <v>6.58</v>
      </c>
      <c r="D683" s="8">
        <f>-PV(B683/100,5,B682/100,1)</f>
        <v/>
      </c>
      <c r="E683" s="8">
        <f>-PV(C683/100,7,C682/100,1)</f>
        <v/>
      </c>
      <c r="F683" s="8">
        <f>$B$3*(B682/100/12+(D683-1))+$B$4*(C682/100/12+(E683-1))</f>
        <v/>
      </c>
      <c r="G683" s="8">
        <f>G682*(1+F683)</f>
        <v/>
      </c>
    </row>
    <row r="684">
      <c r="A684" s="8" t="inlineStr">
        <is>
          <t>2009-09-01</t>
        </is>
      </c>
      <c r="B684" s="6" t="n">
        <v>2.37</v>
      </c>
      <c r="C684" s="6" t="n">
        <v>6.31</v>
      </c>
      <c r="D684" s="8">
        <f>-PV(B684/100,5,B683/100,1)</f>
        <v/>
      </c>
      <c r="E684" s="8">
        <f>-PV(C684/100,7,C683/100,1)</f>
        <v/>
      </c>
      <c r="F684" s="8">
        <f>$B$3*(B683/100/12+(D684-1))+$B$4*(C683/100/12+(E684-1))</f>
        <v/>
      </c>
      <c r="G684" s="8">
        <f>G683*(1+F684)</f>
        <v/>
      </c>
    </row>
    <row r="685">
      <c r="A685" s="8" t="inlineStr">
        <is>
          <t>2009-10-01</t>
        </is>
      </c>
      <c r="B685" s="6" t="n">
        <v>2.33</v>
      </c>
      <c r="C685" s="6" t="n">
        <v>6.29</v>
      </c>
      <c r="D685" s="8">
        <f>-PV(B685/100,5,B684/100,1)</f>
        <v/>
      </c>
      <c r="E685" s="8">
        <f>-PV(C685/100,7,C684/100,1)</f>
        <v/>
      </c>
      <c r="F685" s="8">
        <f>$B$3*(B684/100/12+(D685-1))+$B$4*(C684/100/12+(E685-1))</f>
        <v/>
      </c>
      <c r="G685" s="8">
        <f>G684*(1+F685)</f>
        <v/>
      </c>
    </row>
    <row r="686">
      <c r="A686" s="8" t="inlineStr">
        <is>
          <t>2009-11-01</t>
        </is>
      </c>
      <c r="B686" s="6" t="n">
        <v>2.23</v>
      </c>
      <c r="C686" s="6" t="n">
        <v>6.32</v>
      </c>
      <c r="D686" s="8">
        <f>-PV(B686/100,5,B685/100,1)</f>
        <v/>
      </c>
      <c r="E686" s="8">
        <f>-PV(C686/100,7,C685/100,1)</f>
        <v/>
      </c>
      <c r="F686" s="8">
        <f>$B$3*(B685/100/12+(D686-1))+$B$4*(C685/100/12+(E686-1))</f>
        <v/>
      </c>
      <c r="G686" s="8">
        <f>G685*(1+F686)</f>
        <v/>
      </c>
    </row>
    <row r="687">
      <c r="A687" s="8" t="inlineStr">
        <is>
          <t>2009-12-01</t>
        </is>
      </c>
      <c r="B687" s="6" t="n">
        <v>2.34</v>
      </c>
      <c r="C687" s="6" t="n">
        <v>6.37</v>
      </c>
      <c r="D687" s="8">
        <f>-PV(B687/100,5,B686/100,1)</f>
        <v/>
      </c>
      <c r="E687" s="8">
        <f>-PV(C687/100,7,C686/100,1)</f>
        <v/>
      </c>
      <c r="F687" s="8">
        <f>$B$3*(B686/100/12+(D687-1))+$B$4*(C686/100/12+(E687-1))</f>
        <v/>
      </c>
      <c r="G687" s="8">
        <f>G686*(1+F687)</f>
        <v/>
      </c>
    </row>
    <row r="688">
      <c r="A688" s="8" t="inlineStr">
        <is>
          <t>2010-01-01</t>
        </is>
      </c>
      <c r="B688" s="6" t="n">
        <v>2.48</v>
      </c>
      <c r="C688" s="6" t="n">
        <v>6.25</v>
      </c>
      <c r="D688" s="8">
        <f>-PV(B688/100,5,B687/100,1)</f>
        <v/>
      </c>
      <c r="E688" s="8">
        <f>-PV(C688/100,7,C687/100,1)</f>
        <v/>
      </c>
      <c r="F688" s="8">
        <f>$B$3*(B687/100/12+(D688-1))+$B$4*(C687/100/12+(E688-1))</f>
        <v/>
      </c>
      <c r="G688" s="8">
        <f>G687*(1+F688)</f>
        <v/>
      </c>
    </row>
    <row r="689">
      <c r="A689" s="8" t="inlineStr">
        <is>
          <t>2010-02-01</t>
        </is>
      </c>
      <c r="B689" s="6" t="n">
        <v>2.36</v>
      </c>
      <c r="C689" s="6" t="n">
        <v>6.34</v>
      </c>
      <c r="D689" s="8">
        <f>-PV(B689/100,5,B688/100,1)</f>
        <v/>
      </c>
      <c r="E689" s="8">
        <f>-PV(C689/100,7,C688/100,1)</f>
        <v/>
      </c>
      <c r="F689" s="8">
        <f>$B$3*(B688/100/12+(D689-1))+$B$4*(C688/100/12+(E689-1))</f>
        <v/>
      </c>
      <c r="G689" s="8">
        <f>G688*(1+F689)</f>
        <v/>
      </c>
    </row>
    <row r="690">
      <c r="A690" s="8" t="inlineStr">
        <is>
          <t>2010-03-01</t>
        </is>
      </c>
      <c r="B690" s="6" t="n">
        <v>2.43</v>
      </c>
      <c r="C690" s="6" t="n">
        <v>6.27</v>
      </c>
      <c r="D690" s="8">
        <f>-PV(B690/100,5,B689/100,1)</f>
        <v/>
      </c>
      <c r="E690" s="8">
        <f>-PV(C690/100,7,C689/100,1)</f>
        <v/>
      </c>
      <c r="F690" s="8">
        <f>$B$3*(B689/100/12+(D690-1))+$B$4*(C689/100/12+(E690-1))</f>
        <v/>
      </c>
      <c r="G690" s="8">
        <f>G689*(1+F690)</f>
        <v/>
      </c>
    </row>
    <row r="691">
      <c r="A691" s="8" t="inlineStr">
        <is>
          <t>2010-04-01</t>
        </is>
      </c>
      <c r="B691" s="6" t="n">
        <v>2.58</v>
      </c>
      <c r="C691" s="6" t="n">
        <v>6.25</v>
      </c>
      <c r="D691" s="8">
        <f>-PV(B691/100,5,B690/100,1)</f>
        <v/>
      </c>
      <c r="E691" s="8">
        <f>-PV(C691/100,7,C690/100,1)</f>
        <v/>
      </c>
      <c r="F691" s="8">
        <f>$B$3*(B690/100/12+(D691-1))+$B$4*(C690/100/12+(E691-1))</f>
        <v/>
      </c>
      <c r="G691" s="8">
        <f>G690*(1+F691)</f>
        <v/>
      </c>
    </row>
    <row r="692">
      <c r="A692" s="8" t="inlineStr">
        <is>
          <t>2010-05-01</t>
        </is>
      </c>
      <c r="B692" s="6" t="n">
        <v>2.18</v>
      </c>
      <c r="C692" s="6" t="n">
        <v>6.05</v>
      </c>
      <c r="D692" s="8">
        <f>-PV(B692/100,5,B691/100,1)</f>
        <v/>
      </c>
      <c r="E692" s="8">
        <f>-PV(C692/100,7,C691/100,1)</f>
        <v/>
      </c>
      <c r="F692" s="8">
        <f>$B$3*(B691/100/12+(D692-1))+$B$4*(C691/100/12+(E692-1))</f>
        <v/>
      </c>
      <c r="G692" s="8">
        <f>G691*(1+F692)</f>
        <v/>
      </c>
    </row>
    <row r="693">
      <c r="A693" s="8" t="inlineStr">
        <is>
          <t>2010-06-01</t>
        </is>
      </c>
      <c r="B693" s="6" t="n">
        <v>2</v>
      </c>
      <c r="C693" s="6" t="n">
        <v>6.23</v>
      </c>
      <c r="D693" s="8">
        <f>-PV(B693/100,5,B692/100,1)</f>
        <v/>
      </c>
      <c r="E693" s="8">
        <f>-PV(C693/100,7,C692/100,1)</f>
        <v/>
      </c>
      <c r="F693" s="8">
        <f>$B$3*(B692/100/12+(D693-1))+$B$4*(C692/100/12+(E693-1))</f>
        <v/>
      </c>
      <c r="G693" s="8">
        <f>G692*(1+F693)</f>
        <v/>
      </c>
    </row>
    <row r="694">
      <c r="A694" s="8" t="inlineStr">
        <is>
          <t>2010-07-01</t>
        </is>
      </c>
      <c r="B694" s="6" t="n">
        <v>1.76</v>
      </c>
      <c r="C694" s="6" t="n">
        <v>6.01</v>
      </c>
      <c r="D694" s="8">
        <f>-PV(B694/100,5,B693/100,1)</f>
        <v/>
      </c>
      <c r="E694" s="8">
        <f>-PV(C694/100,7,C693/100,1)</f>
        <v/>
      </c>
      <c r="F694" s="8">
        <f>$B$3*(B693/100/12+(D694-1))+$B$4*(C693/100/12+(E694-1))</f>
        <v/>
      </c>
      <c r="G694" s="8">
        <f>G693*(1+F694)</f>
        <v/>
      </c>
    </row>
    <row r="695">
      <c r="A695" s="8" t="inlineStr">
        <is>
          <t>2010-08-01</t>
        </is>
      </c>
      <c r="B695" s="6" t="n">
        <v>1.47</v>
      </c>
      <c r="C695" s="6" t="n">
        <v>5.66</v>
      </c>
      <c r="D695" s="8">
        <f>-PV(B695/100,5,B694/100,1)</f>
        <v/>
      </c>
      <c r="E695" s="8">
        <f>-PV(C695/100,7,C694/100,1)</f>
        <v/>
      </c>
      <c r="F695" s="8">
        <f>$B$3*(B694/100/12+(D695-1))+$B$4*(C694/100/12+(E695-1))</f>
        <v/>
      </c>
      <c r="G695" s="8">
        <f>G694*(1+F695)</f>
        <v/>
      </c>
    </row>
    <row r="696">
      <c r="A696" s="8" t="inlineStr">
        <is>
          <t>2010-09-01</t>
        </is>
      </c>
      <c r="B696" s="6" t="n">
        <v>1.41</v>
      </c>
      <c r="C696" s="6" t="n">
        <v>5.66</v>
      </c>
      <c r="D696" s="8">
        <f>-PV(B696/100,5,B695/100,1)</f>
        <v/>
      </c>
      <c r="E696" s="8">
        <f>-PV(C696/100,7,C695/100,1)</f>
        <v/>
      </c>
      <c r="F696" s="8">
        <f>$B$3*(B695/100/12+(D696-1))+$B$4*(C695/100/12+(E696-1))</f>
        <v/>
      </c>
      <c r="G696" s="8">
        <f>G695*(1+F696)</f>
        <v/>
      </c>
    </row>
    <row r="697">
      <c r="A697" s="8" t="inlineStr">
        <is>
          <t>2010-10-01</t>
        </is>
      </c>
      <c r="B697" s="6" t="n">
        <v>1.18</v>
      </c>
      <c r="C697" s="6" t="n">
        <v>5.72</v>
      </c>
      <c r="D697" s="8">
        <f>-PV(B697/100,5,B696/100,1)</f>
        <v/>
      </c>
      <c r="E697" s="8">
        <f>-PV(C697/100,7,C696/100,1)</f>
        <v/>
      </c>
      <c r="F697" s="8">
        <f>$B$3*(B696/100/12+(D697-1))+$B$4*(C696/100/12+(E697-1))</f>
        <v/>
      </c>
      <c r="G697" s="8">
        <f>G696*(1+F697)</f>
        <v/>
      </c>
    </row>
    <row r="698">
      <c r="A698" s="8" t="inlineStr">
        <is>
          <t>2010-11-01</t>
        </is>
      </c>
      <c r="B698" s="6" t="n">
        <v>1.35</v>
      </c>
      <c r="C698" s="6" t="n">
        <v>5.92</v>
      </c>
      <c r="D698" s="8">
        <f>-PV(B698/100,5,B697/100,1)</f>
        <v/>
      </c>
      <c r="E698" s="8">
        <f>-PV(C698/100,7,C697/100,1)</f>
        <v/>
      </c>
      <c r="F698" s="8">
        <f>$B$3*(B697/100/12+(D698-1))+$B$4*(C697/100/12+(E698-1))</f>
        <v/>
      </c>
      <c r="G698" s="8">
        <f>G697*(1+F698)</f>
        <v/>
      </c>
    </row>
    <row r="699">
      <c r="A699" s="8" t="inlineStr">
        <is>
          <t>2010-12-01</t>
        </is>
      </c>
      <c r="B699" s="6" t="n">
        <v>1.93</v>
      </c>
      <c r="C699" s="6" t="n">
        <v>6.1</v>
      </c>
      <c r="D699" s="8">
        <f>-PV(B699/100,5,B698/100,1)</f>
        <v/>
      </c>
      <c r="E699" s="8">
        <f>-PV(C699/100,7,C698/100,1)</f>
        <v/>
      </c>
      <c r="F699" s="8">
        <f>$B$3*(B698/100/12+(D699-1))+$B$4*(C698/100/12+(E699-1))</f>
        <v/>
      </c>
      <c r="G699" s="8">
        <f>G698*(1+F699)</f>
        <v/>
      </c>
    </row>
    <row r="700">
      <c r="A700" s="8" t="inlineStr">
        <is>
          <t>2011-01-01</t>
        </is>
      </c>
      <c r="B700" s="6" t="n">
        <v>1.99</v>
      </c>
      <c r="C700" s="6" t="n">
        <v>6.09</v>
      </c>
      <c r="D700" s="8">
        <f>-PV(B700/100,5,B699/100,1)</f>
        <v/>
      </c>
      <c r="E700" s="8">
        <f>-PV(C700/100,7,C699/100,1)</f>
        <v/>
      </c>
      <c r="F700" s="8">
        <f>$B$3*(B699/100/12+(D700-1))+$B$4*(C699/100/12+(E700-1))</f>
        <v/>
      </c>
      <c r="G700" s="8">
        <f>G699*(1+F700)</f>
        <v/>
      </c>
    </row>
    <row r="701">
      <c r="A701" s="8" t="inlineStr">
        <is>
          <t>2011-02-01</t>
        </is>
      </c>
      <c r="B701" s="6" t="n">
        <v>2.26</v>
      </c>
      <c r="C701" s="6" t="n">
        <v>6.15</v>
      </c>
      <c r="D701" s="8">
        <f>-PV(B701/100,5,B700/100,1)</f>
        <v/>
      </c>
      <c r="E701" s="8">
        <f>-PV(C701/100,7,C700/100,1)</f>
        <v/>
      </c>
      <c r="F701" s="8">
        <f>$B$3*(B700/100/12+(D701-1))+$B$4*(C700/100/12+(E701-1))</f>
        <v/>
      </c>
      <c r="G701" s="8">
        <f>G700*(1+F701)</f>
        <v/>
      </c>
    </row>
    <row r="702">
      <c r="A702" s="8" t="inlineStr">
        <is>
          <t>2011-03-01</t>
        </is>
      </c>
      <c r="B702" s="6" t="n">
        <v>2.11</v>
      </c>
      <c r="C702" s="6" t="n">
        <v>6.03</v>
      </c>
      <c r="D702" s="8">
        <f>-PV(B702/100,5,B701/100,1)</f>
        <v/>
      </c>
      <c r="E702" s="8">
        <f>-PV(C702/100,7,C701/100,1)</f>
        <v/>
      </c>
      <c r="F702" s="8">
        <f>$B$3*(B701/100/12+(D702-1))+$B$4*(C701/100/12+(E702-1))</f>
        <v/>
      </c>
      <c r="G702" s="8">
        <f>G701*(1+F702)</f>
        <v/>
      </c>
    </row>
    <row r="703">
      <c r="A703" s="8" t="inlineStr">
        <is>
          <t>2011-04-01</t>
        </is>
      </c>
      <c r="B703" s="6" t="n">
        <v>2.17</v>
      </c>
      <c r="C703" s="6" t="n">
        <v>6.02</v>
      </c>
      <c r="D703" s="8">
        <f>-PV(B703/100,5,B702/100,1)</f>
        <v/>
      </c>
      <c r="E703" s="8">
        <f>-PV(C703/100,7,C702/100,1)</f>
        <v/>
      </c>
      <c r="F703" s="8">
        <f>$B$3*(B702/100/12+(D703-1))+$B$4*(C702/100/12+(E703-1))</f>
        <v/>
      </c>
      <c r="G703" s="8">
        <f>G702*(1+F703)</f>
        <v/>
      </c>
    </row>
    <row r="704">
      <c r="A704" s="8" t="inlineStr">
        <is>
          <t>2011-05-01</t>
        </is>
      </c>
      <c r="B704" s="6" t="n">
        <v>1.84</v>
      </c>
      <c r="C704" s="6" t="n">
        <v>5.78</v>
      </c>
      <c r="D704" s="8">
        <f>-PV(B704/100,5,B703/100,1)</f>
        <v/>
      </c>
      <c r="E704" s="8">
        <f>-PV(C704/100,7,C703/100,1)</f>
        <v/>
      </c>
      <c r="F704" s="8">
        <f>$B$3*(B703/100/12+(D704-1))+$B$4*(C703/100/12+(E704-1))</f>
        <v/>
      </c>
      <c r="G704" s="8">
        <f>G703*(1+F704)</f>
        <v/>
      </c>
    </row>
    <row r="705">
      <c r="A705" s="8" t="inlineStr">
        <is>
          <t>2011-06-01</t>
        </is>
      </c>
      <c r="B705" s="6" t="n">
        <v>1.58</v>
      </c>
      <c r="C705" s="6" t="n">
        <v>5.75</v>
      </c>
      <c r="D705" s="8">
        <f>-PV(B705/100,5,B704/100,1)</f>
        <v/>
      </c>
      <c r="E705" s="8">
        <f>-PV(C705/100,7,C704/100,1)</f>
        <v/>
      </c>
      <c r="F705" s="8">
        <f>$B$3*(B704/100/12+(D705-1))+$B$4*(C704/100/12+(E705-1))</f>
        <v/>
      </c>
      <c r="G705" s="8">
        <f>G704*(1+F705)</f>
        <v/>
      </c>
    </row>
    <row r="706">
      <c r="A706" s="8" t="inlineStr">
        <is>
          <t>2011-07-01</t>
        </is>
      </c>
      <c r="B706" s="6" t="n">
        <v>1.54</v>
      </c>
      <c r="C706" s="6" t="n">
        <v>5.76</v>
      </c>
      <c r="D706" s="8">
        <f>-PV(B706/100,5,B705/100,1)</f>
        <v/>
      </c>
      <c r="E706" s="8">
        <f>-PV(C706/100,7,C705/100,1)</f>
        <v/>
      </c>
      <c r="F706" s="8">
        <f>$B$3*(B705/100/12+(D706-1))+$B$4*(C705/100/12+(E706-1))</f>
        <v/>
      </c>
      <c r="G706" s="8">
        <f>G705*(1+F706)</f>
        <v/>
      </c>
    </row>
    <row r="707">
      <c r="A707" s="8" t="inlineStr">
        <is>
          <t>2011-08-01</t>
        </is>
      </c>
      <c r="B707" s="6" t="n">
        <v>1.02</v>
      </c>
      <c r="C707" s="6" t="n">
        <v>5.36</v>
      </c>
      <c r="D707" s="8">
        <f>-PV(B707/100,5,B706/100,1)</f>
        <v/>
      </c>
      <c r="E707" s="8">
        <f>-PV(C707/100,7,C706/100,1)</f>
        <v/>
      </c>
      <c r="F707" s="8">
        <f>$B$3*(B706/100/12+(D707-1))+$B$4*(C706/100/12+(E707-1))</f>
        <v/>
      </c>
      <c r="G707" s="8">
        <f>G706*(1+F707)</f>
        <v/>
      </c>
    </row>
    <row r="708">
      <c r="A708" s="8" t="inlineStr">
        <is>
          <t>2011-09-01</t>
        </is>
      </c>
      <c r="B708" s="6" t="n">
        <v>0.9</v>
      </c>
      <c r="C708" s="6" t="n">
        <v>5.27</v>
      </c>
      <c r="D708" s="8">
        <f>-PV(B708/100,5,B707/100,1)</f>
        <v/>
      </c>
      <c r="E708" s="8">
        <f>-PV(C708/100,7,C707/100,1)</f>
        <v/>
      </c>
      <c r="F708" s="8">
        <f>$B$3*(B707/100/12+(D708-1))+$B$4*(C707/100/12+(E708-1))</f>
        <v/>
      </c>
      <c r="G708" s="8">
        <f>G707*(1+F708)</f>
        <v/>
      </c>
    </row>
    <row r="709">
      <c r="A709" s="8" t="inlineStr">
        <is>
          <t>2011-10-01</t>
        </is>
      </c>
      <c r="B709" s="6" t="n">
        <v>1.06</v>
      </c>
      <c r="C709" s="6" t="n">
        <v>5.37</v>
      </c>
      <c r="D709" s="8">
        <f>-PV(B709/100,5,B708/100,1)</f>
        <v/>
      </c>
      <c r="E709" s="8">
        <f>-PV(C709/100,7,C708/100,1)</f>
        <v/>
      </c>
      <c r="F709" s="8">
        <f>$B$3*(B708/100/12+(D709-1))+$B$4*(C708/100/12+(E709-1))</f>
        <v/>
      </c>
      <c r="G709" s="8">
        <f>G708*(1+F709)</f>
        <v/>
      </c>
    </row>
    <row r="710">
      <c r="A710" s="8" t="inlineStr">
        <is>
          <t>2011-11-01</t>
        </is>
      </c>
      <c r="B710" s="6" t="n">
        <v>0.91</v>
      </c>
      <c r="C710" s="6" t="n">
        <v>5.14</v>
      </c>
      <c r="D710" s="8">
        <f>-PV(B710/100,5,B709/100,1)</f>
        <v/>
      </c>
      <c r="E710" s="8">
        <f>-PV(C710/100,7,C709/100,1)</f>
        <v/>
      </c>
      <c r="F710" s="8">
        <f>$B$3*(B709/100/12+(D710-1))+$B$4*(C709/100/12+(E710-1))</f>
        <v/>
      </c>
      <c r="G710" s="8">
        <f>G709*(1+F710)</f>
        <v/>
      </c>
    </row>
    <row r="711">
      <c r="A711" s="8" t="inlineStr">
        <is>
          <t>2011-12-01</t>
        </is>
      </c>
      <c r="B711" s="6" t="n">
        <v>0.89</v>
      </c>
      <c r="C711" s="6" t="n">
        <v>5.25</v>
      </c>
      <c r="D711" s="8">
        <f>-PV(B711/100,5,B710/100,1)</f>
        <v/>
      </c>
      <c r="E711" s="8">
        <f>-PV(C711/100,7,C710/100,1)</f>
        <v/>
      </c>
      <c r="F711" s="8">
        <f>$B$3*(B710/100/12+(D711-1))+$B$4*(C710/100/12+(E711-1))</f>
        <v/>
      </c>
      <c r="G711" s="8">
        <f>G710*(1+F711)</f>
        <v/>
      </c>
    </row>
    <row r="712">
      <c r="A712" s="8" t="inlineStr">
        <is>
          <t>2012-01-01</t>
        </is>
      </c>
      <c r="B712" s="6" t="n">
        <v>0.84</v>
      </c>
      <c r="C712" s="6" t="n">
        <v>5.23</v>
      </c>
      <c r="D712" s="8">
        <f>-PV(B712/100,5,B711/100,1)</f>
        <v/>
      </c>
      <c r="E712" s="8">
        <f>-PV(C712/100,7,C711/100,1)</f>
        <v/>
      </c>
      <c r="F712" s="8">
        <f>$B$3*(B711/100/12+(D712-1))+$B$4*(C711/100/12+(E712-1))</f>
        <v/>
      </c>
      <c r="G712" s="8">
        <f>G711*(1+F712)</f>
        <v/>
      </c>
    </row>
    <row r="713">
      <c r="A713" s="8" t="inlineStr">
        <is>
          <t>2012-02-01</t>
        </is>
      </c>
      <c r="B713" s="6" t="n">
        <v>0.83</v>
      </c>
      <c r="C713" s="6" t="n">
        <v>5.14</v>
      </c>
      <c r="D713" s="8">
        <f>-PV(B713/100,5,B712/100,1)</f>
        <v/>
      </c>
      <c r="E713" s="8">
        <f>-PV(C713/100,7,C712/100,1)</f>
        <v/>
      </c>
      <c r="F713" s="8">
        <f>$B$3*(B712/100/12+(D713-1))+$B$4*(C712/100/12+(E713-1))</f>
        <v/>
      </c>
      <c r="G713" s="8">
        <f>G712*(1+F713)</f>
        <v/>
      </c>
    </row>
    <row r="714">
      <c r="A714" s="8" t="inlineStr">
        <is>
          <t>2012-03-01</t>
        </is>
      </c>
      <c r="B714" s="6" t="n">
        <v>1.02</v>
      </c>
      <c r="C714" s="6" t="n">
        <v>5.23</v>
      </c>
      <c r="D714" s="8">
        <f>-PV(B714/100,5,B713/100,1)</f>
        <v/>
      </c>
      <c r="E714" s="8">
        <f>-PV(C714/100,7,C713/100,1)</f>
        <v/>
      </c>
      <c r="F714" s="8">
        <f>$B$3*(B713/100/12+(D714-1))+$B$4*(C713/100/12+(E714-1))</f>
        <v/>
      </c>
      <c r="G714" s="8">
        <f>G713*(1+F714)</f>
        <v/>
      </c>
    </row>
    <row r="715">
      <c r="A715" s="8" t="inlineStr">
        <is>
          <t>2012-04-01</t>
        </is>
      </c>
      <c r="B715" s="6" t="n">
        <v>0.89</v>
      </c>
      <c r="C715" s="6" t="n">
        <v>5.19</v>
      </c>
      <c r="D715" s="8">
        <f>-PV(B715/100,5,B714/100,1)</f>
        <v/>
      </c>
      <c r="E715" s="8">
        <f>-PV(C715/100,7,C714/100,1)</f>
        <v/>
      </c>
      <c r="F715" s="8">
        <f>$B$3*(B714/100/12+(D715-1))+$B$4*(C714/100/12+(E715-1))</f>
        <v/>
      </c>
      <c r="G715" s="8">
        <f>G714*(1+F715)</f>
        <v/>
      </c>
    </row>
    <row r="716">
      <c r="A716" s="8" t="inlineStr">
        <is>
          <t>2012-05-01</t>
        </is>
      </c>
      <c r="B716" s="6" t="n">
        <v>0.76</v>
      </c>
      <c r="C716" s="6" t="n">
        <v>5.07</v>
      </c>
      <c r="D716" s="8">
        <f>-PV(B716/100,5,B715/100,1)</f>
        <v/>
      </c>
      <c r="E716" s="8">
        <f>-PV(C716/100,7,C715/100,1)</f>
        <v/>
      </c>
      <c r="F716" s="8">
        <f>$B$3*(B715/100/12+(D716-1))+$B$4*(C715/100/12+(E716-1))</f>
        <v/>
      </c>
      <c r="G716" s="8">
        <f>G715*(1+F716)</f>
        <v/>
      </c>
    </row>
    <row r="717">
      <c r="A717" s="8" t="inlineStr">
        <is>
          <t>2012-06-01</t>
        </is>
      </c>
      <c r="B717" s="6" t="n">
        <v>0.71</v>
      </c>
      <c r="C717" s="6" t="n">
        <v>5.02</v>
      </c>
      <c r="D717" s="8">
        <f>-PV(B717/100,5,B716/100,1)</f>
        <v/>
      </c>
      <c r="E717" s="8">
        <f>-PV(C717/100,7,C716/100,1)</f>
        <v/>
      </c>
      <c r="F717" s="8">
        <f>$B$3*(B716/100/12+(D717-1))+$B$4*(C716/100/12+(E717-1))</f>
        <v/>
      </c>
      <c r="G717" s="8">
        <f>G716*(1+F717)</f>
        <v/>
      </c>
    </row>
    <row r="718">
      <c r="A718" s="8" t="inlineStr">
        <is>
          <t>2012-07-01</t>
        </is>
      </c>
      <c r="B718" s="6" t="n">
        <v>0.62</v>
      </c>
      <c r="C718" s="6" t="n">
        <v>4.87</v>
      </c>
      <c r="D718" s="8">
        <f>-PV(B718/100,5,B717/100,1)</f>
        <v/>
      </c>
      <c r="E718" s="8">
        <f>-PV(C718/100,7,C717/100,1)</f>
        <v/>
      </c>
      <c r="F718" s="8">
        <f>$B$3*(B717/100/12+(D718-1))+$B$4*(C717/100/12+(E718-1))</f>
        <v/>
      </c>
      <c r="G718" s="8">
        <f>G717*(1+F718)</f>
        <v/>
      </c>
    </row>
    <row r="719">
      <c r="A719" s="8" t="inlineStr">
        <is>
          <t>2012-08-01</t>
        </is>
      </c>
      <c r="B719" s="6" t="n">
        <v>0.71</v>
      </c>
      <c r="C719" s="6" t="n">
        <v>4.91</v>
      </c>
      <c r="D719" s="8">
        <f>-PV(B719/100,5,B718/100,1)</f>
        <v/>
      </c>
      <c r="E719" s="8">
        <f>-PV(C719/100,7,C718/100,1)</f>
        <v/>
      </c>
      <c r="F719" s="8">
        <f>$B$3*(B718/100/12+(D719-1))+$B$4*(C718/100/12+(E719-1))</f>
        <v/>
      </c>
      <c r="G719" s="8">
        <f>G718*(1+F719)</f>
        <v/>
      </c>
    </row>
    <row r="720">
      <c r="A720" s="8" t="inlineStr">
        <is>
          <t>2012-09-01</t>
        </is>
      </c>
      <c r="B720" s="6" t="n">
        <v>0.67</v>
      </c>
      <c r="C720" s="6" t="n">
        <v>4.84</v>
      </c>
      <c r="D720" s="8">
        <f>-PV(B720/100,5,B719/100,1)</f>
        <v/>
      </c>
      <c r="E720" s="8">
        <f>-PV(C720/100,7,C719/100,1)</f>
        <v/>
      </c>
      <c r="F720" s="8">
        <f>$B$3*(B719/100/12+(D720-1))+$B$4*(C719/100/12+(E720-1))</f>
        <v/>
      </c>
      <c r="G720" s="8">
        <f>G719*(1+F720)</f>
        <v/>
      </c>
    </row>
    <row r="721">
      <c r="A721" s="8" t="inlineStr">
        <is>
          <t>2012-10-01</t>
        </is>
      </c>
      <c r="B721" s="6" t="n">
        <v>0.71</v>
      </c>
      <c r="C721" s="6" t="n">
        <v>4.58</v>
      </c>
      <c r="D721" s="8">
        <f>-PV(B721/100,5,B720/100,1)</f>
        <v/>
      </c>
      <c r="E721" s="8">
        <f>-PV(C721/100,7,C720/100,1)</f>
        <v/>
      </c>
      <c r="F721" s="8">
        <f>$B$3*(B720/100/12+(D721-1))+$B$4*(C720/100/12+(E721-1))</f>
        <v/>
      </c>
      <c r="G721" s="8">
        <f>G720*(1+F721)</f>
        <v/>
      </c>
    </row>
    <row r="722">
      <c r="A722" s="8" t="inlineStr">
        <is>
          <t>2012-11-01</t>
        </is>
      </c>
      <c r="B722" s="6" t="n">
        <v>0.67</v>
      </c>
      <c r="C722" s="6" t="n">
        <v>4.51</v>
      </c>
      <c r="D722" s="8">
        <f>-PV(B722/100,5,B721/100,1)</f>
        <v/>
      </c>
      <c r="E722" s="8">
        <f>-PV(C722/100,7,C721/100,1)</f>
        <v/>
      </c>
      <c r="F722" s="8">
        <f>$B$3*(B721/100/12+(D722-1))+$B$4*(C721/100/12+(E722-1))</f>
        <v/>
      </c>
      <c r="G722" s="8">
        <f>G721*(1+F722)</f>
        <v/>
      </c>
    </row>
    <row r="723">
      <c r="A723" s="8" t="inlineStr">
        <is>
          <t>2012-12-01</t>
        </is>
      </c>
      <c r="B723" s="6" t="n">
        <v>0.7</v>
      </c>
      <c r="C723" s="6" t="n">
        <v>4.63</v>
      </c>
      <c r="D723" s="8">
        <f>-PV(B723/100,5,B722/100,1)</f>
        <v/>
      </c>
      <c r="E723" s="8">
        <f>-PV(C723/100,7,C722/100,1)</f>
        <v/>
      </c>
      <c r="F723" s="8">
        <f>$B$3*(B722/100/12+(D723-1))+$B$4*(C722/100/12+(E723-1))</f>
        <v/>
      </c>
      <c r="G723" s="8">
        <f>G722*(1+F723)</f>
        <v/>
      </c>
    </row>
    <row r="724">
      <c r="A724" s="8" t="inlineStr">
        <is>
          <t>2013-01-01</t>
        </is>
      </c>
      <c r="B724" s="6" t="n">
        <v>0.8100000000000001</v>
      </c>
      <c r="C724" s="6" t="n">
        <v>4.73</v>
      </c>
      <c r="D724" s="8">
        <f>-PV(B724/100,5,B723/100,1)</f>
        <v/>
      </c>
      <c r="E724" s="8">
        <f>-PV(C724/100,7,C723/100,1)</f>
        <v/>
      </c>
      <c r="F724" s="8">
        <f>$B$3*(B723/100/12+(D724-1))+$B$4*(C723/100/12+(E724-1))</f>
        <v/>
      </c>
      <c r="G724" s="8">
        <f>G723*(1+F724)</f>
        <v/>
      </c>
    </row>
    <row r="725">
      <c r="A725" s="8" t="inlineStr">
        <is>
          <t>2013-02-01</t>
        </is>
      </c>
      <c r="B725" s="6" t="n">
        <v>0.85</v>
      </c>
      <c r="C725" s="6" t="n">
        <v>4.85</v>
      </c>
      <c r="D725" s="8">
        <f>-PV(B725/100,5,B724/100,1)</f>
        <v/>
      </c>
      <c r="E725" s="8">
        <f>-PV(C725/100,7,C724/100,1)</f>
        <v/>
      </c>
      <c r="F725" s="8">
        <f>$B$3*(B724/100/12+(D725-1))+$B$4*(C724/100/12+(E725-1))</f>
        <v/>
      </c>
      <c r="G725" s="8">
        <f>G724*(1+F725)</f>
        <v/>
      </c>
    </row>
    <row r="726">
      <c r="A726" s="8" t="inlineStr">
        <is>
          <t>2013-03-01</t>
        </is>
      </c>
      <c r="B726" s="6" t="n">
        <v>0.82</v>
      </c>
      <c r="C726" s="6" t="n">
        <v>4.85</v>
      </c>
      <c r="D726" s="8">
        <f>-PV(B726/100,5,B725/100,1)</f>
        <v/>
      </c>
      <c r="E726" s="8">
        <f>-PV(C726/100,7,C725/100,1)</f>
        <v/>
      </c>
      <c r="F726" s="8">
        <f>$B$3*(B725/100/12+(D726-1))+$B$4*(C725/100/12+(E726-1))</f>
        <v/>
      </c>
      <c r="G726" s="8">
        <f>G725*(1+F726)</f>
        <v/>
      </c>
    </row>
    <row r="727">
      <c r="A727" s="8" t="inlineStr">
        <is>
          <t>2013-04-01</t>
        </is>
      </c>
      <c r="B727" s="6" t="n">
        <v>0.71</v>
      </c>
      <c r="C727" s="6" t="n">
        <v>4.59</v>
      </c>
      <c r="D727" s="8">
        <f>-PV(B727/100,5,B726/100,1)</f>
        <v/>
      </c>
      <c r="E727" s="8">
        <f>-PV(C727/100,7,C726/100,1)</f>
        <v/>
      </c>
      <c r="F727" s="8">
        <f>$B$3*(B726/100/12+(D727-1))+$B$4*(C726/100/12+(E727-1))</f>
        <v/>
      </c>
      <c r="G727" s="8">
        <f>G726*(1+F727)</f>
        <v/>
      </c>
    </row>
    <row r="728">
      <c r="A728" s="8" t="inlineStr">
        <is>
          <t>2013-05-01</t>
        </is>
      </c>
      <c r="B728" s="6" t="n">
        <v>0.84</v>
      </c>
      <c r="C728" s="6" t="n">
        <v>4.73</v>
      </c>
      <c r="D728" s="8">
        <f>-PV(B728/100,5,B727/100,1)</f>
        <v/>
      </c>
      <c r="E728" s="8">
        <f>-PV(C728/100,7,C727/100,1)</f>
        <v/>
      </c>
      <c r="F728" s="8">
        <f>$B$3*(B727/100/12+(D728-1))+$B$4*(C727/100/12+(E728-1))</f>
        <v/>
      </c>
      <c r="G728" s="8">
        <f>G727*(1+F728)</f>
        <v/>
      </c>
    </row>
    <row r="729">
      <c r="A729" s="8" t="inlineStr">
        <is>
          <t>2013-06-01</t>
        </is>
      </c>
      <c r="B729" s="6" t="n">
        <v>1.2</v>
      </c>
      <c r="C729" s="6" t="n">
        <v>5.19</v>
      </c>
      <c r="D729" s="8">
        <f>-PV(B729/100,5,B728/100,1)</f>
        <v/>
      </c>
      <c r="E729" s="8">
        <f>-PV(C729/100,7,C728/100,1)</f>
        <v/>
      </c>
      <c r="F729" s="8">
        <f>$B$3*(B728/100/12+(D729-1))+$B$4*(C728/100/12+(E729-1))</f>
        <v/>
      </c>
      <c r="G729" s="8">
        <f>G728*(1+F729)</f>
        <v/>
      </c>
    </row>
    <row r="730">
      <c r="A730" s="8" t="inlineStr">
        <is>
          <t>2013-07-01</t>
        </is>
      </c>
      <c r="B730" s="6" t="n">
        <v>1.4</v>
      </c>
      <c r="C730" s="6" t="n">
        <v>5.32</v>
      </c>
      <c r="D730" s="8">
        <f>-PV(B730/100,5,B729/100,1)</f>
        <v/>
      </c>
      <c r="E730" s="8">
        <f>-PV(C730/100,7,C729/100,1)</f>
        <v/>
      </c>
      <c r="F730" s="8">
        <f>$B$3*(B729/100/12+(D730-1))+$B$4*(C729/100/12+(E730-1))</f>
        <v/>
      </c>
      <c r="G730" s="8">
        <f>G729*(1+F730)</f>
        <v/>
      </c>
    </row>
    <row r="731">
      <c r="A731" s="8" t="inlineStr">
        <is>
          <t>2013-08-01</t>
        </is>
      </c>
      <c r="B731" s="6" t="n">
        <v>1.52</v>
      </c>
      <c r="C731" s="6" t="n">
        <v>5.42</v>
      </c>
      <c r="D731" s="8">
        <f>-PV(B731/100,5,B730/100,1)</f>
        <v/>
      </c>
      <c r="E731" s="8">
        <f>-PV(C731/100,7,C730/100,1)</f>
        <v/>
      </c>
      <c r="F731" s="8">
        <f>$B$3*(B730/100/12+(D731-1))+$B$4*(C730/100/12+(E731-1))</f>
        <v/>
      </c>
      <c r="G731" s="8">
        <f>G730*(1+F731)</f>
        <v/>
      </c>
    </row>
    <row r="732">
      <c r="A732" s="8" t="inlineStr">
        <is>
          <t>2013-09-01</t>
        </is>
      </c>
      <c r="B732" s="6" t="n">
        <v>1.6</v>
      </c>
      <c r="C732" s="6" t="n">
        <v>5.47</v>
      </c>
      <c r="D732" s="8">
        <f>-PV(B732/100,5,B731/100,1)</f>
        <v/>
      </c>
      <c r="E732" s="8">
        <f>-PV(C732/100,7,C731/100,1)</f>
        <v/>
      </c>
      <c r="F732" s="8">
        <f>$B$3*(B731/100/12+(D732-1))+$B$4*(C731/100/12+(E732-1))</f>
        <v/>
      </c>
      <c r="G732" s="8">
        <f>G731*(1+F732)</f>
        <v/>
      </c>
    </row>
    <row r="733">
      <c r="A733" s="8" t="inlineStr">
        <is>
          <t>2013-10-01</t>
        </is>
      </c>
      <c r="B733" s="6" t="n">
        <v>1.37</v>
      </c>
      <c r="C733" s="6" t="n">
        <v>5.31</v>
      </c>
      <c r="D733" s="8">
        <f>-PV(B733/100,5,B732/100,1)</f>
        <v/>
      </c>
      <c r="E733" s="8">
        <f>-PV(C733/100,7,C732/100,1)</f>
        <v/>
      </c>
      <c r="F733" s="8">
        <f>$B$3*(B732/100/12+(D733-1))+$B$4*(C732/100/12+(E733-1))</f>
        <v/>
      </c>
      <c r="G733" s="8">
        <f>G732*(1+F733)</f>
        <v/>
      </c>
    </row>
    <row r="734">
      <c r="A734" s="8" t="inlineStr">
        <is>
          <t>2013-11-01</t>
        </is>
      </c>
      <c r="B734" s="6" t="n">
        <v>1.37</v>
      </c>
      <c r="C734" s="6" t="n">
        <v>5.38</v>
      </c>
      <c r="D734" s="8">
        <f>-PV(B734/100,5,B733/100,1)</f>
        <v/>
      </c>
      <c r="E734" s="8">
        <f>-PV(C734/100,7,C733/100,1)</f>
        <v/>
      </c>
      <c r="F734" s="8">
        <f>$B$3*(B733/100/12+(D734-1))+$B$4*(C733/100/12+(E734-1))</f>
        <v/>
      </c>
      <c r="G734" s="8">
        <f>G733*(1+F734)</f>
        <v/>
      </c>
    </row>
    <row r="735">
      <c r="A735" s="8" t="inlineStr">
        <is>
          <t>2013-12-01</t>
        </is>
      </c>
      <c r="B735" s="6" t="n">
        <v>1.58</v>
      </c>
      <c r="C735" s="6" t="n">
        <v>5.38</v>
      </c>
      <c r="D735" s="8">
        <f>-PV(B735/100,5,B734/100,1)</f>
        <v/>
      </c>
      <c r="E735" s="8">
        <f>-PV(C735/100,7,C734/100,1)</f>
        <v/>
      </c>
      <c r="F735" s="8">
        <f>$B$3*(B734/100/12+(D735-1))+$B$4*(C734/100/12+(E735-1))</f>
        <v/>
      </c>
      <c r="G735" s="8">
        <f>G734*(1+F735)</f>
        <v/>
      </c>
    </row>
    <row r="736">
      <c r="A736" s="8" t="inlineStr">
        <is>
          <t>2014-01-01</t>
        </is>
      </c>
      <c r="B736" s="6" t="n">
        <v>1.65</v>
      </c>
      <c r="C736" s="6" t="n">
        <v>5.19</v>
      </c>
      <c r="D736" s="8">
        <f>-PV(B736/100,5,B735/100,1)</f>
        <v/>
      </c>
      <c r="E736" s="8">
        <f>-PV(C736/100,7,C735/100,1)</f>
        <v/>
      </c>
      <c r="F736" s="8">
        <f>$B$3*(B735/100/12+(D736-1))+$B$4*(C735/100/12+(E736-1))</f>
        <v/>
      </c>
      <c r="G736" s="8">
        <f>G735*(1+F736)</f>
        <v/>
      </c>
    </row>
    <row r="737">
      <c r="A737" s="8" t="inlineStr">
        <is>
          <t>2014-02-01</t>
        </is>
      </c>
      <c r="B737" s="6" t="n">
        <v>1.52</v>
      </c>
      <c r="C737" s="6" t="n">
        <v>5.1</v>
      </c>
      <c r="D737" s="8">
        <f>-PV(B737/100,5,B736/100,1)</f>
        <v/>
      </c>
      <c r="E737" s="8">
        <f>-PV(C737/100,7,C736/100,1)</f>
        <v/>
      </c>
      <c r="F737" s="8">
        <f>$B$3*(B736/100/12+(D737-1))+$B$4*(C736/100/12+(E737-1))</f>
        <v/>
      </c>
      <c r="G737" s="8">
        <f>G736*(1+F737)</f>
        <v/>
      </c>
    </row>
    <row r="738">
      <c r="A738" s="8" t="inlineStr">
        <is>
          <t>2014-03-01</t>
        </is>
      </c>
      <c r="B738" s="6" t="n">
        <v>1.64</v>
      </c>
      <c r="C738" s="6" t="n">
        <v>5.06</v>
      </c>
      <c r="D738" s="8">
        <f>-PV(B738/100,5,B737/100,1)</f>
        <v/>
      </c>
      <c r="E738" s="8">
        <f>-PV(C738/100,7,C737/100,1)</f>
        <v/>
      </c>
      <c r="F738" s="8">
        <f>$B$3*(B737/100/12+(D738-1))+$B$4*(C737/100/12+(E738-1))</f>
        <v/>
      </c>
      <c r="G738" s="8">
        <f>G737*(1+F738)</f>
        <v/>
      </c>
    </row>
    <row r="739">
      <c r="A739" s="8" t="inlineStr">
        <is>
          <t>2014-04-01</t>
        </is>
      </c>
      <c r="B739" s="6" t="n">
        <v>1.7</v>
      </c>
      <c r="C739" s="6" t="n">
        <v>4.9</v>
      </c>
      <c r="D739" s="8">
        <f>-PV(B739/100,5,B738/100,1)</f>
        <v/>
      </c>
      <c r="E739" s="8">
        <f>-PV(C739/100,7,C738/100,1)</f>
        <v/>
      </c>
      <c r="F739" s="8">
        <f>$B$3*(B738/100/12+(D739-1))+$B$4*(C738/100/12+(E739-1))</f>
        <v/>
      </c>
      <c r="G739" s="8">
        <f>G738*(1+F739)</f>
        <v/>
      </c>
    </row>
    <row r="740">
      <c r="A740" s="8" t="inlineStr">
        <is>
          <t>2014-05-01</t>
        </is>
      </c>
      <c r="B740" s="6" t="n">
        <v>1.59</v>
      </c>
      <c r="C740" s="6" t="n">
        <v>4.76</v>
      </c>
      <c r="D740" s="8">
        <f>-PV(B740/100,5,B739/100,1)</f>
        <v/>
      </c>
      <c r="E740" s="8">
        <f>-PV(C740/100,7,C739/100,1)</f>
        <v/>
      </c>
      <c r="F740" s="8">
        <f>$B$3*(B739/100/12+(D740-1))+$B$4*(C739/100/12+(E740-1))</f>
        <v/>
      </c>
      <c r="G740" s="8">
        <f>G739*(1+F740)</f>
        <v/>
      </c>
    </row>
    <row r="741">
      <c r="A741" s="8" t="inlineStr">
        <is>
          <t>2014-06-01</t>
        </is>
      </c>
      <c r="B741" s="6" t="n">
        <v>1.68</v>
      </c>
      <c r="C741" s="6" t="n">
        <v>4.8</v>
      </c>
      <c r="D741" s="8">
        <f>-PV(B741/100,5,B740/100,1)</f>
        <v/>
      </c>
      <c r="E741" s="8">
        <f>-PV(C741/100,7,C740/100,1)</f>
        <v/>
      </c>
      <c r="F741" s="8">
        <f>$B$3*(B740/100/12+(D741-1))+$B$4*(C740/100/12+(E741-1))</f>
        <v/>
      </c>
      <c r="G741" s="8">
        <f>G740*(1+F741)</f>
        <v/>
      </c>
    </row>
    <row r="742">
      <c r="A742" s="8" t="inlineStr">
        <is>
          <t>2014-07-01</t>
        </is>
      </c>
      <c r="B742" s="6" t="n">
        <v>1.7</v>
      </c>
      <c r="C742" s="6" t="n">
        <v>4.73</v>
      </c>
      <c r="D742" s="8">
        <f>-PV(B742/100,5,B741/100,1)</f>
        <v/>
      </c>
      <c r="E742" s="8">
        <f>-PV(C742/100,7,C741/100,1)</f>
        <v/>
      </c>
      <c r="F742" s="8">
        <f>$B$3*(B741/100/12+(D742-1))+$B$4*(C741/100/12+(E742-1))</f>
        <v/>
      </c>
      <c r="G742" s="8">
        <f>G741*(1+F742)</f>
        <v/>
      </c>
    </row>
    <row r="743">
      <c r="A743" s="8" t="inlineStr">
        <is>
          <t>2014-08-01</t>
        </is>
      </c>
      <c r="B743" s="6" t="n">
        <v>1.63</v>
      </c>
      <c r="C743" s="6" t="n">
        <v>4.69</v>
      </c>
      <c r="D743" s="8">
        <f>-PV(B743/100,5,B742/100,1)</f>
        <v/>
      </c>
      <c r="E743" s="8">
        <f>-PV(C743/100,7,C742/100,1)</f>
        <v/>
      </c>
      <c r="F743" s="8">
        <f>$B$3*(B742/100/12+(D743-1))+$B$4*(C742/100/12+(E743-1))</f>
        <v/>
      </c>
      <c r="G743" s="8">
        <f>G742*(1+F743)</f>
        <v/>
      </c>
    </row>
    <row r="744">
      <c r="A744" s="8" t="inlineStr">
        <is>
          <t>2014-09-01</t>
        </is>
      </c>
      <c r="B744" s="6" t="n">
        <v>1.77</v>
      </c>
      <c r="C744" s="6" t="n">
        <v>4.8</v>
      </c>
      <c r="D744" s="8">
        <f>-PV(B744/100,5,B743/100,1)</f>
        <v/>
      </c>
      <c r="E744" s="8">
        <f>-PV(C744/100,7,C743/100,1)</f>
        <v/>
      </c>
      <c r="F744" s="8">
        <f>$B$3*(B743/100/12+(D744-1))+$B$4*(C743/100/12+(E744-1))</f>
        <v/>
      </c>
      <c r="G744" s="8">
        <f>G743*(1+F744)</f>
        <v/>
      </c>
    </row>
    <row r="745">
      <c r="A745" s="8" t="inlineStr">
        <is>
          <t>2014-10-01</t>
        </is>
      </c>
      <c r="B745" s="6" t="n">
        <v>1.55</v>
      </c>
      <c r="C745" s="6" t="n">
        <v>4.69</v>
      </c>
      <c r="D745" s="8">
        <f>-PV(B745/100,5,B744/100,1)</f>
        <v/>
      </c>
      <c r="E745" s="8">
        <f>-PV(C745/100,7,C744/100,1)</f>
        <v/>
      </c>
      <c r="F745" s="8">
        <f>$B$3*(B744/100/12+(D745-1))+$B$4*(C744/100/12+(E745-1))</f>
        <v/>
      </c>
      <c r="G745" s="8">
        <f>G744*(1+F745)</f>
        <v/>
      </c>
    </row>
    <row r="746">
      <c r="A746" s="8" t="inlineStr">
        <is>
          <t>2014-11-01</t>
        </is>
      </c>
      <c r="B746" s="6" t="n">
        <v>1.62</v>
      </c>
      <c r="C746" s="6" t="n">
        <v>4.79</v>
      </c>
      <c r="D746" s="8">
        <f>-PV(B746/100,5,B745/100,1)</f>
        <v/>
      </c>
      <c r="E746" s="8">
        <f>-PV(C746/100,7,C745/100,1)</f>
        <v/>
      </c>
      <c r="F746" s="8">
        <f>$B$3*(B745/100/12+(D746-1))+$B$4*(C745/100/12+(E746-1))</f>
        <v/>
      </c>
      <c r="G746" s="8">
        <f>G745*(1+F746)</f>
        <v/>
      </c>
    </row>
    <row r="747">
      <c r="A747" s="8" t="inlineStr">
        <is>
          <t>2014-12-01</t>
        </is>
      </c>
      <c r="B747" s="6" t="n">
        <v>1.64</v>
      </c>
      <c r="C747" s="6" t="n">
        <v>4.74</v>
      </c>
      <c r="D747" s="8">
        <f>-PV(B747/100,5,B746/100,1)</f>
        <v/>
      </c>
      <c r="E747" s="8">
        <f>-PV(C747/100,7,C746/100,1)</f>
        <v/>
      </c>
      <c r="F747" s="8">
        <f>$B$3*(B746/100/12+(D747-1))+$B$4*(C746/100/12+(E747-1))</f>
        <v/>
      </c>
      <c r="G747" s="8">
        <f>G746*(1+F747)</f>
        <v/>
      </c>
    </row>
    <row r="748">
      <c r="A748" s="8" t="inlineStr">
        <is>
          <t>2015-01-01</t>
        </is>
      </c>
      <c r="B748" s="6" t="n">
        <v>1.37</v>
      </c>
      <c r="C748" s="6" t="n">
        <v>4.45</v>
      </c>
      <c r="D748" s="8">
        <f>-PV(B748/100,5,B747/100,1)</f>
        <v/>
      </c>
      <c r="E748" s="8">
        <f>-PV(C748/100,7,C747/100,1)</f>
        <v/>
      </c>
      <c r="F748" s="8">
        <f>$B$3*(B747/100/12+(D748-1))+$B$4*(C747/100/12+(E748-1))</f>
        <v/>
      </c>
      <c r="G748" s="8">
        <f>G747*(1+F748)</f>
        <v/>
      </c>
    </row>
    <row r="749">
      <c r="A749" s="8" t="inlineStr">
        <is>
          <t>2015-02-01</t>
        </is>
      </c>
      <c r="B749" s="6" t="n">
        <v>1.47</v>
      </c>
      <c r="C749" s="6" t="n">
        <v>4.51</v>
      </c>
      <c r="D749" s="8">
        <f>-PV(B749/100,5,B748/100,1)</f>
        <v/>
      </c>
      <c r="E749" s="8">
        <f>-PV(C749/100,7,C748/100,1)</f>
        <v/>
      </c>
      <c r="F749" s="8">
        <f>$B$3*(B748/100/12+(D749-1))+$B$4*(C748/100/12+(E749-1))</f>
        <v/>
      </c>
      <c r="G749" s="8">
        <f>G748*(1+F749)</f>
        <v/>
      </c>
    </row>
    <row r="750">
      <c r="A750" s="8" t="inlineStr">
        <is>
          <t>2015-03-01</t>
        </is>
      </c>
      <c r="B750" s="6" t="n">
        <v>1.52</v>
      </c>
      <c r="C750" s="6" t="n">
        <v>4.54</v>
      </c>
      <c r="D750" s="8">
        <f>-PV(B750/100,5,B749/100,1)</f>
        <v/>
      </c>
      <c r="E750" s="8">
        <f>-PV(C750/100,7,C749/100,1)</f>
        <v/>
      </c>
      <c r="F750" s="8">
        <f>$B$3*(B749/100/12+(D750-1))+$B$4*(C749/100/12+(E750-1))</f>
        <v/>
      </c>
      <c r="G750" s="8">
        <f>G749*(1+F750)</f>
        <v/>
      </c>
    </row>
    <row r="751">
      <c r="A751" s="8" t="inlineStr">
        <is>
          <t>2015-04-01</t>
        </is>
      </c>
      <c r="B751" s="6" t="n">
        <v>1.35</v>
      </c>
      <c r="C751" s="6" t="n">
        <v>4.48</v>
      </c>
      <c r="D751" s="8">
        <f>-PV(B751/100,5,B750/100,1)</f>
        <v/>
      </c>
      <c r="E751" s="8">
        <f>-PV(C751/100,7,C750/100,1)</f>
        <v/>
      </c>
      <c r="F751" s="8">
        <f>$B$3*(B750/100/12+(D751-1))+$B$4*(C750/100/12+(E751-1))</f>
        <v/>
      </c>
      <c r="G751" s="8">
        <f>G750*(1+F751)</f>
        <v/>
      </c>
    </row>
    <row r="752">
      <c r="A752" s="8" t="inlineStr">
        <is>
          <t>2015-05-01</t>
        </is>
      </c>
      <c r="B752" s="6" t="n">
        <v>1.54</v>
      </c>
      <c r="C752" s="6" t="n">
        <v>4.89</v>
      </c>
      <c r="D752" s="8">
        <f>-PV(B752/100,5,B751/100,1)</f>
        <v/>
      </c>
      <c r="E752" s="8">
        <f>-PV(C752/100,7,C751/100,1)</f>
        <v/>
      </c>
      <c r="F752" s="8">
        <f>$B$3*(B751/100/12+(D752-1))+$B$4*(C751/100/12+(E752-1))</f>
        <v/>
      </c>
      <c r="G752" s="8">
        <f>G751*(1+F752)</f>
        <v/>
      </c>
    </row>
    <row r="753">
      <c r="A753" s="8" t="inlineStr">
        <is>
          <t>2015-06-01</t>
        </is>
      </c>
      <c r="B753" s="6" t="n">
        <v>1.68</v>
      </c>
      <c r="C753" s="6" t="n">
        <v>5.13</v>
      </c>
      <c r="D753" s="8">
        <f>-PV(B753/100,5,B752/100,1)</f>
        <v/>
      </c>
      <c r="E753" s="8">
        <f>-PV(C753/100,7,C752/100,1)</f>
        <v/>
      </c>
      <c r="F753" s="8">
        <f>$B$3*(B752/100/12+(D753-1))+$B$4*(C752/100/12+(E753-1))</f>
        <v/>
      </c>
      <c r="G753" s="8">
        <f>G752*(1+F753)</f>
        <v/>
      </c>
    </row>
    <row r="754">
      <c r="A754" s="8" t="inlineStr">
        <is>
          <t>2015-07-01</t>
        </is>
      </c>
      <c r="B754" s="6" t="n">
        <v>1.63</v>
      </c>
      <c r="C754" s="6" t="n">
        <v>5.2</v>
      </c>
      <c r="D754" s="8">
        <f>-PV(B754/100,5,B753/100,1)</f>
        <v/>
      </c>
      <c r="E754" s="8">
        <f>-PV(C754/100,7,C753/100,1)</f>
        <v/>
      </c>
      <c r="F754" s="8">
        <f>$B$3*(B753/100/12+(D754-1))+$B$4*(C753/100/12+(E754-1))</f>
        <v/>
      </c>
      <c r="G754" s="8">
        <f>G753*(1+F754)</f>
        <v/>
      </c>
    </row>
    <row r="755">
      <c r="A755" s="8" t="inlineStr">
        <is>
          <t>2015-08-01</t>
        </is>
      </c>
      <c r="B755" s="6" t="n">
        <v>1.54</v>
      </c>
      <c r="C755" s="6" t="n">
        <v>5.19</v>
      </c>
      <c r="D755" s="8">
        <f>-PV(B755/100,5,B754/100,1)</f>
        <v/>
      </c>
      <c r="E755" s="8">
        <f>-PV(C755/100,7,C754/100,1)</f>
        <v/>
      </c>
      <c r="F755" s="8">
        <f>$B$3*(B754/100/12+(D755-1))+$B$4*(C754/100/12+(E755-1))</f>
        <v/>
      </c>
      <c r="G755" s="8">
        <f>G754*(1+F755)</f>
        <v/>
      </c>
    </row>
    <row r="756">
      <c r="A756" s="8" t="inlineStr">
        <is>
          <t>2015-09-01</t>
        </is>
      </c>
      <c r="B756" s="6" t="n">
        <v>1.49</v>
      </c>
      <c r="C756" s="6" t="n">
        <v>5.34</v>
      </c>
      <c r="D756" s="8">
        <f>-PV(B756/100,5,B755/100,1)</f>
        <v/>
      </c>
      <c r="E756" s="8">
        <f>-PV(C756/100,7,C755/100,1)</f>
        <v/>
      </c>
      <c r="F756" s="8">
        <f>$B$3*(B755/100/12+(D756-1))+$B$4*(C755/100/12+(E756-1))</f>
        <v/>
      </c>
      <c r="G756" s="8">
        <f>G755*(1+F756)</f>
        <v/>
      </c>
    </row>
    <row r="757">
      <c r="A757" s="8" t="inlineStr">
        <is>
          <t>2015-10-01</t>
        </is>
      </c>
      <c r="B757" s="6" t="n">
        <v>1.39</v>
      </c>
      <c r="C757" s="6" t="n">
        <v>5.34</v>
      </c>
      <c r="D757" s="8">
        <f>-PV(B757/100,5,B756/100,1)</f>
        <v/>
      </c>
      <c r="E757" s="8">
        <f>-PV(C757/100,7,C756/100,1)</f>
        <v/>
      </c>
      <c r="F757" s="8">
        <f>$B$3*(B756/100/12+(D757-1))+$B$4*(C756/100/12+(E757-1))</f>
        <v/>
      </c>
      <c r="G757" s="8">
        <f>G756*(1+F757)</f>
        <v/>
      </c>
    </row>
    <row r="758">
      <c r="A758" s="8" t="inlineStr">
        <is>
          <t>2015-11-01</t>
        </is>
      </c>
      <c r="B758" s="6" t="n">
        <v>1.67</v>
      </c>
      <c r="C758" s="6" t="n">
        <v>5.46</v>
      </c>
      <c r="D758" s="8">
        <f>-PV(B758/100,5,B757/100,1)</f>
        <v/>
      </c>
      <c r="E758" s="8">
        <f>-PV(C758/100,7,C757/100,1)</f>
        <v/>
      </c>
      <c r="F758" s="8">
        <f>$B$3*(B757/100/12+(D758-1))+$B$4*(C757/100/12+(E758-1))</f>
        <v/>
      </c>
      <c r="G758" s="8">
        <f>G757*(1+F758)</f>
        <v/>
      </c>
    </row>
    <row r="759">
      <c r="A759" s="8" t="inlineStr">
        <is>
          <t>2015-12-01</t>
        </is>
      </c>
      <c r="B759" s="6" t="n">
        <v>1.7</v>
      </c>
      <c r="C759" s="6" t="n">
        <v>5.46</v>
      </c>
      <c r="D759" s="8">
        <f>-PV(B759/100,5,B758/100,1)</f>
        <v/>
      </c>
      <c r="E759" s="8">
        <f>-PV(C759/100,7,C758/100,1)</f>
        <v/>
      </c>
      <c r="F759" s="8">
        <f>$B$3*(B758/100/12+(D759-1))+$B$4*(C758/100/12+(E759-1))</f>
        <v/>
      </c>
      <c r="G759" s="8">
        <f>G758*(1+F759)</f>
        <v/>
      </c>
    </row>
    <row r="760">
      <c r="A760" s="8" t="inlineStr">
        <is>
          <t>2016-01-01</t>
        </is>
      </c>
      <c r="B760" s="6" t="n">
        <v>1.52</v>
      </c>
      <c r="C760" s="6" t="n">
        <v>5.45</v>
      </c>
      <c r="D760" s="8">
        <f>-PV(B760/100,5,B759/100,1)</f>
        <v/>
      </c>
      <c r="E760" s="8">
        <f>-PV(C760/100,7,C759/100,1)</f>
        <v/>
      </c>
      <c r="F760" s="8">
        <f>$B$3*(B759/100/12+(D760-1))+$B$4*(C759/100/12+(E760-1))</f>
        <v/>
      </c>
      <c r="G760" s="8">
        <f>G759*(1+F760)</f>
        <v/>
      </c>
    </row>
    <row r="761">
      <c r="A761" s="8" t="inlineStr">
        <is>
          <t>2016-02-01</t>
        </is>
      </c>
      <c r="B761" s="6" t="n">
        <v>1.22</v>
      </c>
      <c r="C761" s="6" t="n">
        <v>5.34</v>
      </c>
      <c r="D761" s="8">
        <f>-PV(B761/100,5,B760/100,1)</f>
        <v/>
      </c>
      <c r="E761" s="8">
        <f>-PV(C761/100,7,C760/100,1)</f>
        <v/>
      </c>
      <c r="F761" s="8">
        <f>$B$3*(B760/100/12+(D761-1))+$B$4*(C760/100/12+(E761-1))</f>
        <v/>
      </c>
      <c r="G761" s="8">
        <f>G760*(1+F761)</f>
        <v/>
      </c>
    </row>
    <row r="762">
      <c r="A762" s="8" t="inlineStr">
        <is>
          <t>2016-03-01</t>
        </is>
      </c>
      <c r="B762" s="6" t="n">
        <v>1.38</v>
      </c>
      <c r="C762" s="6" t="n">
        <v>5.13</v>
      </c>
      <c r="D762" s="8">
        <f>-PV(B762/100,5,B761/100,1)</f>
        <v/>
      </c>
      <c r="E762" s="8">
        <f>-PV(C762/100,7,C761/100,1)</f>
        <v/>
      </c>
      <c r="F762" s="8">
        <f>$B$3*(B761/100/12+(D762-1))+$B$4*(C761/100/12+(E762-1))</f>
        <v/>
      </c>
      <c r="G762" s="8">
        <f>G761*(1+F762)</f>
        <v/>
      </c>
    </row>
    <row r="763">
      <c r="A763" s="8" t="inlineStr">
        <is>
          <t>2016-04-01</t>
        </is>
      </c>
      <c r="B763" s="6" t="n">
        <v>1.26</v>
      </c>
      <c r="C763" s="6" t="n">
        <v>4.79</v>
      </c>
      <c r="D763" s="8">
        <f>-PV(B763/100,5,B762/100,1)</f>
        <v/>
      </c>
      <c r="E763" s="8">
        <f>-PV(C763/100,7,C762/100,1)</f>
        <v/>
      </c>
      <c r="F763" s="8">
        <f>$B$3*(B762/100/12+(D763-1))+$B$4*(C762/100/12+(E763-1))</f>
        <v/>
      </c>
      <c r="G763" s="8">
        <f>G762*(1+F763)</f>
        <v/>
      </c>
    </row>
    <row r="764">
      <c r="A764" s="8" t="inlineStr">
        <is>
          <t>2016-05-01</t>
        </is>
      </c>
      <c r="B764" s="6" t="n">
        <v>1.3</v>
      </c>
      <c r="C764" s="6" t="n">
        <v>4.68</v>
      </c>
      <c r="D764" s="8">
        <f>-PV(B764/100,5,B763/100,1)</f>
        <v/>
      </c>
      <c r="E764" s="8">
        <f>-PV(C764/100,7,C763/100,1)</f>
        <v/>
      </c>
      <c r="F764" s="8">
        <f>$B$3*(B763/100/12+(D764-1))+$B$4*(C763/100/12+(E764-1))</f>
        <v/>
      </c>
      <c r="G764" s="8">
        <f>G763*(1+F764)</f>
        <v/>
      </c>
    </row>
    <row r="765">
      <c r="A765" s="8" t="inlineStr">
        <is>
          <t>2016-06-01</t>
        </is>
      </c>
      <c r="B765" s="6" t="n">
        <v>1.17</v>
      </c>
      <c r="C765" s="6" t="n">
        <v>4.53</v>
      </c>
      <c r="D765" s="8">
        <f>-PV(B765/100,5,B764/100,1)</f>
        <v/>
      </c>
      <c r="E765" s="8">
        <f>-PV(C765/100,7,C764/100,1)</f>
        <v/>
      </c>
      <c r="F765" s="8">
        <f>$B$3*(B764/100/12+(D765-1))+$B$4*(C764/100/12+(E765-1))</f>
        <v/>
      </c>
      <c r="G765" s="8">
        <f>G764*(1+F765)</f>
        <v/>
      </c>
    </row>
    <row r="766">
      <c r="A766" s="8" t="inlineStr">
        <is>
          <t>2016-07-01</t>
        </is>
      </c>
      <c r="B766" s="6" t="n">
        <v>1.07</v>
      </c>
      <c r="C766" s="6" t="n">
        <v>4.22</v>
      </c>
      <c r="D766" s="8">
        <f>-PV(B766/100,5,B765/100,1)</f>
        <v/>
      </c>
      <c r="E766" s="8">
        <f>-PV(C766/100,7,C765/100,1)</f>
        <v/>
      </c>
      <c r="F766" s="8">
        <f>$B$3*(B765/100/12+(D766-1))+$B$4*(C765/100/12+(E766-1))</f>
        <v/>
      </c>
      <c r="G766" s="8">
        <f>G765*(1+F766)</f>
        <v/>
      </c>
    </row>
    <row r="767">
      <c r="A767" s="8" t="inlineStr">
        <is>
          <t>2016-08-01</t>
        </is>
      </c>
      <c r="B767" s="6" t="n">
        <v>1.13</v>
      </c>
      <c r="C767" s="6" t="n">
        <v>4.24</v>
      </c>
      <c r="D767" s="8">
        <f>-PV(B767/100,5,B766/100,1)</f>
        <v/>
      </c>
      <c r="E767" s="8">
        <f>-PV(C767/100,7,C766/100,1)</f>
        <v/>
      </c>
      <c r="F767" s="8">
        <f>$B$3*(B766/100/12+(D767-1))+$B$4*(C766/100/12+(E767-1))</f>
        <v/>
      </c>
      <c r="G767" s="8">
        <f>G766*(1+F767)</f>
        <v/>
      </c>
    </row>
    <row r="768">
      <c r="A768" s="8" t="inlineStr">
        <is>
          <t>2016-09-01</t>
        </is>
      </c>
      <c r="B768" s="6" t="n">
        <v>1.18</v>
      </c>
      <c r="C768" s="6" t="n">
        <v>4.31</v>
      </c>
      <c r="D768" s="8">
        <f>-PV(B768/100,5,B767/100,1)</f>
        <v/>
      </c>
      <c r="E768" s="8">
        <f>-PV(C768/100,7,C767/100,1)</f>
        <v/>
      </c>
      <c r="F768" s="8">
        <f>$B$3*(B767/100/12+(D768-1))+$B$4*(C767/100/12+(E768-1))</f>
        <v/>
      </c>
      <c r="G768" s="8">
        <f>G767*(1+F768)</f>
        <v/>
      </c>
    </row>
    <row r="769">
      <c r="A769" s="8" t="inlineStr">
        <is>
          <t>2016-10-01</t>
        </is>
      </c>
      <c r="B769" s="6" t="n">
        <v>1.27</v>
      </c>
      <c r="C769" s="6" t="n">
        <v>4.38</v>
      </c>
      <c r="D769" s="8">
        <f>-PV(B769/100,5,B768/100,1)</f>
        <v/>
      </c>
      <c r="E769" s="8">
        <f>-PV(C769/100,7,C768/100,1)</f>
        <v/>
      </c>
      <c r="F769" s="8">
        <f>$B$3*(B768/100/12+(D769-1))+$B$4*(C768/100/12+(E769-1))</f>
        <v/>
      </c>
      <c r="G769" s="8">
        <f>G768*(1+F769)</f>
        <v/>
      </c>
    </row>
    <row r="770">
      <c r="A770" s="8" t="inlineStr">
        <is>
          <t>2016-11-01</t>
        </is>
      </c>
      <c r="B770" s="6" t="n">
        <v>1.6</v>
      </c>
      <c r="C770" s="6" t="n">
        <v>4.71</v>
      </c>
      <c r="D770" s="8">
        <f>-PV(B770/100,5,B769/100,1)</f>
        <v/>
      </c>
      <c r="E770" s="8">
        <f>-PV(C770/100,7,C769/100,1)</f>
        <v/>
      </c>
      <c r="F770" s="8">
        <f>$B$3*(B769/100/12+(D770-1))+$B$4*(C769/100/12+(E770-1))</f>
        <v/>
      </c>
      <c r="G770" s="8">
        <f>G769*(1+F770)</f>
        <v/>
      </c>
    </row>
    <row r="771">
      <c r="A771" s="8" t="inlineStr">
        <is>
          <t>2016-12-01</t>
        </is>
      </c>
      <c r="B771" s="6" t="n">
        <v>1.96</v>
      </c>
      <c r="C771" s="6" t="n">
        <v>4.83</v>
      </c>
      <c r="D771" s="8">
        <f>-PV(B771/100,5,B770/100,1)</f>
        <v/>
      </c>
      <c r="E771" s="8">
        <f>-PV(C771/100,7,C770/100,1)</f>
        <v/>
      </c>
      <c r="F771" s="8">
        <f>$B$3*(B770/100/12+(D771-1))+$B$4*(C770/100/12+(E771-1))</f>
        <v/>
      </c>
      <c r="G771" s="8">
        <f>G770*(1+F771)</f>
        <v/>
      </c>
    </row>
    <row r="772">
      <c r="A772" s="8" t="inlineStr">
        <is>
          <t>2017-01-01</t>
        </is>
      </c>
      <c r="B772" s="6" t="n">
        <v>1.92</v>
      </c>
      <c r="C772" s="6" t="n">
        <v>4.66</v>
      </c>
      <c r="D772" s="8">
        <f>-PV(B772/100,5,B771/100,1)</f>
        <v/>
      </c>
      <c r="E772" s="8">
        <f>-PV(C772/100,7,C771/100,1)</f>
        <v/>
      </c>
      <c r="F772" s="8">
        <f>$B$3*(B771/100/12+(D772-1))+$B$4*(C771/100/12+(E772-1))</f>
        <v/>
      </c>
      <c r="G772" s="8">
        <f>G771*(1+F772)</f>
        <v/>
      </c>
    </row>
    <row r="773">
      <c r="A773" s="8" t="inlineStr">
        <is>
          <t>2017-02-01</t>
        </is>
      </c>
      <c r="B773" s="6" t="n">
        <v>1.9</v>
      </c>
      <c r="C773" s="6" t="n">
        <v>4.64</v>
      </c>
      <c r="D773" s="8">
        <f>-PV(B773/100,5,B772/100,1)</f>
        <v/>
      </c>
      <c r="E773" s="8">
        <f>-PV(C773/100,7,C772/100,1)</f>
        <v/>
      </c>
      <c r="F773" s="8">
        <f>$B$3*(B772/100/12+(D773-1))+$B$4*(C772/100/12+(E773-1))</f>
        <v/>
      </c>
      <c r="G773" s="8">
        <f>G772*(1+F773)</f>
        <v/>
      </c>
    </row>
    <row r="774">
      <c r="A774" s="8" t="inlineStr">
        <is>
          <t>2017-03-01</t>
        </is>
      </c>
      <c r="B774" s="6" t="n">
        <v>2.01</v>
      </c>
      <c r="C774" s="6" t="n">
        <v>4.68</v>
      </c>
      <c r="D774" s="8">
        <f>-PV(B774/100,5,B773/100,1)</f>
        <v/>
      </c>
      <c r="E774" s="8">
        <f>-PV(C774/100,7,C773/100,1)</f>
        <v/>
      </c>
      <c r="F774" s="8">
        <f>$B$3*(B773/100/12+(D774-1))+$B$4*(C773/100/12+(E774-1))</f>
        <v/>
      </c>
      <c r="G774" s="8">
        <f>G773*(1+F774)</f>
        <v/>
      </c>
    </row>
    <row r="775">
      <c r="A775" s="8" t="inlineStr">
        <is>
          <t>2017-04-01</t>
        </is>
      </c>
      <c r="B775" s="6" t="n">
        <v>1.82</v>
      </c>
      <c r="C775" s="6" t="n">
        <v>4.57</v>
      </c>
      <c r="D775" s="8">
        <f>-PV(B775/100,5,B774/100,1)</f>
        <v/>
      </c>
      <c r="E775" s="8">
        <f>-PV(C775/100,7,C774/100,1)</f>
        <v/>
      </c>
      <c r="F775" s="8">
        <f>$B$3*(B774/100/12+(D775-1))+$B$4*(C774/100/12+(E775-1))</f>
        <v/>
      </c>
      <c r="G775" s="8">
        <f>G774*(1+F775)</f>
        <v/>
      </c>
    </row>
    <row r="776">
      <c r="A776" s="8" t="inlineStr">
        <is>
          <t>2017-05-01</t>
        </is>
      </c>
      <c r="B776" s="6" t="n">
        <v>1.84</v>
      </c>
      <c r="C776" s="6" t="n">
        <v>4.55</v>
      </c>
      <c r="D776" s="8">
        <f>-PV(B776/100,5,B775/100,1)</f>
        <v/>
      </c>
      <c r="E776" s="8">
        <f>-PV(C776/100,7,C775/100,1)</f>
        <v/>
      </c>
      <c r="F776" s="8">
        <f>$B$3*(B775/100/12+(D776-1))+$B$4*(C775/100/12+(E776-1))</f>
        <v/>
      </c>
      <c r="G776" s="8">
        <f>G775*(1+F776)</f>
        <v/>
      </c>
    </row>
    <row r="777">
      <c r="A777" s="8" t="inlineStr">
        <is>
          <t>2017-06-01</t>
        </is>
      </c>
      <c r="B777" s="6" t="n">
        <v>1.77</v>
      </c>
      <c r="C777" s="6" t="n">
        <v>4.37</v>
      </c>
      <c r="D777" s="8">
        <f>-PV(B777/100,5,B776/100,1)</f>
        <v/>
      </c>
      <c r="E777" s="8">
        <f>-PV(C777/100,7,C776/100,1)</f>
        <v/>
      </c>
      <c r="F777" s="8">
        <f>$B$3*(B776/100/12+(D777-1))+$B$4*(C776/100/12+(E777-1))</f>
        <v/>
      </c>
      <c r="G777" s="8">
        <f>G776*(1+F777)</f>
        <v/>
      </c>
    </row>
    <row r="778">
      <c r="A778" s="8" t="inlineStr">
        <is>
          <t>2017-07-01</t>
        </is>
      </c>
      <c r="B778" s="6" t="n">
        <v>1.87</v>
      </c>
      <c r="C778" s="6" t="n">
        <v>4.39</v>
      </c>
      <c r="D778" s="8">
        <f>-PV(B778/100,5,B777/100,1)</f>
        <v/>
      </c>
      <c r="E778" s="8">
        <f>-PV(C778/100,7,C777/100,1)</f>
        <v/>
      </c>
      <c r="F778" s="8">
        <f>$B$3*(B777/100/12+(D778-1))+$B$4*(C777/100/12+(E778-1))</f>
        <v/>
      </c>
      <c r="G778" s="8">
        <f>G777*(1+F778)</f>
        <v/>
      </c>
    </row>
    <row r="779">
      <c r="A779" s="8" t="inlineStr">
        <is>
          <t>2017-08-01</t>
        </is>
      </c>
      <c r="B779" s="6" t="n">
        <v>1.78</v>
      </c>
      <c r="C779" s="6" t="n">
        <v>4.31</v>
      </c>
      <c r="D779" s="8">
        <f>-PV(B779/100,5,B778/100,1)</f>
        <v/>
      </c>
      <c r="E779" s="8">
        <f>-PV(C779/100,7,C778/100,1)</f>
        <v/>
      </c>
      <c r="F779" s="8">
        <f>$B$3*(B778/100/12+(D779-1))+$B$4*(C778/100/12+(E779-1))</f>
        <v/>
      </c>
      <c r="G779" s="8">
        <f>G778*(1+F779)</f>
        <v/>
      </c>
    </row>
    <row r="780">
      <c r="A780" s="8" t="inlineStr">
        <is>
          <t>2017-09-01</t>
        </is>
      </c>
      <c r="B780" s="6" t="n">
        <v>1.8</v>
      </c>
      <c r="C780" s="6" t="n">
        <v>4.3</v>
      </c>
      <c r="D780" s="8">
        <f>-PV(B780/100,5,B779/100,1)</f>
        <v/>
      </c>
      <c r="E780" s="8">
        <f>-PV(C780/100,7,C779/100,1)</f>
        <v/>
      </c>
      <c r="F780" s="8">
        <f>$B$3*(B779/100/12+(D780-1))+$B$4*(C779/100/12+(E780-1))</f>
        <v/>
      </c>
      <c r="G780" s="8">
        <f>G779*(1+F780)</f>
        <v/>
      </c>
    </row>
    <row r="781">
      <c r="A781" s="8" t="inlineStr">
        <is>
          <t>2017-10-01</t>
        </is>
      </c>
      <c r="B781" s="6" t="n">
        <v>1.98</v>
      </c>
      <c r="C781" s="6" t="n">
        <v>4.32</v>
      </c>
      <c r="D781" s="8">
        <f>-PV(B781/100,5,B780/100,1)</f>
        <v/>
      </c>
      <c r="E781" s="8">
        <f>-PV(C781/100,7,C780/100,1)</f>
        <v/>
      </c>
      <c r="F781" s="8">
        <f>$B$3*(B780/100/12+(D781-1))+$B$4*(C780/100/12+(E781-1))</f>
        <v/>
      </c>
      <c r="G781" s="8">
        <f>G780*(1+F781)</f>
        <v/>
      </c>
    </row>
    <row r="782">
      <c r="A782" s="8" t="inlineStr">
        <is>
          <t>2017-11-01</t>
        </is>
      </c>
      <c r="B782" s="6" t="n">
        <v>2.05</v>
      </c>
      <c r="C782" s="6" t="n">
        <v>4.27</v>
      </c>
      <c r="D782" s="8">
        <f>-PV(B782/100,5,B781/100,1)</f>
        <v/>
      </c>
      <c r="E782" s="8">
        <f>-PV(C782/100,7,C781/100,1)</f>
        <v/>
      </c>
      <c r="F782" s="8">
        <f>$B$3*(B781/100/12+(D782-1))+$B$4*(C781/100/12+(E782-1))</f>
        <v/>
      </c>
      <c r="G782" s="8">
        <f>G781*(1+F782)</f>
        <v/>
      </c>
    </row>
    <row r="783">
      <c r="A783" s="8" t="inlineStr">
        <is>
          <t>2017-12-01</t>
        </is>
      </c>
      <c r="B783" s="6" t="n">
        <v>2.18</v>
      </c>
      <c r="C783" s="6" t="n">
        <v>4.22</v>
      </c>
      <c r="D783" s="8">
        <f>-PV(B783/100,5,B782/100,1)</f>
        <v/>
      </c>
      <c r="E783" s="8">
        <f>-PV(C783/100,7,C782/100,1)</f>
        <v/>
      </c>
      <c r="F783" s="8">
        <f>$B$3*(B782/100/12+(D783-1))+$B$4*(C782/100/12+(E783-1))</f>
        <v/>
      </c>
      <c r="G783" s="8">
        <f>G782*(1+F783)</f>
        <v/>
      </c>
    </row>
    <row r="784">
      <c r="A784" s="8" t="inlineStr">
        <is>
          <t>2018-01-01</t>
        </is>
      </c>
      <c r="B784" s="6" t="n">
        <v>2.38</v>
      </c>
      <c r="C784" s="6" t="n">
        <v>4.26</v>
      </c>
      <c r="D784" s="8">
        <f>-PV(B784/100,5,B783/100,1)</f>
        <v/>
      </c>
      <c r="E784" s="8">
        <f>-PV(C784/100,7,C783/100,1)</f>
        <v/>
      </c>
      <c r="F784" s="8">
        <f>$B$3*(B783/100/12+(D784-1))+$B$4*(C783/100/12+(E784-1))</f>
        <v/>
      </c>
      <c r="G784" s="8">
        <f>G783*(1+F784)</f>
        <v/>
      </c>
    </row>
    <row r="785">
      <c r="A785" s="8" t="inlineStr">
        <is>
          <t>2018-02-01</t>
        </is>
      </c>
      <c r="B785" s="6" t="n">
        <v>2.6</v>
      </c>
      <c r="C785" s="6" t="n">
        <v>4.51</v>
      </c>
      <c r="D785" s="8">
        <f>-PV(B785/100,5,B784/100,1)</f>
        <v/>
      </c>
      <c r="E785" s="8">
        <f>-PV(C785/100,7,C784/100,1)</f>
        <v/>
      </c>
      <c r="F785" s="8">
        <f>$B$3*(B784/100/12+(D785-1))+$B$4*(C784/100/12+(E785-1))</f>
        <v/>
      </c>
      <c r="G785" s="8">
        <f>G784*(1+F785)</f>
        <v/>
      </c>
    </row>
    <row r="786">
      <c r="A786" s="8" t="inlineStr">
        <is>
          <t>2018-03-01</t>
        </is>
      </c>
      <c r="B786" s="6" t="n">
        <v>2.63</v>
      </c>
      <c r="C786" s="6" t="n">
        <v>4.64</v>
      </c>
      <c r="D786" s="8">
        <f>-PV(B786/100,5,B785/100,1)</f>
        <v/>
      </c>
      <c r="E786" s="8">
        <f>-PV(C786/100,7,C785/100,1)</f>
        <v/>
      </c>
      <c r="F786" s="8">
        <f>$B$3*(B785/100/12+(D786-1))+$B$4*(C785/100/12+(E786-1))</f>
        <v/>
      </c>
      <c r="G786" s="8">
        <f>G785*(1+F786)</f>
        <v/>
      </c>
    </row>
    <row r="787">
      <c r="A787" s="8" t="inlineStr">
        <is>
          <t>2018-04-01</t>
        </is>
      </c>
      <c r="B787" s="6" t="n">
        <v>2.7</v>
      </c>
      <c r="C787" s="6" t="n">
        <v>4.67</v>
      </c>
      <c r="D787" s="8">
        <f>-PV(B787/100,5,B786/100,1)</f>
        <v/>
      </c>
      <c r="E787" s="8">
        <f>-PV(C787/100,7,C786/100,1)</f>
        <v/>
      </c>
      <c r="F787" s="8">
        <f>$B$3*(B786/100/12+(D787-1))+$B$4*(C786/100/12+(E787-1))</f>
        <v/>
      </c>
      <c r="G787" s="8">
        <f>G786*(1+F787)</f>
        <v/>
      </c>
    </row>
    <row r="788">
      <c r="A788" s="8" t="inlineStr">
        <is>
          <t>2018-05-01</t>
        </is>
      </c>
      <c r="B788" s="6" t="n">
        <v>2.82</v>
      </c>
      <c r="C788" s="6" t="n">
        <v>4.83</v>
      </c>
      <c r="D788" s="8">
        <f>-PV(B788/100,5,B787/100,1)</f>
        <v/>
      </c>
      <c r="E788" s="8">
        <f>-PV(C788/100,7,C787/100,1)</f>
        <v/>
      </c>
      <c r="F788" s="8">
        <f>$B$3*(B787/100/12+(D788-1))+$B$4*(C787/100/12+(E788-1))</f>
        <v/>
      </c>
      <c r="G788" s="8">
        <f>G787*(1+F788)</f>
        <v/>
      </c>
    </row>
    <row r="789">
      <c r="A789" s="8" t="inlineStr">
        <is>
          <t>2018-06-01</t>
        </is>
      </c>
      <c r="B789" s="6" t="n">
        <v>2.78</v>
      </c>
      <c r="C789" s="6" t="n">
        <v>4.83</v>
      </c>
      <c r="D789" s="8">
        <f>-PV(B789/100,5,B788/100,1)</f>
        <v/>
      </c>
      <c r="E789" s="8">
        <f>-PV(C789/100,7,C788/100,1)</f>
        <v/>
      </c>
      <c r="F789" s="8">
        <f>$B$3*(B788/100/12+(D789-1))+$B$4*(C788/100/12+(E789-1))</f>
        <v/>
      </c>
      <c r="G789" s="8">
        <f>G788*(1+F789)</f>
        <v/>
      </c>
    </row>
    <row r="790">
      <c r="A790" s="8" t="inlineStr">
        <is>
          <t>2018-07-01</t>
        </is>
      </c>
      <c r="B790" s="6" t="n">
        <v>2.78</v>
      </c>
      <c r="C790" s="6" t="n">
        <v>4.79</v>
      </c>
      <c r="D790" s="8">
        <f>-PV(B790/100,5,B789/100,1)</f>
        <v/>
      </c>
      <c r="E790" s="8">
        <f>-PV(C790/100,7,C789/100,1)</f>
        <v/>
      </c>
      <c r="F790" s="8">
        <f>$B$3*(B789/100/12+(D790-1))+$B$4*(C789/100/12+(E790-1))</f>
        <v/>
      </c>
      <c r="G790" s="8">
        <f>G789*(1+F790)</f>
        <v/>
      </c>
    </row>
    <row r="791">
      <c r="A791" s="8" t="inlineStr">
        <is>
          <t>2018-08-01</t>
        </is>
      </c>
      <c r="B791" s="6" t="n">
        <v>2.77</v>
      </c>
      <c r="C791" s="6" t="n">
        <v>4.77</v>
      </c>
      <c r="D791" s="8">
        <f>-PV(B791/100,5,B790/100,1)</f>
        <v/>
      </c>
      <c r="E791" s="8">
        <f>-PV(C791/100,7,C790/100,1)</f>
        <v/>
      </c>
      <c r="F791" s="8">
        <f>$B$3*(B790/100/12+(D791-1))+$B$4*(C790/100/12+(E791-1))</f>
        <v/>
      </c>
      <c r="G791" s="8">
        <f>G790*(1+F791)</f>
        <v/>
      </c>
    </row>
    <row r="792">
      <c r="A792" s="8" t="inlineStr">
        <is>
          <t>2018-09-01</t>
        </is>
      </c>
      <c r="B792" s="6" t="n">
        <v>2.89</v>
      </c>
      <c r="C792" s="6" t="n">
        <v>4.88</v>
      </c>
      <c r="D792" s="8">
        <f>-PV(B792/100,5,B791/100,1)</f>
        <v/>
      </c>
      <c r="E792" s="8">
        <f>-PV(C792/100,7,C791/100,1)</f>
        <v/>
      </c>
      <c r="F792" s="8">
        <f>$B$3*(B791/100/12+(D792-1))+$B$4*(C791/100/12+(E792-1))</f>
        <v/>
      </c>
      <c r="G792" s="8">
        <f>G791*(1+F792)</f>
        <v/>
      </c>
    </row>
    <row r="793">
      <c r="A793" s="8" t="inlineStr">
        <is>
          <t>2018-10-01</t>
        </is>
      </c>
      <c r="B793" s="6" t="n">
        <v>3</v>
      </c>
      <c r="C793" s="6" t="n">
        <v>5.07</v>
      </c>
      <c r="D793" s="8">
        <f>-PV(B793/100,5,B792/100,1)</f>
        <v/>
      </c>
      <c r="E793" s="8">
        <f>-PV(C793/100,7,C792/100,1)</f>
        <v/>
      </c>
      <c r="F793" s="8">
        <f>$B$3*(B792/100/12+(D793-1))+$B$4*(C792/100/12+(E793-1))</f>
        <v/>
      </c>
      <c r="G793" s="8">
        <f>G792*(1+F793)</f>
        <v/>
      </c>
    </row>
    <row r="794">
      <c r="A794" s="8" t="inlineStr">
        <is>
          <t>2018-11-01</t>
        </is>
      </c>
      <c r="B794" s="6" t="n">
        <v>2.95</v>
      </c>
      <c r="C794" s="6" t="n">
        <v>5.22</v>
      </c>
      <c r="D794" s="8">
        <f>-PV(B794/100,5,B793/100,1)</f>
        <v/>
      </c>
      <c r="E794" s="8">
        <f>-PV(C794/100,7,C793/100,1)</f>
        <v/>
      </c>
      <c r="F794" s="8">
        <f>$B$3*(B793/100/12+(D794-1))+$B$4*(C793/100/12+(E794-1))</f>
        <v/>
      </c>
      <c r="G794" s="8">
        <f>G793*(1+F794)</f>
        <v/>
      </c>
    </row>
    <row r="795">
      <c r="A795" s="8" t="inlineStr">
        <is>
          <t>2018-12-01</t>
        </is>
      </c>
      <c r="B795" s="6" t="n">
        <v>2.68</v>
      </c>
      <c r="C795" s="6" t="n">
        <v>5.13</v>
      </c>
      <c r="D795" s="8">
        <f>-PV(B795/100,5,B794/100,1)</f>
        <v/>
      </c>
      <c r="E795" s="8">
        <f>-PV(C795/100,7,C794/100,1)</f>
        <v/>
      </c>
      <c r="F795" s="8">
        <f>$B$3*(B794/100/12+(D795-1))+$B$4*(C794/100/12+(E795-1))</f>
        <v/>
      </c>
      <c r="G795" s="8">
        <f>G794*(1+F795)</f>
        <v/>
      </c>
    </row>
    <row r="796">
      <c r="A796" s="8" t="inlineStr">
        <is>
          <t>2019-01-01</t>
        </is>
      </c>
      <c r="B796" s="6" t="n">
        <v>2.54</v>
      </c>
      <c r="C796" s="6" t="n">
        <v>5.12</v>
      </c>
      <c r="D796" s="8">
        <f>-PV(B796/100,5,B795/100,1)</f>
        <v/>
      </c>
      <c r="E796" s="8">
        <f>-PV(C796/100,7,C795/100,1)</f>
        <v/>
      </c>
      <c r="F796" s="8">
        <f>$B$3*(B795/100/12+(D796-1))+$B$4*(C795/100/12+(E796-1))</f>
        <v/>
      </c>
      <c r="G796" s="8">
        <f>G795*(1+F796)</f>
        <v/>
      </c>
    </row>
    <row r="797">
      <c r="A797" s="8" t="inlineStr">
        <is>
          <t>2019-02-01</t>
        </is>
      </c>
      <c r="B797" s="6" t="n">
        <v>2.49</v>
      </c>
      <c r="C797" s="6" t="n">
        <v>4.95</v>
      </c>
      <c r="D797" s="8">
        <f>-PV(B797/100,5,B796/100,1)</f>
        <v/>
      </c>
      <c r="E797" s="8">
        <f>-PV(C797/100,7,C796/100,1)</f>
        <v/>
      </c>
      <c r="F797" s="8">
        <f>$B$3*(B796/100/12+(D797-1))+$B$4*(C796/100/12+(E797-1))</f>
        <v/>
      </c>
      <c r="G797" s="8">
        <f>G796*(1+F797)</f>
        <v/>
      </c>
    </row>
    <row r="798">
      <c r="A798" s="8" t="inlineStr">
        <is>
          <t>2019-03-01</t>
        </is>
      </c>
      <c r="B798" s="6" t="n">
        <v>2.37</v>
      </c>
      <c r="C798" s="6" t="n">
        <v>4.84</v>
      </c>
      <c r="D798" s="8">
        <f>-PV(B798/100,5,B797/100,1)</f>
        <v/>
      </c>
      <c r="E798" s="8">
        <f>-PV(C798/100,7,C797/100,1)</f>
        <v/>
      </c>
      <c r="F798" s="8">
        <f>$B$3*(B797/100/12+(D798-1))+$B$4*(C797/100/12+(E798-1))</f>
        <v/>
      </c>
      <c r="G798" s="8">
        <f>G797*(1+F798)</f>
        <v/>
      </c>
    </row>
    <row r="799">
      <c r="A799" s="8" t="inlineStr">
        <is>
          <t>2019-04-01</t>
        </is>
      </c>
      <c r="B799" s="6" t="n">
        <v>2.33</v>
      </c>
      <c r="C799" s="6" t="n">
        <v>4.7</v>
      </c>
      <c r="D799" s="8">
        <f>-PV(B799/100,5,B798/100,1)</f>
        <v/>
      </c>
      <c r="E799" s="8">
        <f>-PV(C799/100,7,C798/100,1)</f>
        <v/>
      </c>
      <c r="F799" s="8">
        <f>$B$3*(B798/100/12+(D799-1))+$B$4*(C798/100/12+(E799-1))</f>
        <v/>
      </c>
      <c r="G799" s="8">
        <f>G798*(1+F799)</f>
        <v/>
      </c>
    </row>
    <row r="800">
      <c r="A800" s="8" t="inlineStr">
        <is>
          <t>2019-05-01</t>
        </is>
      </c>
      <c r="B800" s="6" t="n">
        <v>2.19</v>
      </c>
      <c r="C800" s="6" t="n">
        <v>4.63</v>
      </c>
      <c r="D800" s="8">
        <f>-PV(B800/100,5,B799/100,1)</f>
        <v/>
      </c>
      <c r="E800" s="8">
        <f>-PV(C800/100,7,C799/100,1)</f>
        <v/>
      </c>
      <c r="F800" s="8">
        <f>$B$3*(B799/100/12+(D800-1))+$B$4*(C799/100/12+(E800-1))</f>
        <v/>
      </c>
      <c r="G800" s="8">
        <f>G799*(1+F800)</f>
        <v/>
      </c>
    </row>
    <row r="801">
      <c r="A801" s="8" t="inlineStr">
        <is>
          <t>2019-06-01</t>
        </is>
      </c>
      <c r="B801" s="6" t="n">
        <v>1.83</v>
      </c>
      <c r="C801" s="6" t="n">
        <v>4.46</v>
      </c>
      <c r="D801" s="8">
        <f>-PV(B801/100,5,B800/100,1)</f>
        <v/>
      </c>
      <c r="E801" s="8">
        <f>-PV(C801/100,7,C800/100,1)</f>
        <v/>
      </c>
      <c r="F801" s="8">
        <f>$B$3*(B800/100/12+(D801-1))+$B$4*(C800/100/12+(E801-1))</f>
        <v/>
      </c>
      <c r="G801" s="8">
        <f>G800*(1+F801)</f>
        <v/>
      </c>
    </row>
    <row r="802">
      <c r="A802" s="8" t="inlineStr">
        <is>
          <t>2019-07-01</t>
        </is>
      </c>
      <c r="B802" s="6" t="n">
        <v>1.83</v>
      </c>
      <c r="C802" s="6" t="n">
        <v>4.28</v>
      </c>
      <c r="D802" s="8">
        <f>-PV(B802/100,5,B801/100,1)</f>
        <v/>
      </c>
      <c r="E802" s="8">
        <f>-PV(C802/100,7,C801/100,1)</f>
        <v/>
      </c>
      <c r="F802" s="8">
        <f>$B$3*(B801/100/12+(D802-1))+$B$4*(C801/100/12+(E802-1))</f>
        <v/>
      </c>
      <c r="G802" s="8">
        <f>G801*(1+F802)</f>
        <v/>
      </c>
    </row>
    <row r="803">
      <c r="A803" s="8" t="inlineStr">
        <is>
          <t>2019-08-01</t>
        </is>
      </c>
      <c r="B803" s="6" t="n">
        <v>1.49</v>
      </c>
      <c r="C803" s="6" t="n">
        <v>3.87</v>
      </c>
      <c r="D803" s="8">
        <f>-PV(B803/100,5,B802/100,1)</f>
        <v/>
      </c>
      <c r="E803" s="8">
        <f>-PV(C803/100,7,C802/100,1)</f>
        <v/>
      </c>
      <c r="F803" s="8">
        <f>$B$3*(B802/100/12+(D803-1))+$B$4*(C802/100/12+(E803-1))</f>
        <v/>
      </c>
      <c r="G803" s="8">
        <f>G802*(1+F803)</f>
        <v/>
      </c>
    </row>
    <row r="804">
      <c r="A804" s="8" t="inlineStr">
        <is>
          <t>2019-09-01</t>
        </is>
      </c>
      <c r="B804" s="6" t="n">
        <v>1.57</v>
      </c>
      <c r="C804" s="6" t="n">
        <v>3.91</v>
      </c>
      <c r="D804" s="8">
        <f>-PV(B804/100,5,B803/100,1)</f>
        <v/>
      </c>
      <c r="E804" s="8">
        <f>-PV(C804/100,7,C803/100,1)</f>
        <v/>
      </c>
      <c r="F804" s="8">
        <f>$B$3*(B803/100/12+(D804-1))+$B$4*(C803/100/12+(E804-1))</f>
        <v/>
      </c>
      <c r="G804" s="8">
        <f>G803*(1+F804)</f>
        <v/>
      </c>
    </row>
    <row r="805">
      <c r="A805" s="8" t="inlineStr">
        <is>
          <t>2019-10-01</t>
        </is>
      </c>
      <c r="B805" s="6" t="n">
        <v>1.53</v>
      </c>
      <c r="C805" s="6" t="n">
        <v>3.92</v>
      </c>
      <c r="D805" s="8">
        <f>-PV(B805/100,5,B804/100,1)</f>
        <v/>
      </c>
      <c r="E805" s="8">
        <f>-PV(C805/100,7,C804/100,1)</f>
        <v/>
      </c>
      <c r="F805" s="8">
        <f>$B$3*(B804/100/12+(D805-1))+$B$4*(C804/100/12+(E805-1))</f>
        <v/>
      </c>
      <c r="G805" s="8">
        <f>G804*(1+F805)</f>
        <v/>
      </c>
    </row>
    <row r="806">
      <c r="A806" s="8" t="inlineStr">
        <is>
          <t>2019-11-01</t>
        </is>
      </c>
      <c r="B806" s="6" t="n">
        <v>1.64</v>
      </c>
      <c r="C806" s="6" t="n">
        <v>3.94</v>
      </c>
      <c r="D806" s="8">
        <f>-PV(B806/100,5,B805/100,1)</f>
        <v/>
      </c>
      <c r="E806" s="8">
        <f>-PV(C806/100,7,C805/100,1)</f>
        <v/>
      </c>
      <c r="F806" s="8">
        <f>$B$3*(B805/100/12+(D806-1))+$B$4*(C805/100/12+(E806-1))</f>
        <v/>
      </c>
      <c r="G806" s="8">
        <f>G805*(1+F806)</f>
        <v/>
      </c>
    </row>
    <row r="807">
      <c r="A807" s="8" t="inlineStr">
        <is>
          <t>2019-12-01</t>
        </is>
      </c>
      <c r="B807" s="6" t="n">
        <v>1.68</v>
      </c>
      <c r="C807" s="6" t="n">
        <v>3.88</v>
      </c>
      <c r="D807" s="8">
        <f>-PV(B807/100,5,B806/100,1)</f>
        <v/>
      </c>
      <c r="E807" s="8">
        <f>-PV(C807/100,7,C806/100,1)</f>
        <v/>
      </c>
      <c r="F807" s="8">
        <f>$B$3*(B806/100/12+(D807-1))+$B$4*(C806/100/12+(E807-1))</f>
        <v/>
      </c>
      <c r="G807" s="8">
        <f>G806*(1+F807)</f>
        <v/>
      </c>
    </row>
    <row r="808">
      <c r="A808" s="8" t="inlineStr">
        <is>
          <t>2020-01-01</t>
        </is>
      </c>
      <c r="B808" s="6" t="n">
        <v>1.56</v>
      </c>
      <c r="C808" s="6" t="n">
        <v>3.77</v>
      </c>
      <c r="D808" s="8">
        <f>-PV(B808/100,5,B807/100,1)</f>
        <v/>
      </c>
      <c r="E808" s="8">
        <f>-PV(C808/100,7,C807/100,1)</f>
        <v/>
      </c>
      <c r="F808" s="8">
        <f>$B$3*(B807/100/12+(D808-1))+$B$4*(C807/100/12+(E808-1))</f>
        <v/>
      </c>
      <c r="G808" s="8">
        <f>G807*(1+F808)</f>
        <v/>
      </c>
    </row>
    <row r="809">
      <c r="A809" s="8" t="inlineStr">
        <is>
          <t>2020-02-01</t>
        </is>
      </c>
      <c r="B809" s="6" t="n">
        <v>1.32</v>
      </c>
      <c r="C809" s="6" t="n">
        <v>3.61</v>
      </c>
      <c r="D809" s="8">
        <f>-PV(B809/100,5,B808/100,1)</f>
        <v/>
      </c>
      <c r="E809" s="8">
        <f>-PV(C809/100,7,C808/100,1)</f>
        <v/>
      </c>
      <c r="F809" s="8">
        <f>$B$3*(B808/100/12+(D809-1))+$B$4*(C808/100/12+(E809-1))</f>
        <v/>
      </c>
      <c r="G809" s="8">
        <f>G808*(1+F809)</f>
        <v/>
      </c>
    </row>
    <row r="810">
      <c r="A810" s="8" t="inlineStr">
        <is>
          <t>2020-03-01</t>
        </is>
      </c>
      <c r="B810" s="6" t="n">
        <v>0.59</v>
      </c>
      <c r="C810" s="6" t="n">
        <v>4.29</v>
      </c>
      <c r="D810" s="8">
        <f>-PV(B810/100,5,B809/100,1)</f>
        <v/>
      </c>
      <c r="E810" s="8">
        <f>-PV(C810/100,7,C809/100,1)</f>
        <v/>
      </c>
      <c r="F810" s="8">
        <f>$B$3*(B809/100/12+(D810-1))+$B$4*(C809/100/12+(E810-1))</f>
        <v/>
      </c>
      <c r="G810" s="8">
        <f>G809*(1+F810)</f>
        <v/>
      </c>
    </row>
    <row r="811">
      <c r="A811" s="8" t="inlineStr">
        <is>
          <t>2020-04-01</t>
        </is>
      </c>
      <c r="B811" s="6" t="n">
        <v>0.39</v>
      </c>
      <c r="C811" s="6" t="n">
        <v>4.13</v>
      </c>
      <c r="D811" s="8">
        <f>-PV(B811/100,5,B810/100,1)</f>
        <v/>
      </c>
      <c r="E811" s="8">
        <f>-PV(C811/100,7,C810/100,1)</f>
        <v/>
      </c>
      <c r="F811" s="8">
        <f>$B$3*(B810/100/12+(D811-1))+$B$4*(C810/100/12+(E811-1))</f>
        <v/>
      </c>
      <c r="G811" s="8">
        <f>G810*(1+F811)</f>
        <v/>
      </c>
    </row>
    <row r="812">
      <c r="A812" s="8" t="inlineStr">
        <is>
          <t>2020-05-01</t>
        </is>
      </c>
      <c r="B812" s="6" t="n">
        <v>0.34</v>
      </c>
      <c r="C812" s="6" t="n">
        <v>3.95</v>
      </c>
      <c r="D812" s="8">
        <f>-PV(B812/100,5,B811/100,1)</f>
        <v/>
      </c>
      <c r="E812" s="8">
        <f>-PV(C812/100,7,C811/100,1)</f>
        <v/>
      </c>
      <c r="F812" s="8">
        <f>$B$3*(B811/100/12+(D812-1))+$B$4*(C811/100/12+(E812-1))</f>
        <v/>
      </c>
      <c r="G812" s="8">
        <f>G811*(1+F812)</f>
        <v/>
      </c>
    </row>
    <row r="813">
      <c r="A813" s="8" t="inlineStr">
        <is>
          <t>2020-06-01</t>
        </is>
      </c>
      <c r="B813" s="6" t="n">
        <v>0.34</v>
      </c>
      <c r="C813" s="6" t="n">
        <v>3.64</v>
      </c>
      <c r="D813" s="8">
        <f>-PV(B813/100,5,B812/100,1)</f>
        <v/>
      </c>
      <c r="E813" s="8">
        <f>-PV(C813/100,7,C812/100,1)</f>
        <v/>
      </c>
      <c r="F813" s="8">
        <f>$B$3*(B812/100/12+(D813-1))+$B$4*(C812/100/12+(E813-1))</f>
        <v/>
      </c>
      <c r="G813" s="8">
        <f>G812*(1+F813)</f>
        <v/>
      </c>
    </row>
    <row r="814">
      <c r="A814" s="8" t="inlineStr">
        <is>
          <t>2020-07-01</t>
        </is>
      </c>
      <c r="B814" s="6" t="n">
        <v>0.28</v>
      </c>
      <c r="C814" s="6" t="n">
        <v>3.31</v>
      </c>
      <c r="D814" s="8">
        <f>-PV(B814/100,5,B813/100,1)</f>
        <v/>
      </c>
      <c r="E814" s="8">
        <f>-PV(C814/100,7,C813/100,1)</f>
        <v/>
      </c>
      <c r="F814" s="8">
        <f>$B$3*(B813/100/12+(D814-1))+$B$4*(C813/100/12+(E814-1))</f>
        <v/>
      </c>
      <c r="G814" s="8">
        <f>G813*(1+F814)</f>
        <v/>
      </c>
    </row>
    <row r="815">
      <c r="A815" s="8" t="inlineStr">
        <is>
          <t>2020-08-01</t>
        </is>
      </c>
      <c r="B815" s="6" t="n">
        <v>0.27</v>
      </c>
      <c r="C815" s="6" t="n">
        <v>3.27</v>
      </c>
      <c r="D815" s="8">
        <f>-PV(B815/100,5,B814/100,1)</f>
        <v/>
      </c>
      <c r="E815" s="8">
        <f>-PV(C815/100,7,C814/100,1)</f>
        <v/>
      </c>
      <c r="F815" s="8">
        <f>$B$3*(B814/100/12+(D815-1))+$B$4*(C814/100/12+(E815-1))</f>
        <v/>
      </c>
      <c r="G815" s="8">
        <f>G814*(1+F815)</f>
        <v/>
      </c>
    </row>
    <row r="816">
      <c r="A816" s="8" t="inlineStr">
        <is>
          <t>2020-09-01</t>
        </is>
      </c>
      <c r="B816" s="6" t="n">
        <v>0.27</v>
      </c>
      <c r="C816" s="6" t="n">
        <v>3.36</v>
      </c>
      <c r="D816" s="8">
        <f>-PV(B816/100,5,B815/100,1)</f>
        <v/>
      </c>
      <c r="E816" s="8">
        <f>-PV(C816/100,7,C815/100,1)</f>
        <v/>
      </c>
      <c r="F816" s="8">
        <f>$B$3*(B815/100/12+(D816-1))+$B$4*(C815/100/12+(E816-1))</f>
        <v/>
      </c>
      <c r="G816" s="8">
        <f>G815*(1+F816)</f>
        <v/>
      </c>
    </row>
    <row r="817">
      <c r="A817" s="8" t="inlineStr">
        <is>
          <t>2020-10-01</t>
        </is>
      </c>
      <c r="B817" s="6" t="n">
        <v>0.34</v>
      </c>
      <c r="C817" s="6" t="n">
        <v>3.44</v>
      </c>
      <c r="D817" s="8">
        <f>-PV(B817/100,5,B816/100,1)</f>
        <v/>
      </c>
      <c r="E817" s="8">
        <f>-PV(C817/100,7,C816/100,1)</f>
        <v/>
      </c>
      <c r="F817" s="8">
        <f>$B$3*(B816/100/12+(D817-1))+$B$4*(C816/100/12+(E817-1))</f>
        <v/>
      </c>
      <c r="G817" s="8">
        <f>G816*(1+F817)</f>
        <v/>
      </c>
    </row>
    <row r="818">
      <c r="A818" s="8" t="inlineStr">
        <is>
          <t>2020-11-01</t>
        </is>
      </c>
      <c r="B818" s="6" t="n">
        <v>0.39</v>
      </c>
      <c r="C818" s="6" t="n">
        <v>3.3</v>
      </c>
      <c r="D818" s="8">
        <f>-PV(B818/100,5,B817/100,1)</f>
        <v/>
      </c>
      <c r="E818" s="8">
        <f>-PV(C818/100,7,C817/100,1)</f>
        <v/>
      </c>
      <c r="F818" s="8">
        <f>$B$3*(B817/100/12+(D818-1))+$B$4*(C817/100/12+(E818-1))</f>
        <v/>
      </c>
      <c r="G818" s="8">
        <f>G817*(1+F818)</f>
        <v/>
      </c>
    </row>
    <row r="819">
      <c r="A819" s="8" t="inlineStr">
        <is>
          <t>2020-12-01</t>
        </is>
      </c>
      <c r="B819" s="6" t="n">
        <v>0.39</v>
      </c>
      <c r="C819" s="6" t="n">
        <v>3.16</v>
      </c>
      <c r="D819" s="8">
        <f>-PV(B819/100,5,B818/100,1)</f>
        <v/>
      </c>
      <c r="E819" s="8">
        <f>-PV(C819/100,7,C818/100,1)</f>
        <v/>
      </c>
      <c r="F819" s="8">
        <f>$B$3*(B818/100/12+(D819-1))+$B$4*(C818/100/12+(E819-1))</f>
        <v/>
      </c>
      <c r="G819" s="8">
        <f>G818*(1+F819)</f>
        <v/>
      </c>
    </row>
    <row r="820">
      <c r="A820" s="8" t="inlineStr">
        <is>
          <t>2021-01-01</t>
        </is>
      </c>
      <c r="B820" s="6" t="n">
        <v>0.45</v>
      </c>
      <c r="C820" s="6" t="n">
        <v>3.24</v>
      </c>
      <c r="D820" s="8">
        <f>-PV(B820/100,5,B819/100,1)</f>
        <v/>
      </c>
      <c r="E820" s="8">
        <f>-PV(C820/100,7,C819/100,1)</f>
        <v/>
      </c>
      <c r="F820" s="8">
        <f>$B$3*(B819/100/12+(D820-1))+$B$4*(C819/100/12+(E820-1))</f>
        <v/>
      </c>
      <c r="G820" s="8">
        <f>G819*(1+F820)</f>
        <v/>
      </c>
    </row>
    <row r="821">
      <c r="A821" s="8" t="inlineStr">
        <is>
          <t>2021-02-01</t>
        </is>
      </c>
      <c r="B821" s="6" t="n">
        <v>0.54</v>
      </c>
      <c r="C821" s="6" t="n">
        <v>3.42</v>
      </c>
      <c r="D821" s="8">
        <f>-PV(B821/100,5,B820/100,1)</f>
        <v/>
      </c>
      <c r="E821" s="8">
        <f>-PV(C821/100,7,C820/100,1)</f>
        <v/>
      </c>
      <c r="F821" s="8">
        <f>$B$3*(B820/100/12+(D821-1))+$B$4*(C820/100/12+(E821-1))</f>
        <v/>
      </c>
      <c r="G821" s="8">
        <f>G820*(1+F821)</f>
        <v/>
      </c>
    </row>
    <row r="822">
      <c r="A822" s="8" t="inlineStr">
        <is>
          <t>2021-03-01</t>
        </is>
      </c>
      <c r="B822" s="6" t="n">
        <v>0.82</v>
      </c>
      <c r="C822" s="6" t="n">
        <v>3.74</v>
      </c>
      <c r="D822" s="8">
        <f>-PV(B822/100,5,B821/100,1)</f>
        <v/>
      </c>
      <c r="E822" s="8">
        <f>-PV(C822/100,7,C821/100,1)</f>
        <v/>
      </c>
      <c r="F822" s="8">
        <f>$B$3*(B821/100/12+(D822-1))+$B$4*(C821/100/12+(E822-1))</f>
        <v/>
      </c>
      <c r="G822" s="8">
        <f>G821*(1+F822)</f>
        <v/>
      </c>
    </row>
    <row r="823">
      <c r="A823" s="8" t="inlineStr">
        <is>
          <t>2021-04-01</t>
        </is>
      </c>
      <c r="B823" s="6" t="n">
        <v>0.86</v>
      </c>
      <c r="C823" s="6" t="n">
        <v>3.6</v>
      </c>
      <c r="D823" s="8">
        <f>-PV(B823/100,5,B822/100,1)</f>
        <v/>
      </c>
      <c r="E823" s="8">
        <f>-PV(C823/100,7,C822/100,1)</f>
        <v/>
      </c>
      <c r="F823" s="8">
        <f>$B$3*(B822/100/12+(D823-1))+$B$4*(C822/100/12+(E823-1))</f>
        <v/>
      </c>
      <c r="G823" s="8">
        <f>G822*(1+F823)</f>
        <v/>
      </c>
    </row>
    <row r="824">
      <c r="A824" s="8" t="inlineStr">
        <is>
          <t>2021-05-01</t>
        </is>
      </c>
      <c r="B824" s="6" t="n">
        <v>0.82</v>
      </c>
      <c r="C824" s="6" t="n">
        <v>3.62</v>
      </c>
      <c r="D824" s="8">
        <f>-PV(B824/100,5,B823/100,1)</f>
        <v/>
      </c>
      <c r="E824" s="8">
        <f>-PV(C824/100,7,C823/100,1)</f>
        <v/>
      </c>
      <c r="F824" s="8">
        <f>$B$3*(B823/100/12+(D824-1))+$B$4*(C823/100/12+(E824-1))</f>
        <v/>
      </c>
      <c r="G824" s="8">
        <f>G823*(1+F824)</f>
        <v/>
      </c>
    </row>
    <row r="825">
      <c r="A825" s="8" t="inlineStr">
        <is>
          <t>2021-06-01</t>
        </is>
      </c>
      <c r="B825" s="6" t="n">
        <v>0.84</v>
      </c>
      <c r="C825" s="6" t="n">
        <v>3.44</v>
      </c>
      <c r="D825" s="8">
        <f>-PV(B825/100,5,B824/100,1)</f>
        <v/>
      </c>
      <c r="E825" s="8">
        <f>-PV(C825/100,7,C824/100,1)</f>
        <v/>
      </c>
      <c r="F825" s="8">
        <f>$B$3*(B824/100/12+(D825-1))+$B$4*(C824/100/12+(E825-1))</f>
        <v/>
      </c>
      <c r="G825" s="8">
        <f>G824*(1+F825)</f>
        <v/>
      </c>
    </row>
    <row r="826">
      <c r="A826" s="8" t="inlineStr">
        <is>
          <t>2021-07-01</t>
        </is>
      </c>
      <c r="B826" s="6" t="n">
        <v>0.76</v>
      </c>
      <c r="C826" s="6" t="n">
        <v>3.24</v>
      </c>
      <c r="D826" s="8">
        <f>-PV(B826/100,5,B825/100,1)</f>
        <v/>
      </c>
      <c r="E826" s="8">
        <f>-PV(C826/100,7,C825/100,1)</f>
        <v/>
      </c>
      <c r="F826" s="8">
        <f>$B$3*(B825/100/12+(D826-1))+$B$4*(C825/100/12+(E826-1))</f>
        <v/>
      </c>
      <c r="G826" s="8">
        <f>G825*(1+F826)</f>
        <v/>
      </c>
    </row>
    <row r="827">
      <c r="A827" s="8" t="inlineStr">
        <is>
          <t>2021-08-01</t>
        </is>
      </c>
      <c r="B827" s="6" t="n">
        <v>0.77</v>
      </c>
      <c r="C827" s="6" t="n">
        <v>3.24</v>
      </c>
      <c r="D827" s="8">
        <f>-PV(B827/100,5,B826/100,1)</f>
        <v/>
      </c>
      <c r="E827" s="8">
        <f>-PV(C827/100,7,C826/100,1)</f>
        <v/>
      </c>
      <c r="F827" s="8">
        <f>$B$3*(B826/100/12+(D827-1))+$B$4*(C826/100/12+(E827-1))</f>
        <v/>
      </c>
      <c r="G827" s="8">
        <f>G826*(1+F827)</f>
        <v/>
      </c>
    </row>
    <row r="828">
      <c r="A828" s="8" t="inlineStr">
        <is>
          <t>2021-09-01</t>
        </is>
      </c>
      <c r="B828" s="6" t="n">
        <v>0.86</v>
      </c>
      <c r="C828" s="6" t="n">
        <v>3.23</v>
      </c>
      <c r="D828" s="8">
        <f>-PV(B828/100,5,B827/100,1)</f>
        <v/>
      </c>
      <c r="E828" s="8">
        <f>-PV(C828/100,7,C827/100,1)</f>
        <v/>
      </c>
      <c r="F828" s="8">
        <f>$B$3*(B827/100/12+(D828-1))+$B$4*(C827/100/12+(E828-1))</f>
        <v/>
      </c>
      <c r="G828" s="8">
        <f>G827*(1+F828)</f>
        <v/>
      </c>
    </row>
    <row r="829">
      <c r="A829" s="8" t="inlineStr">
        <is>
          <t>2021-10-01</t>
        </is>
      </c>
      <c r="B829" s="6" t="n">
        <v>1.11</v>
      </c>
      <c r="C829" s="6" t="n">
        <v>3.35</v>
      </c>
      <c r="D829" s="8">
        <f>-PV(B829/100,5,B828/100,1)</f>
        <v/>
      </c>
      <c r="E829" s="8">
        <f>-PV(C829/100,7,C828/100,1)</f>
        <v/>
      </c>
      <c r="F829" s="8">
        <f>$B$3*(B828/100/12+(D829-1))+$B$4*(C828/100/12+(E829-1))</f>
        <v/>
      </c>
      <c r="G829" s="8">
        <f>G828*(1+F829)</f>
        <v/>
      </c>
    </row>
    <row r="830">
      <c r="A830" s="8" t="inlineStr">
        <is>
          <t>2021-11-01</t>
        </is>
      </c>
      <c r="B830" s="6" t="n">
        <v>1.2</v>
      </c>
      <c r="C830" s="6" t="n">
        <v>3.28</v>
      </c>
      <c r="D830" s="8">
        <f>-PV(B830/100,5,B829/100,1)</f>
        <v/>
      </c>
      <c r="E830" s="8">
        <f>-PV(C830/100,7,C829/100,1)</f>
        <v/>
      </c>
      <c r="F830" s="8">
        <f>$B$3*(B829/100/12+(D830-1))+$B$4*(C829/100/12+(E830-1))</f>
        <v/>
      </c>
      <c r="G830" s="8">
        <f>G829*(1+F830)</f>
        <v/>
      </c>
    </row>
    <row r="831">
      <c r="A831" s="8" t="inlineStr">
        <is>
          <t>2021-12-01</t>
        </is>
      </c>
      <c r="B831" s="6" t="n">
        <v>1.23</v>
      </c>
      <c r="C831" s="6" t="n">
        <v>3.3</v>
      </c>
      <c r="D831" s="8">
        <f>-PV(B831/100,5,B830/100,1)</f>
        <v/>
      </c>
      <c r="E831" s="8">
        <f>-PV(C831/100,7,C830/100,1)</f>
        <v/>
      </c>
      <c r="F831" s="8">
        <f>$B$3*(B830/100/12+(D831-1))+$B$4*(C830/100/12+(E831-1))</f>
        <v/>
      </c>
      <c r="G831" s="8">
        <f>G830*(1+F831)</f>
        <v/>
      </c>
    </row>
    <row r="832">
      <c r="A832" s="8" t="inlineStr">
        <is>
          <t>2022-01-01</t>
        </is>
      </c>
      <c r="B832" s="6" t="n">
        <v>1.54</v>
      </c>
      <c r="C832" s="6" t="n">
        <v>3.58</v>
      </c>
      <c r="D832" s="8">
        <f>-PV(B832/100,5,B831/100,1)</f>
        <v/>
      </c>
      <c r="E832" s="8">
        <f>-PV(C832/100,7,C831/100,1)</f>
        <v/>
      </c>
      <c r="F832" s="8">
        <f>$B$3*(B831/100/12+(D832-1))+$B$4*(C831/100/12+(E832-1))</f>
        <v/>
      </c>
      <c r="G832" s="8">
        <f>G831*(1+F832)</f>
        <v/>
      </c>
    </row>
    <row r="833">
      <c r="A833" s="8" t="inlineStr">
        <is>
          <t>2022-02-01</t>
        </is>
      </c>
      <c r="B833" s="6" t="n">
        <v>1.81</v>
      </c>
      <c r="C833" s="6" t="n">
        <v>3.97</v>
      </c>
      <c r="D833" s="8">
        <f>-PV(B833/100,5,B832/100,1)</f>
        <v/>
      </c>
      <c r="E833" s="8">
        <f>-PV(C833/100,7,C832/100,1)</f>
        <v/>
      </c>
      <c r="F833" s="8">
        <f>$B$3*(B832/100/12+(D833-1))+$B$4*(C832/100/12+(E833-1))</f>
        <v/>
      </c>
      <c r="G833" s="8">
        <f>G832*(1+F833)</f>
        <v/>
      </c>
    </row>
    <row r="834">
      <c r="A834" s="8" t="inlineStr">
        <is>
          <t>2022-03-01</t>
        </is>
      </c>
      <c r="B834" s="6" t="n">
        <v>2.11</v>
      </c>
      <c r="C834" s="6" t="n">
        <v>4.29</v>
      </c>
      <c r="D834" s="8">
        <f>-PV(B834/100,5,B833/100,1)</f>
        <v/>
      </c>
      <c r="E834" s="8">
        <f>-PV(C834/100,7,C833/100,1)</f>
        <v/>
      </c>
      <c r="F834" s="8">
        <f>$B$3*(B833/100/12+(D834-1))+$B$4*(C833/100/12+(E834-1))</f>
        <v/>
      </c>
      <c r="G834" s="8">
        <f>G833*(1+F834)</f>
        <v/>
      </c>
    </row>
    <row r="835">
      <c r="A835" s="8" t="inlineStr">
        <is>
          <t>2022-04-01</t>
        </is>
      </c>
      <c r="B835" s="6" t="n">
        <v>2.78</v>
      </c>
      <c r="C835" s="6" t="n">
        <v>4.66</v>
      </c>
      <c r="D835" s="8">
        <f>-PV(B835/100,5,B834/100,1)</f>
        <v/>
      </c>
      <c r="E835" s="8">
        <f>-PV(C835/100,7,C834/100,1)</f>
        <v/>
      </c>
      <c r="F835" s="8">
        <f>$B$3*(B834/100/12+(D835-1))+$B$4*(C834/100/12+(E835-1))</f>
        <v/>
      </c>
      <c r="G835" s="8">
        <f>G834*(1+F835)</f>
        <v/>
      </c>
    </row>
    <row r="836">
      <c r="A836" s="8" t="inlineStr">
        <is>
          <t>2022-05-01</t>
        </is>
      </c>
      <c r="B836" s="6" t="n">
        <v>2.87</v>
      </c>
      <c r="C836" s="6" t="n">
        <v>5.12</v>
      </c>
      <c r="D836" s="8">
        <f>-PV(B836/100,5,B835/100,1)</f>
        <v/>
      </c>
      <c r="E836" s="8">
        <f>-PV(C836/100,7,C835/100,1)</f>
        <v/>
      </c>
      <c r="F836" s="8">
        <f>$B$3*(B835/100/12+(D836-1))+$B$4*(C835/100/12+(E836-1))</f>
        <v/>
      </c>
      <c r="G836" s="8">
        <f>G835*(1+F836)</f>
        <v/>
      </c>
    </row>
    <row r="837">
      <c r="A837" s="8" t="inlineStr">
        <is>
          <t>2022-06-01</t>
        </is>
      </c>
      <c r="B837" s="6" t="n">
        <v>3.19</v>
      </c>
      <c r="C837" s="6" t="n">
        <v>5.27</v>
      </c>
      <c r="D837" s="8">
        <f>-PV(B837/100,5,B836/100,1)</f>
        <v/>
      </c>
      <c r="E837" s="8">
        <f>-PV(C837/100,7,C836/100,1)</f>
        <v/>
      </c>
      <c r="F837" s="8">
        <f>$B$3*(B836/100/12+(D837-1))+$B$4*(C836/100/12+(E837-1))</f>
        <v/>
      </c>
      <c r="G837" s="8">
        <f>G836*(1+F837)</f>
        <v/>
      </c>
    </row>
    <row r="838">
      <c r="A838" s="8" t="inlineStr">
        <is>
          <t>2022-07-01</t>
        </is>
      </c>
      <c r="B838" s="6" t="n">
        <v>2.96</v>
      </c>
      <c r="C838" s="6" t="n">
        <v>5.21</v>
      </c>
      <c r="D838" s="8">
        <f>-PV(B838/100,5,B837/100,1)</f>
        <v/>
      </c>
      <c r="E838" s="8">
        <f>-PV(C838/100,7,C837/100,1)</f>
        <v/>
      </c>
      <c r="F838" s="8">
        <f>$B$3*(B837/100/12+(D838-1))+$B$4*(C837/100/12+(E838-1))</f>
        <v/>
      </c>
      <c r="G838" s="8">
        <f>G837*(1+F838)</f>
        <v/>
      </c>
    </row>
    <row r="839">
      <c r="A839" s="8" t="inlineStr">
        <is>
          <t>2022-08-01</t>
        </is>
      </c>
      <c r="B839" s="6" t="n">
        <v>3.03</v>
      </c>
      <c r="C839" s="6" t="n">
        <v>5.15</v>
      </c>
      <c r="D839" s="8">
        <f>-PV(B839/100,5,B838/100,1)</f>
        <v/>
      </c>
      <c r="E839" s="8">
        <f>-PV(C839/100,7,C838/100,1)</f>
        <v/>
      </c>
      <c r="F839" s="8">
        <f>$B$3*(B838/100/12+(D839-1))+$B$4*(C838/100/12+(E839-1))</f>
        <v/>
      </c>
      <c r="G839" s="8">
        <f>G838*(1+F839)</f>
        <v/>
      </c>
    </row>
    <row r="840">
      <c r="A840" s="8" t="inlineStr">
        <is>
          <t>2022-09-01</t>
        </is>
      </c>
      <c r="B840" s="6" t="n">
        <v>3.7</v>
      </c>
      <c r="C840" s="6" t="n">
        <v>5.69</v>
      </c>
      <c r="D840" s="8">
        <f>-PV(B840/100,5,B839/100,1)</f>
        <v/>
      </c>
      <c r="E840" s="8">
        <f>-PV(C840/100,7,C839/100,1)</f>
        <v/>
      </c>
      <c r="F840" s="8">
        <f>$B$3*(B839/100/12+(D840-1))+$B$4*(C839/100/12+(E840-1))</f>
        <v/>
      </c>
      <c r="G840" s="8">
        <f>G839*(1+F840)</f>
        <v/>
      </c>
    </row>
    <row r="841">
      <c r="A841" s="8" t="inlineStr">
        <is>
          <t>2022-10-01</t>
        </is>
      </c>
      <c r="B841" s="6" t="n">
        <v>4.18</v>
      </c>
      <c r="C841" s="6" t="n">
        <v>6.26</v>
      </c>
      <c r="D841" s="8">
        <f>-PV(B841/100,5,B840/100,1)</f>
        <v/>
      </c>
      <c r="E841" s="8">
        <f>-PV(C841/100,7,C840/100,1)</f>
        <v/>
      </c>
      <c r="F841" s="8">
        <f>$B$3*(B840/100/12+(D841-1))+$B$4*(C840/100/12+(E841-1))</f>
        <v/>
      </c>
      <c r="G841" s="8">
        <f>G840*(1+F841)</f>
        <v/>
      </c>
    </row>
    <row r="842">
      <c r="A842" s="8" t="inlineStr">
        <is>
          <t>2022-11-01</t>
        </is>
      </c>
      <c r="B842" s="6" t="n">
        <v>4.06</v>
      </c>
      <c r="C842" s="6" t="n">
        <v>6.07</v>
      </c>
      <c r="D842" s="8">
        <f>-PV(B842/100,5,B841/100,1)</f>
        <v/>
      </c>
      <c r="E842" s="8">
        <f>-PV(C842/100,7,C841/100,1)</f>
        <v/>
      </c>
      <c r="F842" s="8">
        <f>$B$3*(B841/100/12+(D842-1))+$B$4*(C841/100/12+(E842-1))</f>
        <v/>
      </c>
      <c r="G842" s="8">
        <f>G841*(1+F842)</f>
        <v/>
      </c>
    </row>
    <row r="843">
      <c r="A843" s="8" t="inlineStr">
        <is>
          <t>2022-12-01</t>
        </is>
      </c>
      <c r="B843" s="6" t="n">
        <v>3.76</v>
      </c>
      <c r="C843" s="6" t="n">
        <v>5.59</v>
      </c>
      <c r="D843" s="8">
        <f>-PV(B843/100,5,B842/100,1)</f>
        <v/>
      </c>
      <c r="E843" s="8">
        <f>-PV(C843/100,7,C842/100,1)</f>
        <v/>
      </c>
      <c r="F843" s="8">
        <f>$B$3*(B842/100/12+(D843-1))+$B$4*(C842/100/12+(E843-1))</f>
        <v/>
      </c>
      <c r="G843" s="8">
        <f>G842*(1+F843)</f>
        <v/>
      </c>
    </row>
    <row r="844">
      <c r="A844" s="8" t="inlineStr">
        <is>
          <t>2023-01-01</t>
        </is>
      </c>
      <c r="B844" s="6" t="n">
        <v>3.64</v>
      </c>
      <c r="C844" s="6" t="n">
        <v>5.5</v>
      </c>
      <c r="D844" s="8">
        <f>-PV(B844/100,5,B843/100,1)</f>
        <v/>
      </c>
      <c r="E844" s="8">
        <f>-PV(C844/100,7,C843/100,1)</f>
        <v/>
      </c>
      <c r="F844" s="8">
        <f>$B$3*(B843/100/12+(D844-1))+$B$4*(C843/100/12+(E844-1))</f>
        <v/>
      </c>
      <c r="G844" s="8">
        <f>G843*(1+F844)</f>
        <v/>
      </c>
    </row>
    <row r="845">
      <c r="A845" s="8" t="inlineStr">
        <is>
          <t>2023-02-01</t>
        </is>
      </c>
      <c r="B845" s="6" t="n">
        <v>3.94</v>
      </c>
      <c r="C845" s="6" t="n">
        <v>5.59</v>
      </c>
      <c r="D845" s="8">
        <f>-PV(B845/100,5,B844/100,1)</f>
        <v/>
      </c>
      <c r="E845" s="8">
        <f>-PV(C845/100,7,C844/100,1)</f>
        <v/>
      </c>
      <c r="F845" s="8">
        <f>$B$3*(B844/100/12+(D845-1))+$B$4*(C844/100/12+(E845-1))</f>
        <v/>
      </c>
      <c r="G845" s="8">
        <f>G844*(1+F845)</f>
        <v/>
      </c>
    </row>
    <row r="846">
      <c r="A846" s="8" t="inlineStr">
        <is>
          <t>2023-03-01</t>
        </is>
      </c>
      <c r="B846" s="6" t="n">
        <v>3.82</v>
      </c>
      <c r="C846" s="6" t="n">
        <v>5.71</v>
      </c>
      <c r="D846" s="8">
        <f>-PV(B846/100,5,B845/100,1)</f>
        <v/>
      </c>
      <c r="E846" s="8">
        <f>-PV(C846/100,7,C845/100,1)</f>
        <v/>
      </c>
      <c r="F846" s="8">
        <f>$B$3*(B845/100/12+(D846-1))+$B$4*(C845/100/12+(E846-1))</f>
        <v/>
      </c>
      <c r="G846" s="8">
        <f>G845*(1+F846)</f>
        <v/>
      </c>
    </row>
    <row r="847">
      <c r="A847" s="8" t="inlineStr">
        <is>
          <t>2023-04-01</t>
        </is>
      </c>
      <c r="B847" s="6" t="n">
        <v>3.54</v>
      </c>
      <c r="C847" s="6" t="n">
        <v>5.53</v>
      </c>
      <c r="D847" s="8">
        <f>-PV(B847/100,5,B846/100,1)</f>
        <v/>
      </c>
      <c r="E847" s="8">
        <f>-PV(C847/100,7,C846/100,1)</f>
        <v/>
      </c>
      <c r="F847" s="8">
        <f>$B$3*(B846/100/12+(D847-1))+$B$4*(C846/100/12+(E847-1))</f>
        <v/>
      </c>
      <c r="G847" s="8">
        <f>G846*(1+F847)</f>
        <v/>
      </c>
    </row>
    <row r="848">
      <c r="A848" s="8" t="inlineStr">
        <is>
          <t>2023-05-01</t>
        </is>
      </c>
      <c r="B848" s="6" t="n">
        <v>3.59</v>
      </c>
      <c r="C848" s="6" t="n">
        <v>5.77</v>
      </c>
      <c r="D848" s="8">
        <f>-PV(B848/100,5,B847/100,1)</f>
        <v/>
      </c>
      <c r="E848" s="8">
        <f>-PV(C848/100,7,C847/100,1)</f>
        <v/>
      </c>
      <c r="F848" s="8">
        <f>$B$3*(B847/100/12+(D848-1))+$B$4*(C847/100/12+(E848-1))</f>
        <v/>
      </c>
      <c r="G848" s="8">
        <f>G847*(1+F848)</f>
        <v/>
      </c>
    </row>
    <row r="849">
      <c r="A849" s="8" t="inlineStr">
        <is>
          <t>2023-06-01</t>
        </is>
      </c>
      <c r="B849" s="6" t="n">
        <v>3.95</v>
      </c>
      <c r="C849" s="6" t="n">
        <v>5.75</v>
      </c>
      <c r="D849" s="8">
        <f>-PV(B849/100,5,B848/100,1)</f>
        <v/>
      </c>
      <c r="E849" s="8">
        <f>-PV(C849/100,7,C848/100,1)</f>
        <v/>
      </c>
      <c r="F849" s="8">
        <f>$B$3*(B848/100/12+(D849-1))+$B$4*(C848/100/12+(E849-1))</f>
        <v/>
      </c>
      <c r="G849" s="8">
        <f>G848*(1+F849)</f>
        <v/>
      </c>
    </row>
    <row r="850">
      <c r="A850" s="8" t="inlineStr">
        <is>
          <t>2023-07-01</t>
        </is>
      </c>
      <c r="B850" s="6" t="n">
        <v>4.14</v>
      </c>
      <c r="C850" s="6" t="n">
        <v>5.74</v>
      </c>
      <c r="D850" s="8">
        <f>-PV(B850/100,5,B849/100,1)</f>
        <v/>
      </c>
      <c r="E850" s="8">
        <f>-PV(C850/100,7,C849/100,1)</f>
        <v/>
      </c>
      <c r="F850" s="8">
        <f>$B$3*(B849/100/12+(D850-1))+$B$4*(C849/100/12+(E850-1))</f>
        <v/>
      </c>
      <c r="G850" s="8">
        <f>G849*(1+F850)</f>
        <v/>
      </c>
    </row>
    <row r="851">
      <c r="A851" s="8" t="inlineStr">
        <is>
          <t>2023-08-01</t>
        </is>
      </c>
      <c r="B851" s="6" t="n">
        <v>4.31</v>
      </c>
      <c r="C851" s="6" t="n">
        <v>6.02</v>
      </c>
      <c r="D851" s="8">
        <f>-PV(B851/100,5,B850/100,1)</f>
        <v/>
      </c>
      <c r="E851" s="8">
        <f>-PV(C851/100,7,C850/100,1)</f>
        <v/>
      </c>
      <c r="F851" s="8">
        <f>$B$3*(B850/100/12+(D851-1))+$B$4*(C850/100/12+(E851-1))</f>
        <v/>
      </c>
      <c r="G851" s="8">
        <f>G850*(1+F851)</f>
        <v/>
      </c>
    </row>
    <row r="852">
      <c r="A852" s="8" t="inlineStr">
        <is>
          <t>2023-09-01</t>
        </is>
      </c>
      <c r="B852" s="6" t="n">
        <v>4.49</v>
      </c>
      <c r="C852" s="6" t="n">
        <v>6.16</v>
      </c>
      <c r="D852" s="8">
        <f>-PV(B852/100,5,B851/100,1)</f>
        <v/>
      </c>
      <c r="E852" s="8">
        <f>-PV(C852/100,7,C851/100,1)</f>
        <v/>
      </c>
      <c r="F852" s="8">
        <f>$B$3*(B851/100/12+(D852-1))+$B$4*(C851/100/12+(E852-1))</f>
        <v/>
      </c>
      <c r="G852" s="8">
        <f>G851*(1+F852)</f>
        <v/>
      </c>
    </row>
    <row r="853">
      <c r="A853" s="8" t="inlineStr">
        <is>
          <t>2023-10-01</t>
        </is>
      </c>
      <c r="B853" s="6" t="n">
        <v>4.77</v>
      </c>
      <c r="C853" s="6" t="n">
        <v>6.63</v>
      </c>
      <c r="D853" s="8">
        <f>-PV(B853/100,5,B852/100,1)</f>
        <v/>
      </c>
      <c r="E853" s="8">
        <f>-PV(C853/100,7,C852/100,1)</f>
        <v/>
      </c>
      <c r="F853" s="8">
        <f>$B$3*(B852/100/12+(D853-1))+$B$4*(C852/100/12+(E853-1))</f>
        <v/>
      </c>
      <c r="G853" s="8">
        <f>G852*(1+F853)</f>
        <v/>
      </c>
    </row>
    <row r="854">
      <c r="A854" s="8" t="inlineStr">
        <is>
          <t>2023-11-01</t>
        </is>
      </c>
      <c r="B854" s="6" t="n">
        <v>4.49</v>
      </c>
      <c r="C854" s="6" t="n">
        <v>6.29</v>
      </c>
      <c r="D854" s="8">
        <f>-PV(B854/100,5,B853/100,1)</f>
        <v/>
      </c>
      <c r="E854" s="8">
        <f>-PV(C854/100,7,C853/100,1)</f>
        <v/>
      </c>
      <c r="F854" s="8">
        <f>$B$3*(B853/100/12+(D854-1))+$B$4*(C853/100/12+(E854-1))</f>
        <v/>
      </c>
      <c r="G854" s="8">
        <f>G853*(1+F854)</f>
        <v/>
      </c>
    </row>
    <row r="855">
      <c r="A855" s="8" t="inlineStr">
        <is>
          <t>2023-12-01</t>
        </is>
      </c>
      <c r="B855" s="6" t="n">
        <v>4</v>
      </c>
      <c r="C855" s="6" t="n">
        <v>5.64</v>
      </c>
      <c r="D855" s="8">
        <f>-PV(B855/100,5,B854/100,1)</f>
        <v/>
      </c>
      <c r="E855" s="8">
        <f>-PV(C855/100,7,C854/100,1)</f>
        <v/>
      </c>
      <c r="F855" s="8">
        <f>$B$3*(B854/100/12+(D855-1))+$B$4*(C854/100/12+(E855-1))</f>
        <v/>
      </c>
      <c r="G855" s="8">
        <f>G854*(1+F855)</f>
        <v/>
      </c>
    </row>
    <row r="856">
      <c r="A856" s="8" t="inlineStr">
        <is>
          <t>2024-01-01</t>
        </is>
      </c>
      <c r="B856" s="6" t="n">
        <v>3.98</v>
      </c>
      <c r="C856" s="6" t="n">
        <v>5.68</v>
      </c>
      <c r="D856" s="8">
        <f>-PV(B856/100,5,B855/100,1)</f>
        <v/>
      </c>
      <c r="E856" s="8">
        <f>-PV(C856/100,7,C855/100,1)</f>
        <v/>
      </c>
      <c r="F856" s="8">
        <f>$B$3*(B855/100/12+(D856-1))+$B$4*(C855/100/12+(E856-1))</f>
        <v/>
      </c>
      <c r="G856" s="8">
        <f>G855*(1+F856)</f>
        <v/>
      </c>
    </row>
    <row r="857">
      <c r="A857" s="8" t="inlineStr">
        <is>
          <t>2024-02-01</t>
        </is>
      </c>
      <c r="B857" s="6" t="n">
        <v>4.19</v>
      </c>
      <c r="C857" s="6" t="n">
        <v>5.77</v>
      </c>
      <c r="D857" s="8">
        <f>-PV(B857/100,5,B856/100,1)</f>
        <v/>
      </c>
      <c r="E857" s="8">
        <f>-PV(C857/100,7,C856/100,1)</f>
        <v/>
      </c>
      <c r="F857" s="8">
        <f>$B$3*(B856/100/12+(D857-1))+$B$4*(C856/100/12+(E857-1))</f>
        <v/>
      </c>
      <c r="G857" s="8">
        <f>G856*(1+F857)</f>
        <v/>
      </c>
    </row>
    <row r="858">
      <c r="A858" s="8" t="inlineStr">
        <is>
          <t>2024-03-01</t>
        </is>
      </c>
      <c r="B858" s="6" t="n">
        <v>4.2</v>
      </c>
      <c r="C858" s="6" t="n">
        <v>5.75</v>
      </c>
      <c r="D858" s="8">
        <f>-PV(B858/100,5,B857/100,1)</f>
        <v/>
      </c>
      <c r="E858" s="8">
        <f>-PV(C858/100,7,C857/100,1)</f>
        <v/>
      </c>
      <c r="F858" s="8">
        <f>$B$3*(B857/100/12+(D858-1))+$B$4*(C857/100/12+(E858-1))</f>
        <v/>
      </c>
      <c r="G858" s="8">
        <f>G857*(1+F858)</f>
        <v/>
      </c>
    </row>
    <row r="859">
      <c r="A859" s="8" t="inlineStr">
        <is>
          <t>2024-04-01</t>
        </is>
      </c>
      <c r="B859" s="6" t="n">
        <v>4.56</v>
      </c>
      <c r="C859" s="6" t="n">
        <v>6</v>
      </c>
      <c r="D859" s="8">
        <f>-PV(B859/100,5,B858/100,1)</f>
        <v/>
      </c>
      <c r="E859" s="8">
        <f>-PV(C859/100,7,C858/100,1)</f>
        <v/>
      </c>
      <c r="F859" s="8">
        <f>$B$3*(B858/100/12+(D859-1))+$B$4*(C858/100/12+(E859-1))</f>
        <v/>
      </c>
      <c r="G859" s="8">
        <f>G858*(1+F859)</f>
        <v/>
      </c>
    </row>
    <row r="860">
      <c r="A860" s="8" t="inlineStr">
        <is>
          <t>2024-05-01</t>
        </is>
      </c>
      <c r="B860" s="6" t="n">
        <v>4.5</v>
      </c>
      <c r="C860" s="6" t="n">
        <v>5.95</v>
      </c>
      <c r="D860" s="8">
        <f>-PV(B860/100,5,B859/100,1)</f>
        <v/>
      </c>
      <c r="E860" s="8">
        <f>-PV(C860/100,7,C859/100,1)</f>
        <v/>
      </c>
      <c r="F860" s="8">
        <f>$B$3*(B859/100/12+(D860-1))+$B$4*(C859/100/12+(E860-1))</f>
        <v/>
      </c>
      <c r="G860" s="8">
        <f>G859*(1+F860)</f>
        <v/>
      </c>
    </row>
    <row r="861">
      <c r="A861" s="8" t="inlineStr">
        <is>
          <t>2024-06-01</t>
        </is>
      </c>
      <c r="B861" s="6" t="n">
        <v>4.32</v>
      </c>
      <c r="C861" s="6" t="n">
        <v>5.82</v>
      </c>
      <c r="D861" s="8">
        <f>-PV(B861/100,5,B860/100,1)</f>
        <v/>
      </c>
      <c r="E861" s="8">
        <f>-PV(C861/100,7,C860/100,1)</f>
        <v/>
      </c>
      <c r="F861" s="8">
        <f>$B$3*(B860/100/12+(D861-1))+$B$4*(C860/100/12+(E861-1))</f>
        <v/>
      </c>
      <c r="G861" s="8">
        <f>G860*(1+F861)</f>
        <v/>
      </c>
    </row>
    <row r="862">
      <c r="A862" s="8" t="inlineStr">
        <is>
          <t>2024-07-01</t>
        </is>
      </c>
      <c r="B862" s="6" t="n">
        <v>4.16</v>
      </c>
      <c r="C862" s="6" t="n">
        <v>5.84</v>
      </c>
      <c r="D862" s="8">
        <f>-PV(B862/100,5,B861/100,1)</f>
        <v/>
      </c>
      <c r="E862" s="8">
        <f>-PV(C862/100,7,C861/100,1)</f>
        <v/>
      </c>
      <c r="F862" s="8">
        <f>$B$3*(B861/100/12+(D862-1))+$B$4*(C861/100/12+(E862-1))</f>
        <v/>
      </c>
      <c r="G862" s="8">
        <f>G861*(1+F862)</f>
        <v/>
      </c>
    </row>
    <row r="863">
      <c r="A863" s="8" t="inlineStr">
        <is>
          <t>2024-08-01</t>
        </is>
      </c>
      <c r="B863" s="6" t="n">
        <v>3.71</v>
      </c>
      <c r="C863" s="6" t="n">
        <v>5.6</v>
      </c>
      <c r="D863" s="8">
        <f>-PV(B863/100,5,B862/100,1)</f>
        <v/>
      </c>
      <c r="E863" s="8">
        <f>-PV(C863/100,7,C862/100,1)</f>
        <v/>
      </c>
      <c r="F863" s="8">
        <f>$B$3*(B862/100/12+(D863-1))+$B$4*(C862/100/12+(E863-1))</f>
        <v/>
      </c>
      <c r="G863" s="8">
        <f>G862*(1+F863)</f>
        <v/>
      </c>
    </row>
    <row r="864">
      <c r="A864" s="8" t="inlineStr">
        <is>
          <t>2024-09-01</t>
        </is>
      </c>
      <c r="B864" s="6" t="n">
        <v>3.5</v>
      </c>
      <c r="C864" s="6" t="n">
        <v>5.42</v>
      </c>
      <c r="D864" s="8">
        <f>-PV(B864/100,5,B863/100,1)</f>
        <v/>
      </c>
      <c r="E864" s="8">
        <f>-PV(C864/100,7,C863/100,1)</f>
        <v/>
      </c>
      <c r="F864" s="8">
        <f>$B$3*(B863/100/12+(D864-1))+$B$4*(C863/100/12+(E864-1))</f>
        <v/>
      </c>
      <c r="G864" s="8">
        <f>G863*(1+F864)</f>
        <v/>
      </c>
    </row>
    <row r="865">
      <c r="A865" s="8" t="inlineStr">
        <is>
          <t>2024-10-01</t>
        </is>
      </c>
      <c r="B865" s="6" t="n">
        <v>3.91</v>
      </c>
      <c r="C865" s="6" t="n">
        <v>5.63</v>
      </c>
      <c r="D865" s="8">
        <f>-PV(B865/100,5,B864/100,1)</f>
        <v/>
      </c>
      <c r="E865" s="8">
        <f>-PV(C865/100,7,C864/100,1)</f>
        <v/>
      </c>
      <c r="F865" s="8">
        <f>$B$3*(B864/100/12+(D865-1))+$B$4*(C864/100/12+(E865-1))</f>
        <v/>
      </c>
      <c r="G865" s="8">
        <f>G864*(1+F865)</f>
        <v/>
      </c>
    </row>
    <row r="866">
      <c r="A866" s="8" t="inlineStr">
        <is>
          <t>2024-11-01</t>
        </is>
      </c>
      <c r="B866" s="6" t="n">
        <v>4.23</v>
      </c>
      <c r="C866" s="6" t="n">
        <v>5.78</v>
      </c>
      <c r="D866" s="8">
        <f>-PV(B866/100,5,B865/100,1)</f>
        <v/>
      </c>
      <c r="E866" s="8">
        <f>-PV(C866/100,7,C865/100,1)</f>
        <v/>
      </c>
      <c r="F866" s="8">
        <f>$B$3*(B865/100/12+(D866-1))+$B$4*(C865/100/12+(E866-1))</f>
        <v/>
      </c>
      <c r="G866" s="8">
        <f>G865*(1+F866)</f>
        <v/>
      </c>
    </row>
    <row r="867">
      <c r="A867" s="8" t="inlineStr">
        <is>
          <t>2024-12-01</t>
        </is>
      </c>
      <c r="B867" s="6" t="n">
        <v>4.25</v>
      </c>
      <c r="C867" s="6" t="n">
        <v>5.8</v>
      </c>
      <c r="D867" s="8">
        <f>-PV(B867/100,5,B866/100,1)</f>
        <v/>
      </c>
      <c r="E867" s="8">
        <f>-PV(C867/100,7,C866/100,1)</f>
        <v/>
      </c>
      <c r="F867" s="8">
        <f>$B$3*(B866/100/12+(D867-1))+$B$4*(C866/100/12+(E867-1))</f>
        <v/>
      </c>
      <c r="G867" s="8">
        <f>G866*(1+F867)</f>
        <v/>
      </c>
    </row>
    <row r="868">
      <c r="A868" s="8" t="inlineStr">
        <is>
          <t>2025-01-01</t>
        </is>
      </c>
      <c r="B868" s="6" t="n">
        <v>4.43</v>
      </c>
      <c r="C868" s="6" t="n">
        <v>6.08</v>
      </c>
      <c r="D868" s="8">
        <f>-PV(B868/100,5,B867/100,1)</f>
        <v/>
      </c>
      <c r="E868" s="8">
        <f>-PV(C868/100,7,C867/100,1)</f>
        <v/>
      </c>
      <c r="F868" s="8">
        <f>$B$3*(B867/100/12+(D868-1))+$B$4*(C867/100/12+(E868-1))</f>
        <v/>
      </c>
      <c r="G868" s="8">
        <f>G867*(1+F868)</f>
        <v/>
      </c>
    </row>
    <row r="869">
      <c r="A869" s="8" t="inlineStr">
        <is>
          <t>2025-02-01</t>
        </is>
      </c>
      <c r="B869" s="6" t="n">
        <v>4.28</v>
      </c>
      <c r="C869" s="6" t="n">
        <v>5.92</v>
      </c>
      <c r="D869" s="8">
        <f>-PV(B869/100,5,B868/100,1)</f>
        <v/>
      </c>
      <c r="E869" s="8">
        <f>-PV(C869/100,7,C868/100,1)</f>
        <v/>
      </c>
      <c r="F869" s="8">
        <f>$B$3*(B868/100/12+(D869-1))+$B$4*(C868/100/12+(E869-1))</f>
        <v/>
      </c>
      <c r="G869" s="8">
        <f>G868*(1+F869)</f>
        <v/>
      </c>
    </row>
    <row r="870">
      <c r="A870" s="8" t="inlineStr">
        <is>
          <t>2025-03-01</t>
        </is>
      </c>
      <c r="B870" s="6" t="n">
        <v>4.04</v>
      </c>
      <c r="C870" s="6" t="n">
        <v>5.93</v>
      </c>
      <c r="D870" s="8">
        <f>-PV(B870/100,5,B869/100,1)</f>
        <v/>
      </c>
      <c r="E870" s="8">
        <f>-PV(C870/100,7,C869/100,1)</f>
        <v/>
      </c>
      <c r="F870" s="8">
        <f>$B$3*(B869/100/12+(D870-1))+$B$4*(C869/100/12+(E870-1))</f>
        <v/>
      </c>
      <c r="G870" s="8">
        <f>G869*(1+F870)</f>
        <v/>
      </c>
    </row>
    <row r="871">
      <c r="A871" s="8" t="inlineStr">
        <is>
          <t>2025-04-01</t>
        </is>
      </c>
      <c r="B871" s="6" t="n">
        <v>3.91</v>
      </c>
      <c r="C871" s="6" t="n">
        <v>6.18</v>
      </c>
      <c r="D871" s="8">
        <f>-PV(B871/100,5,B870/100,1)</f>
        <v/>
      </c>
      <c r="E871" s="8">
        <f>-PV(C871/100,7,C870/100,1)</f>
        <v/>
      </c>
      <c r="F871" s="8">
        <f>$B$3*(B870/100/12+(D871-1))+$B$4*(C870/100/12+(E871-1))</f>
        <v/>
      </c>
      <c r="G871" s="8">
        <f>G870*(1+F871)</f>
        <v/>
      </c>
    </row>
    <row r="872">
      <c r="A872" s="8" t="inlineStr">
        <is>
          <t>2025-05-01</t>
        </is>
      </c>
      <c r="B872" s="6" t="n">
        <v>4.02</v>
      </c>
      <c r="C872" s="6" t="n">
        <v>6.29</v>
      </c>
      <c r="D872" s="8">
        <f>-PV(B872/100,5,B871/100,1)</f>
        <v/>
      </c>
      <c r="E872" s="8">
        <f>-PV(C872/100,7,C871/100,1)</f>
        <v/>
      </c>
      <c r="F872" s="8">
        <f>$B$3*(B871/100/12+(D872-1))+$B$4*(C871/100/12+(E872-1))</f>
        <v/>
      </c>
      <c r="G872" s="8">
        <f>G871*(1+F872)</f>
        <v/>
      </c>
    </row>
    <row r="873">
      <c r="A873" s="8" t="inlineStr">
        <is>
          <t>2025-06-01</t>
        </is>
      </c>
      <c r="B873" s="6" t="n">
        <v>3.96</v>
      </c>
      <c r="C873" s="6" t="n">
        <v>6.15</v>
      </c>
      <c r="D873" s="8">
        <f>-PV(B873/100,5,B872/100,1)</f>
        <v/>
      </c>
      <c r="E873" s="8">
        <f>-PV(C873/100,7,C872/100,1)</f>
        <v/>
      </c>
      <c r="F873" s="8">
        <f>$B$3*(B872/100/12+(D873-1))+$B$4*(C872/100/12+(E873-1))</f>
        <v/>
      </c>
      <c r="G873" s="8">
        <f>G872*(1+F873)</f>
        <v/>
      </c>
    </row>
    <row r="874">
      <c r="A874" s="8" t="inlineStr">
        <is>
          <t>2025-07-01</t>
        </is>
      </c>
      <c r="B874" s="6" t="n">
        <v>3.95</v>
      </c>
      <c r="C874" s="6" t="n">
        <v>6.1</v>
      </c>
      <c r="D874" s="8">
        <f>-PV(B874/100,5,B873/100,1)</f>
        <v/>
      </c>
      <c r="E874" s="8">
        <f>-PV(C874/100,7,C873/100,1)</f>
        <v/>
      </c>
      <c r="F874" s="8">
        <f>$B$3*(B873/100/12+(D874-1))+$B$4*(C873/100/12+(E874-1))</f>
        <v/>
      </c>
      <c r="G874" s="8">
        <f>G873*(1+F874)</f>
        <v/>
      </c>
    </row>
    <row r="875">
      <c r="A875" s="8" t="inlineStr">
        <is>
          <t>2025-08-01</t>
        </is>
      </c>
      <c r="B875" s="6" t="n">
        <v>3.79</v>
      </c>
      <c r="C875" s="6" t="n">
        <v>6</v>
      </c>
      <c r="D875" s="8">
        <f>-PV(B875/100,5,B874/100,1)</f>
        <v/>
      </c>
      <c r="E875" s="8">
        <f>-PV(C875/100,7,C874/100,1)</f>
        <v/>
      </c>
      <c r="F875" s="8">
        <f>$B$3*(B874/100/12+(D875-1))+$B$4*(C874/100/12+(E875-1))</f>
        <v/>
      </c>
      <c r="G875" s="8">
        <f>G874*(1+F875)</f>
        <v/>
      </c>
    </row>
    <row r="876">
      <c r="A876" s="8" t="inlineStr">
        <is>
          <t>2025-09-01</t>
        </is>
      </c>
      <c r="B876" s="6" t="n">
        <v>3.66</v>
      </c>
      <c r="C876" s="6" t="n">
        <v>5.83</v>
      </c>
      <c r="D876" s="8">
        <f>-PV(B876/100,5,B875/100,1)</f>
        <v/>
      </c>
      <c r="E876" s="8">
        <f>-PV(C876/100,7,C875/100,1)</f>
        <v/>
      </c>
      <c r="F876" s="8">
        <f>$B$3*(B875/100/12+(D876-1))+$B$4*(C875/100/12+(E876-1))</f>
        <v/>
      </c>
      <c r="G876" s="8">
        <f>G875*(1+F876)</f>
        <v/>
      </c>
    </row>
    <row r="877">
      <c r="A877" s="8" t="inlineStr">
        <is>
          <t>2025-10-01</t>
        </is>
      </c>
      <c r="B877" s="6" t="n">
        <v>3.65</v>
      </c>
      <c r="C877" s="6" t="n">
        <v>5.74</v>
      </c>
      <c r="D877" s="8">
        <f>-PV(B877/100,5,B876/100,1)</f>
        <v/>
      </c>
      <c r="E877" s="8">
        <f>-PV(C877/100,7,C876/100,1)</f>
        <v/>
      </c>
      <c r="F877" s="8">
        <f>$B$3*(B876/100/12+(D877-1))+$B$4*(C876/100/12+(E877-1))</f>
        <v/>
      </c>
      <c r="G877" s="8">
        <f>G876*(1+F877)</f>
        <v/>
      </c>
    </row>
    <row r="878">
      <c r="A878" s="8" t="inlineStr">
        <is>
          <t>2025-11-01</t>
        </is>
      </c>
      <c r="B878" s="6" t="n">
        <v>3.67</v>
      </c>
      <c r="C878" s="6" t="n">
        <v>5.86</v>
      </c>
      <c r="D878" s="8">
        <f>-PV(B878/100,5,B877/100,1)</f>
        <v/>
      </c>
      <c r="E878" s="8">
        <f>-PV(C878/100,7,C877/100,1)</f>
        <v/>
      </c>
      <c r="F878" s="8">
        <f>$B$3*(B877/100/12+(D878-1))+$B$4*(C877/100/12+(E878-1))</f>
        <v/>
      </c>
      <c r="G878" s="8">
        <f>G877*(1+F878)</f>
        <v/>
      </c>
    </row>
    <row r="879">
      <c r="A879" s="8" t="inlineStr">
        <is>
          <t>2025-12-01</t>
        </is>
      </c>
      <c r="B879" s="6" t="n">
        <v>3.7</v>
      </c>
      <c r="C879" s="6" t="n">
        <v>5.9</v>
      </c>
      <c r="D879" s="8">
        <f>-PV(B879/100,5,B878/100,1)</f>
        <v/>
      </c>
      <c r="E879" s="8">
        <f>-PV(C879/100,7,C878/100,1)</f>
        <v/>
      </c>
      <c r="F879" s="8">
        <f>$B$3*(B878/100/12+(D879-1))+$B$4*(C878/100/12+(E879-1))</f>
        <v/>
      </c>
      <c r="G879" s="8">
        <f>G878*(1+F879)</f>
        <v/>
      </c>
    </row>
    <row r="880">
      <c r="A880" s="8" t="inlineStr">
        <is>
          <t>2026-01-01</t>
        </is>
      </c>
      <c r="B880" s="6" t="n">
        <v>3.78</v>
      </c>
      <c r="C880" s="6" t="n">
        <v>5.88</v>
      </c>
      <c r="D880" s="8">
        <f>-PV(B880/100,5,B879/100,1)</f>
        <v/>
      </c>
      <c r="E880" s="8">
        <f>-PV(C880/100,7,C879/100,1)</f>
        <v/>
      </c>
      <c r="F880" s="8">
        <f>$B$3*(B879/100/12+(D880-1))+$B$4*(C879/100/12+(E880-1))</f>
        <v/>
      </c>
      <c r="G880" s="8">
        <f>G879*(1+F880)</f>
        <v/>
      </c>
    </row>
    <row r="881">
      <c r="A881" s="8" t="inlineStr">
        <is>
          <t>2026-02-01</t>
        </is>
      </c>
      <c r="B881" s="6" t="n">
        <v>3.68</v>
      </c>
      <c r="C881" s="6" t="n">
        <v>5.81</v>
      </c>
      <c r="D881" s="8">
        <f>-PV(B881/100,5,B880/100,1)</f>
        <v/>
      </c>
      <c r="E881" s="8">
        <f>-PV(C881/100,7,C880/100,1)</f>
        <v/>
      </c>
      <c r="F881" s="8">
        <f>$B$3*(B880/100/12+(D881-1))+$B$4*(C880/100/12+(E881-1))</f>
        <v/>
      </c>
      <c r="G881" s="8">
        <f>G880*(1+F881)</f>
        <v/>
      </c>
    </row>
    <row r="882">
      <c r="A882" s="8" t="inlineStr">
        <is>
          <t>2026-03-01</t>
        </is>
      </c>
      <c r="B882" s="6" t="n">
        <v>3.85</v>
      </c>
      <c r="C882" s="6" t="n">
        <v>6.04</v>
      </c>
      <c r="D882" s="8">
        <f>-PV(B882/100,5,B881/100,1)</f>
        <v/>
      </c>
      <c r="E882" s="8">
        <f>-PV(C882/100,7,C881/100,1)</f>
        <v/>
      </c>
      <c r="F882" s="8">
        <f>$B$3*(B881/100/12+(D882-1))+$B$4*(C881/100/12+(E882-1))</f>
        <v/>
      </c>
      <c r="G882" s="8">
        <f>G881*(1+F882)</f>
        <v/>
      </c>
    </row>
    <row r="883">
      <c r="A883" s="8" t="inlineStr">
        <is>
          <t>2026-04-01</t>
        </is>
      </c>
      <c r="B883" s="6" t="n">
        <v>3.94</v>
      </c>
      <c r="C883" s="6" t="n">
        <v>6.03</v>
      </c>
      <c r="D883" s="8">
        <f>-PV(B883/100,5,B882/100,1)</f>
        <v/>
      </c>
      <c r="E883" s="8">
        <f>-PV(C883/100,7,C882/100,1)</f>
        <v/>
      </c>
      <c r="F883" s="8">
        <f>$B$3*(B882/100/12+(D883-1))+$B$4*(C882/100/12+(E883-1))</f>
        <v/>
      </c>
      <c r="G883" s="8">
        <f>G882*(1+F883)</f>
        <v/>
      </c>
    </row>
    <row r="884">
      <c r="A884" s="8" t="inlineStr">
        <is>
          <t>2026-05-01</t>
        </is>
      </c>
      <c r="B884" s="6" t="n">
        <v>4.15</v>
      </c>
      <c r="C884" s="6" t="n">
        <v>6.1</v>
      </c>
      <c r="D884" s="8">
        <f>-PV(B884/100,5,B883/100,1)</f>
        <v/>
      </c>
      <c r="E884" s="8">
        <f>-PV(C884/100,7,C883/100,1)</f>
        <v/>
      </c>
      <c r="F884" s="8">
        <f>$B$3*(B883/100/12+(D884-1))+$B$4*(C883/100/12+(E884-1))</f>
        <v/>
      </c>
      <c r="G884" s="8">
        <f>G883*(1+F884)</f>
        <v/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Gold — annual-average level (single source, no splice)</t>
        </is>
      </c>
    </row>
    <row r="2">
      <c r="A2" s="2" t="inlineStr">
        <is>
          <t>MeasuringWorth annual NY gold price (price = total return for gold; 2025 = COMEX GC=F daily mean).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1860</v>
      </c>
      <c r="B5" s="6" t="n">
        <v>20.67</v>
      </c>
    </row>
    <row r="6">
      <c r="A6" s="8" t="n">
        <v>1861</v>
      </c>
      <c r="B6" s="6" t="n">
        <v>20.67</v>
      </c>
    </row>
    <row r="7">
      <c r="A7" s="8" t="n">
        <v>1862</v>
      </c>
      <c r="B7" s="6" t="n">
        <v>20.67</v>
      </c>
    </row>
    <row r="8">
      <c r="A8" s="8" t="n">
        <v>1863</v>
      </c>
      <c r="B8" s="6" t="n">
        <v>20.67</v>
      </c>
    </row>
    <row r="9">
      <c r="A9" s="8" t="n">
        <v>1864</v>
      </c>
      <c r="B9" s="6" t="n">
        <v>20.67</v>
      </c>
    </row>
    <row r="10">
      <c r="A10" s="8" t="n">
        <v>1865</v>
      </c>
      <c r="B10" s="6" t="n">
        <v>20.67</v>
      </c>
    </row>
    <row r="11">
      <c r="A11" s="8" t="n">
        <v>1866</v>
      </c>
      <c r="B11" s="6" t="n">
        <v>20.67</v>
      </c>
    </row>
    <row r="12">
      <c r="A12" s="8" t="n">
        <v>1867</v>
      </c>
      <c r="B12" s="6" t="n">
        <v>20.67</v>
      </c>
    </row>
    <row r="13">
      <c r="A13" s="8" t="n">
        <v>1868</v>
      </c>
      <c r="B13" s="6" t="n">
        <v>20.67</v>
      </c>
    </row>
    <row r="14">
      <c r="A14" s="8" t="n">
        <v>1869</v>
      </c>
      <c r="B14" s="6" t="n">
        <v>20.67</v>
      </c>
    </row>
    <row r="15">
      <c r="A15" s="8" t="n">
        <v>1870</v>
      </c>
      <c r="B15" s="6" t="n">
        <v>20.67</v>
      </c>
    </row>
    <row r="16">
      <c r="A16" s="8" t="n">
        <v>1871</v>
      </c>
      <c r="B16" s="6" t="n">
        <v>20.67</v>
      </c>
    </row>
    <row r="17">
      <c r="A17" s="8" t="n">
        <v>1872</v>
      </c>
      <c r="B17" s="6" t="n">
        <v>20.67</v>
      </c>
    </row>
    <row r="18">
      <c r="A18" s="8" t="n">
        <v>1873</v>
      </c>
      <c r="B18" s="6" t="n">
        <v>20.67</v>
      </c>
    </row>
    <row r="19">
      <c r="A19" s="8" t="n">
        <v>1874</v>
      </c>
      <c r="B19" s="6" t="n">
        <v>20.67</v>
      </c>
    </row>
    <row r="20">
      <c r="A20" s="8" t="n">
        <v>1875</v>
      </c>
      <c r="B20" s="6" t="n">
        <v>20.67</v>
      </c>
    </row>
    <row r="21">
      <c r="A21" s="8" t="n">
        <v>1876</v>
      </c>
      <c r="B21" s="6" t="n">
        <v>20.67</v>
      </c>
    </row>
    <row r="22">
      <c r="A22" s="8" t="n">
        <v>1877</v>
      </c>
      <c r="B22" s="6" t="n">
        <v>20.67</v>
      </c>
    </row>
    <row r="23">
      <c r="A23" s="8" t="n">
        <v>1878</v>
      </c>
      <c r="B23" s="6" t="n">
        <v>20.67</v>
      </c>
    </row>
    <row r="24">
      <c r="A24" s="8" t="n">
        <v>1879</v>
      </c>
      <c r="B24" s="6" t="n">
        <v>20.67</v>
      </c>
    </row>
    <row r="25">
      <c r="A25" s="8" t="n">
        <v>1880</v>
      </c>
      <c r="B25" s="6" t="n">
        <v>20.67</v>
      </c>
    </row>
    <row r="26">
      <c r="A26" s="8" t="n">
        <v>1881</v>
      </c>
      <c r="B26" s="6" t="n">
        <v>20.67</v>
      </c>
    </row>
    <row r="27">
      <c r="A27" s="8" t="n">
        <v>1882</v>
      </c>
      <c r="B27" s="6" t="n">
        <v>20.67</v>
      </c>
    </row>
    <row r="28">
      <c r="A28" s="8" t="n">
        <v>1883</v>
      </c>
      <c r="B28" s="6" t="n">
        <v>20.67</v>
      </c>
    </row>
    <row r="29">
      <c r="A29" s="8" t="n">
        <v>1884</v>
      </c>
      <c r="B29" s="6" t="n">
        <v>20.67</v>
      </c>
    </row>
    <row r="30">
      <c r="A30" s="8" t="n">
        <v>1885</v>
      </c>
      <c r="B30" s="6" t="n">
        <v>20.67</v>
      </c>
    </row>
    <row r="31">
      <c r="A31" s="8" t="n">
        <v>1886</v>
      </c>
      <c r="B31" s="6" t="n">
        <v>20.67</v>
      </c>
    </row>
    <row r="32">
      <c r="A32" s="8" t="n">
        <v>1887</v>
      </c>
      <c r="B32" s="6" t="n">
        <v>20.67</v>
      </c>
    </row>
    <row r="33">
      <c r="A33" s="8" t="n">
        <v>1888</v>
      </c>
      <c r="B33" s="6" t="n">
        <v>20.67</v>
      </c>
    </row>
    <row r="34">
      <c r="A34" s="8" t="n">
        <v>1889</v>
      </c>
      <c r="B34" s="6" t="n">
        <v>20.67</v>
      </c>
    </row>
    <row r="35">
      <c r="A35" s="8" t="n">
        <v>1890</v>
      </c>
      <c r="B35" s="6" t="n">
        <v>20.67</v>
      </c>
    </row>
    <row r="36">
      <c r="A36" s="8" t="n">
        <v>1891</v>
      </c>
      <c r="B36" s="6" t="n">
        <v>20.67</v>
      </c>
    </row>
    <row r="37">
      <c r="A37" s="8" t="n">
        <v>1892</v>
      </c>
      <c r="B37" s="6" t="n">
        <v>20.67</v>
      </c>
    </row>
    <row r="38">
      <c r="A38" s="8" t="n">
        <v>1893</v>
      </c>
      <c r="B38" s="6" t="n">
        <v>20.67</v>
      </c>
    </row>
    <row r="39">
      <c r="A39" s="8" t="n">
        <v>1894</v>
      </c>
      <c r="B39" s="6" t="n">
        <v>20.67</v>
      </c>
    </row>
    <row r="40">
      <c r="A40" s="8" t="n">
        <v>1895</v>
      </c>
      <c r="B40" s="6" t="n">
        <v>20.67</v>
      </c>
    </row>
    <row r="41">
      <c r="A41" s="8" t="n">
        <v>1896</v>
      </c>
      <c r="B41" s="6" t="n">
        <v>20.67</v>
      </c>
    </row>
    <row r="42">
      <c r="A42" s="8" t="n">
        <v>1897</v>
      </c>
      <c r="B42" s="6" t="n">
        <v>20.67</v>
      </c>
    </row>
    <row r="43">
      <c r="A43" s="8" t="n">
        <v>1898</v>
      </c>
      <c r="B43" s="6" t="n">
        <v>20.67</v>
      </c>
    </row>
    <row r="44">
      <c r="A44" s="8" t="n">
        <v>1899</v>
      </c>
      <c r="B44" s="6" t="n">
        <v>20.67</v>
      </c>
    </row>
    <row r="45">
      <c r="A45" s="8" t="n">
        <v>1900</v>
      </c>
      <c r="B45" s="6" t="n">
        <v>20.67</v>
      </c>
    </row>
    <row r="46">
      <c r="A46" s="8" t="n">
        <v>1901</v>
      </c>
      <c r="B46" s="6" t="n">
        <v>20.67</v>
      </c>
    </row>
    <row r="47">
      <c r="A47" s="8" t="n">
        <v>1902</v>
      </c>
      <c r="B47" s="6" t="n">
        <v>20.67</v>
      </c>
    </row>
    <row r="48">
      <c r="A48" s="8" t="n">
        <v>1903</v>
      </c>
      <c r="B48" s="6" t="n">
        <v>20.67</v>
      </c>
    </row>
    <row r="49">
      <c r="A49" s="8" t="n">
        <v>1904</v>
      </c>
      <c r="B49" s="6" t="n">
        <v>20.67</v>
      </c>
    </row>
    <row r="50">
      <c r="A50" s="8" t="n">
        <v>1905</v>
      </c>
      <c r="B50" s="6" t="n">
        <v>20.67</v>
      </c>
    </row>
    <row r="51">
      <c r="A51" s="8" t="n">
        <v>1906</v>
      </c>
      <c r="B51" s="6" t="n">
        <v>20.67</v>
      </c>
    </row>
    <row r="52">
      <c r="A52" s="8" t="n">
        <v>1907</v>
      </c>
      <c r="B52" s="6" t="n">
        <v>20.67</v>
      </c>
    </row>
    <row r="53">
      <c r="A53" s="8" t="n">
        <v>1908</v>
      </c>
      <c r="B53" s="6" t="n">
        <v>20.67</v>
      </c>
    </row>
    <row r="54">
      <c r="A54" s="8" t="n">
        <v>1909</v>
      </c>
      <c r="B54" s="6" t="n">
        <v>20.67</v>
      </c>
    </row>
    <row r="55">
      <c r="A55" s="8" t="n">
        <v>1910</v>
      </c>
      <c r="B55" s="6" t="n">
        <v>20.67</v>
      </c>
    </row>
    <row r="56">
      <c r="A56" s="8" t="n">
        <v>1911</v>
      </c>
      <c r="B56" s="6" t="n">
        <v>20.67</v>
      </c>
    </row>
    <row r="57">
      <c r="A57" s="8" t="n">
        <v>1912</v>
      </c>
      <c r="B57" s="6" t="n">
        <v>20.67</v>
      </c>
    </row>
    <row r="58">
      <c r="A58" s="8" t="n">
        <v>1913</v>
      </c>
      <c r="B58" s="6" t="n">
        <v>20.67</v>
      </c>
    </row>
    <row r="59">
      <c r="A59" s="8" t="n">
        <v>1914</v>
      </c>
      <c r="B59" s="6" t="n">
        <v>20.67</v>
      </c>
    </row>
    <row r="60">
      <c r="A60" s="8" t="n">
        <v>1915</v>
      </c>
      <c r="B60" s="6" t="n">
        <v>20.67</v>
      </c>
    </row>
    <row r="61">
      <c r="A61" s="8" t="n">
        <v>1916</v>
      </c>
      <c r="B61" s="6" t="n">
        <v>20.67</v>
      </c>
    </row>
    <row r="62">
      <c r="A62" s="8" t="n">
        <v>1917</v>
      </c>
      <c r="B62" s="6" t="n">
        <v>20.67</v>
      </c>
    </row>
    <row r="63">
      <c r="A63" s="8" t="n">
        <v>1918</v>
      </c>
      <c r="B63" s="6" t="n">
        <v>20.67</v>
      </c>
    </row>
    <row r="64">
      <c r="A64" s="8" t="n">
        <v>1919</v>
      </c>
      <c r="B64" s="6" t="n">
        <v>20.67</v>
      </c>
    </row>
    <row r="65">
      <c r="A65" s="8" t="n">
        <v>1920</v>
      </c>
      <c r="B65" s="6" t="n">
        <v>20.67</v>
      </c>
    </row>
    <row r="66">
      <c r="A66" s="8" t="n">
        <v>1921</v>
      </c>
      <c r="B66" s="6" t="n">
        <v>20.67</v>
      </c>
    </row>
    <row r="67">
      <c r="A67" s="8" t="n">
        <v>1922</v>
      </c>
      <c r="B67" s="6" t="n">
        <v>20.67</v>
      </c>
    </row>
    <row r="68">
      <c r="A68" s="8" t="n">
        <v>1923</v>
      </c>
      <c r="B68" s="6" t="n">
        <v>20.67</v>
      </c>
    </row>
    <row r="69">
      <c r="A69" s="8" t="n">
        <v>1924</v>
      </c>
      <c r="B69" s="6" t="n">
        <v>20.67</v>
      </c>
    </row>
    <row r="70">
      <c r="A70" s="8" t="n">
        <v>1925</v>
      </c>
      <c r="B70" s="6" t="n">
        <v>20.67</v>
      </c>
    </row>
    <row r="71">
      <c r="A71" s="8" t="n">
        <v>1926</v>
      </c>
      <c r="B71" s="6" t="n">
        <v>20.67</v>
      </c>
    </row>
    <row r="72">
      <c r="A72" s="8" t="n">
        <v>1927</v>
      </c>
      <c r="B72" s="6" t="n">
        <v>20.67</v>
      </c>
    </row>
    <row r="73">
      <c r="A73" s="8" t="n">
        <v>1928</v>
      </c>
      <c r="B73" s="6" t="n">
        <v>20.67</v>
      </c>
    </row>
    <row r="74">
      <c r="A74" s="8" t="n">
        <v>1929</v>
      </c>
      <c r="B74" s="6" t="n">
        <v>20.67</v>
      </c>
    </row>
    <row r="75">
      <c r="A75" s="8" t="n">
        <v>1930</v>
      </c>
      <c r="B75" s="6" t="n">
        <v>20.67</v>
      </c>
    </row>
    <row r="76">
      <c r="A76" s="8" t="n">
        <v>1931</v>
      </c>
      <c r="B76" s="6" t="n">
        <v>20.67</v>
      </c>
    </row>
    <row r="77">
      <c r="A77" s="8" t="n">
        <v>1932</v>
      </c>
      <c r="B77" s="6" t="n">
        <v>20.67</v>
      </c>
    </row>
    <row r="78">
      <c r="A78" s="8" t="n">
        <v>1933</v>
      </c>
      <c r="B78" s="6" t="n">
        <v>24.44</v>
      </c>
    </row>
    <row r="79">
      <c r="A79" s="8" t="n">
        <v>1934</v>
      </c>
      <c r="B79" s="6" t="n">
        <v>34.94</v>
      </c>
    </row>
    <row r="80">
      <c r="A80" s="8" t="n">
        <v>1935</v>
      </c>
      <c r="B80" s="6" t="n">
        <v>35</v>
      </c>
    </row>
    <row r="81">
      <c r="A81" s="8" t="n">
        <v>1936</v>
      </c>
      <c r="B81" s="6" t="n">
        <v>35</v>
      </c>
    </row>
    <row r="82">
      <c r="A82" s="8" t="n">
        <v>1937</v>
      </c>
      <c r="B82" s="6" t="n">
        <v>35</v>
      </c>
    </row>
    <row r="83">
      <c r="A83" s="8" t="n">
        <v>1938</v>
      </c>
      <c r="B83" s="6" t="n">
        <v>35</v>
      </c>
    </row>
    <row r="84">
      <c r="A84" s="8" t="n">
        <v>1939</v>
      </c>
      <c r="B84" s="6" t="n">
        <v>35</v>
      </c>
    </row>
    <row r="85">
      <c r="A85" s="8" t="n">
        <v>1940</v>
      </c>
      <c r="B85" s="6" t="n">
        <v>35</v>
      </c>
    </row>
    <row r="86">
      <c r="A86" s="8" t="n">
        <v>1941</v>
      </c>
      <c r="B86" s="6" t="n">
        <v>35</v>
      </c>
    </row>
    <row r="87">
      <c r="A87" s="8" t="n">
        <v>1942</v>
      </c>
      <c r="B87" s="6" t="n">
        <v>35</v>
      </c>
    </row>
    <row r="88">
      <c r="A88" s="8" t="n">
        <v>1943</v>
      </c>
      <c r="B88" s="6" t="n">
        <v>35</v>
      </c>
    </row>
    <row r="89">
      <c r="A89" s="8" t="n">
        <v>1944</v>
      </c>
      <c r="B89" s="6" t="n">
        <v>35</v>
      </c>
    </row>
    <row r="90">
      <c r="A90" s="8" t="n">
        <v>1945</v>
      </c>
      <c r="B90" s="6" t="n">
        <v>35</v>
      </c>
    </row>
    <row r="91">
      <c r="A91" s="8" t="n">
        <v>1946</v>
      </c>
      <c r="B91" s="6" t="n">
        <v>35</v>
      </c>
    </row>
    <row r="92">
      <c r="A92" s="8" t="n">
        <v>1947</v>
      </c>
      <c r="B92" s="6" t="n">
        <v>35</v>
      </c>
    </row>
    <row r="93">
      <c r="A93" s="8" t="n">
        <v>1948</v>
      </c>
      <c r="B93" s="6" t="n">
        <v>35</v>
      </c>
    </row>
    <row r="94">
      <c r="A94" s="8" t="n">
        <v>1949</v>
      </c>
      <c r="B94" s="6" t="n">
        <v>35</v>
      </c>
    </row>
    <row r="95">
      <c r="A95" s="8" t="n">
        <v>1950</v>
      </c>
      <c r="B95" s="6" t="n">
        <v>34.71</v>
      </c>
    </row>
    <row r="96">
      <c r="A96" s="8" t="n">
        <v>1951</v>
      </c>
      <c r="B96" s="6" t="n">
        <v>34.71</v>
      </c>
    </row>
    <row r="97">
      <c r="A97" s="8" t="n">
        <v>1952</v>
      </c>
      <c r="B97" s="6" t="n">
        <v>34.71</v>
      </c>
    </row>
    <row r="98">
      <c r="A98" s="8" t="n">
        <v>1953</v>
      </c>
      <c r="B98" s="6" t="n">
        <v>34.71</v>
      </c>
    </row>
    <row r="99">
      <c r="A99" s="8" t="n">
        <v>1954</v>
      </c>
      <c r="B99" s="6" t="n">
        <v>34.96</v>
      </c>
    </row>
    <row r="100">
      <c r="A100" s="8" t="n">
        <v>1955</v>
      </c>
      <c r="B100" s="6" t="n">
        <v>35.01</v>
      </c>
    </row>
    <row r="101">
      <c r="A101" s="8" t="n">
        <v>1956</v>
      </c>
      <c r="B101" s="6" t="n">
        <v>35</v>
      </c>
    </row>
    <row r="102">
      <c r="A102" s="8" t="n">
        <v>1957</v>
      </c>
      <c r="B102" s="6" t="n">
        <v>34.95</v>
      </c>
    </row>
    <row r="103">
      <c r="A103" s="8" t="n">
        <v>1958</v>
      </c>
      <c r="B103" s="6" t="n">
        <v>35.1</v>
      </c>
    </row>
    <row r="104">
      <c r="A104" s="8" t="n">
        <v>1959</v>
      </c>
      <c r="B104" s="6" t="n">
        <v>35.09</v>
      </c>
    </row>
    <row r="105">
      <c r="A105" s="8" t="n">
        <v>1960</v>
      </c>
      <c r="B105" s="6" t="n">
        <v>35.28</v>
      </c>
    </row>
    <row r="106">
      <c r="A106" s="8" t="n">
        <v>1961</v>
      </c>
      <c r="B106" s="6" t="n">
        <v>35.15</v>
      </c>
    </row>
    <row r="107">
      <c r="A107" s="8" t="n">
        <v>1962</v>
      </c>
      <c r="B107" s="6" t="n">
        <v>35.1</v>
      </c>
    </row>
    <row r="108">
      <c r="A108" s="8" t="n">
        <v>1963</v>
      </c>
      <c r="B108" s="6" t="n">
        <v>35.09</v>
      </c>
    </row>
    <row r="109">
      <c r="A109" s="8" t="n">
        <v>1964</v>
      </c>
      <c r="B109" s="6" t="n">
        <v>35.09</v>
      </c>
    </row>
    <row r="110">
      <c r="A110" s="8" t="n">
        <v>1965</v>
      </c>
      <c r="B110" s="6" t="n">
        <v>35.13</v>
      </c>
    </row>
    <row r="111">
      <c r="A111" s="8" t="n">
        <v>1966</v>
      </c>
      <c r="B111" s="6" t="n">
        <v>35.17</v>
      </c>
    </row>
    <row r="112">
      <c r="A112" s="8" t="n">
        <v>1967</v>
      </c>
      <c r="B112" s="6" t="n">
        <v>35.19</v>
      </c>
    </row>
    <row r="113">
      <c r="A113" s="8" t="n">
        <v>1968</v>
      </c>
      <c r="B113" s="6" t="n">
        <v>38.69</v>
      </c>
    </row>
    <row r="114">
      <c r="A114" s="8" t="n">
        <v>1969</v>
      </c>
      <c r="B114" s="6" t="n">
        <v>41.09</v>
      </c>
    </row>
    <row r="115">
      <c r="A115" s="8" t="n">
        <v>1970</v>
      </c>
      <c r="B115" s="6" t="n">
        <v>35.94</v>
      </c>
    </row>
    <row r="116">
      <c r="A116" s="8" t="n">
        <v>1971</v>
      </c>
      <c r="B116" s="6" t="n">
        <v>40.8</v>
      </c>
    </row>
    <row r="117">
      <c r="A117" s="8" t="n">
        <v>1972</v>
      </c>
      <c r="B117" s="6" t="n">
        <v>58.16</v>
      </c>
    </row>
    <row r="118">
      <c r="A118" s="8" t="n">
        <v>1973</v>
      </c>
      <c r="B118" s="6" t="n">
        <v>97.31999999999999</v>
      </c>
    </row>
    <row r="119">
      <c r="A119" s="8" t="n">
        <v>1974</v>
      </c>
      <c r="B119" s="6" t="n">
        <v>159.26</v>
      </c>
    </row>
    <row r="120">
      <c r="A120" s="8" t="n">
        <v>1975</v>
      </c>
      <c r="B120" s="6" t="n">
        <v>161.02</v>
      </c>
    </row>
    <row r="121">
      <c r="A121" s="8" t="n">
        <v>1976</v>
      </c>
      <c r="B121" s="6" t="n">
        <v>124.84</v>
      </c>
    </row>
    <row r="122">
      <c r="A122" s="8" t="n">
        <v>1977</v>
      </c>
      <c r="B122" s="6" t="n">
        <v>147.71</v>
      </c>
    </row>
    <row r="123">
      <c r="A123" s="8" t="n">
        <v>1978</v>
      </c>
      <c r="B123" s="6" t="n">
        <v>193.22</v>
      </c>
    </row>
    <row r="124">
      <c r="A124" s="8" t="n">
        <v>1979</v>
      </c>
      <c r="B124" s="6" t="n">
        <v>306.68</v>
      </c>
    </row>
    <row r="125">
      <c r="A125" s="8" t="n">
        <v>1980</v>
      </c>
      <c r="B125" s="6" t="n">
        <v>612.5599999999999</v>
      </c>
    </row>
    <row r="126">
      <c r="A126" s="8" t="n">
        <v>1981</v>
      </c>
      <c r="B126" s="6" t="n">
        <v>460.03</v>
      </c>
    </row>
    <row r="127">
      <c r="A127" s="8" t="n">
        <v>1982</v>
      </c>
      <c r="B127" s="6" t="n">
        <v>375.67</v>
      </c>
    </row>
    <row r="128">
      <c r="A128" s="8" t="n">
        <v>1983</v>
      </c>
      <c r="B128" s="6" t="n">
        <v>424.35</v>
      </c>
    </row>
    <row r="129">
      <c r="A129" s="8" t="n">
        <v>1984</v>
      </c>
      <c r="B129" s="6" t="n">
        <v>360.48</v>
      </c>
    </row>
    <row r="130">
      <c r="A130" s="8" t="n">
        <v>1985</v>
      </c>
      <c r="B130" s="6" t="n">
        <v>317.28</v>
      </c>
    </row>
    <row r="131">
      <c r="A131" s="8" t="n">
        <v>1986</v>
      </c>
      <c r="B131" s="6" t="n">
        <v>367.51</v>
      </c>
    </row>
    <row r="132">
      <c r="A132" s="8" t="n">
        <v>1987</v>
      </c>
      <c r="B132" s="6" t="n">
        <v>446.47</v>
      </c>
    </row>
    <row r="133">
      <c r="A133" s="8" t="n">
        <v>1988</v>
      </c>
      <c r="B133" s="6" t="n">
        <v>437.05</v>
      </c>
    </row>
    <row r="134">
      <c r="A134" s="8" t="n">
        <v>1989</v>
      </c>
      <c r="B134" s="6" t="n">
        <v>381.43</v>
      </c>
    </row>
    <row r="135">
      <c r="A135" s="8" t="n">
        <v>1990</v>
      </c>
      <c r="B135" s="6" t="n">
        <v>383.47</v>
      </c>
    </row>
    <row r="136">
      <c r="A136" s="8" t="n">
        <v>1991</v>
      </c>
      <c r="B136" s="6" t="n">
        <v>362.18</v>
      </c>
    </row>
    <row r="137">
      <c r="A137" s="8" t="n">
        <v>1992</v>
      </c>
      <c r="B137" s="6" t="n">
        <v>343.73</v>
      </c>
    </row>
    <row r="138">
      <c r="A138" s="8" t="n">
        <v>1993</v>
      </c>
      <c r="B138" s="6" t="n">
        <v>359.77</v>
      </c>
    </row>
    <row r="139">
      <c r="A139" s="8" t="n">
        <v>1994</v>
      </c>
      <c r="B139" s="6" t="n">
        <v>384.01</v>
      </c>
    </row>
    <row r="140">
      <c r="A140" s="8" t="n">
        <v>1995</v>
      </c>
      <c r="B140" s="6" t="n">
        <v>384.16</v>
      </c>
    </row>
    <row r="141">
      <c r="A141" s="8" t="n">
        <v>1996</v>
      </c>
      <c r="B141" s="6" t="n">
        <v>387.69</v>
      </c>
    </row>
    <row r="142">
      <c r="A142" s="8" t="n">
        <v>1997</v>
      </c>
      <c r="B142" s="6" t="n">
        <v>331.1</v>
      </c>
    </row>
    <row r="143">
      <c r="A143" s="8" t="n">
        <v>1998</v>
      </c>
      <c r="B143" s="6" t="n">
        <v>294.16</v>
      </c>
    </row>
    <row r="144">
      <c r="A144" s="8" t="n">
        <v>1999</v>
      </c>
      <c r="B144" s="6" t="n">
        <v>278.64</v>
      </c>
    </row>
    <row r="145">
      <c r="A145" s="8" t="n">
        <v>2000</v>
      </c>
      <c r="B145" s="6" t="n">
        <v>279.03</v>
      </c>
    </row>
    <row r="146">
      <c r="A146" s="8" t="n">
        <v>2001</v>
      </c>
      <c r="B146" s="6" t="n">
        <v>271.04</v>
      </c>
    </row>
    <row r="147">
      <c r="A147" s="8" t="n">
        <v>2002</v>
      </c>
      <c r="B147" s="6" t="n">
        <v>309.68</v>
      </c>
    </row>
    <row r="148">
      <c r="A148" s="8" t="n">
        <v>2003</v>
      </c>
      <c r="B148" s="6" t="n">
        <v>363.32</v>
      </c>
    </row>
    <row r="149">
      <c r="A149" s="8" t="n">
        <v>2004</v>
      </c>
      <c r="B149" s="6" t="n">
        <v>409.17</v>
      </c>
    </row>
    <row r="150">
      <c r="A150" s="8" t="n">
        <v>2005</v>
      </c>
      <c r="B150" s="6" t="n">
        <v>444.45</v>
      </c>
    </row>
    <row r="151">
      <c r="A151" s="8" t="n">
        <v>2006</v>
      </c>
      <c r="B151" s="6" t="n">
        <v>603.77</v>
      </c>
    </row>
    <row r="152">
      <c r="A152" s="8" t="n">
        <v>2007</v>
      </c>
      <c r="B152" s="6" t="n">
        <v>695.39</v>
      </c>
    </row>
    <row r="153">
      <c r="A153" s="8" t="n">
        <v>2008</v>
      </c>
      <c r="B153" s="6" t="n">
        <v>871.96</v>
      </c>
    </row>
    <row r="154">
      <c r="A154" s="8" t="n">
        <v>2009</v>
      </c>
      <c r="B154" s="6" t="n">
        <v>972.35</v>
      </c>
    </row>
    <row r="155">
      <c r="A155" s="8" t="n">
        <v>2010</v>
      </c>
      <c r="B155" s="6" t="n">
        <v>1224.53</v>
      </c>
    </row>
    <row r="156">
      <c r="A156" s="8" t="n">
        <v>2011</v>
      </c>
      <c r="B156" s="6" t="n">
        <v>1571.52</v>
      </c>
    </row>
    <row r="157">
      <c r="A157" s="8" t="n">
        <v>2012</v>
      </c>
      <c r="B157" s="6" t="n">
        <v>1668.98</v>
      </c>
    </row>
    <row r="158">
      <c r="A158" s="8" t="n">
        <v>2013</v>
      </c>
      <c r="B158" s="6" t="n">
        <v>1411.23</v>
      </c>
    </row>
    <row r="159">
      <c r="A159" s="8" t="n">
        <v>2014</v>
      </c>
      <c r="B159" s="6" t="n">
        <v>1266.4</v>
      </c>
    </row>
    <row r="160">
      <c r="A160" s="8" t="n">
        <v>2015</v>
      </c>
      <c r="B160" s="6" t="n">
        <v>1160.06</v>
      </c>
    </row>
    <row r="161">
      <c r="A161" s="8" t="n">
        <v>2016</v>
      </c>
      <c r="B161" s="6" t="n">
        <v>1250.74</v>
      </c>
    </row>
    <row r="162">
      <c r="A162" s="8" t="n">
        <v>2017</v>
      </c>
      <c r="B162" s="6" t="n">
        <v>1257.12</v>
      </c>
    </row>
    <row r="163">
      <c r="A163" s="8" t="n">
        <v>2018</v>
      </c>
      <c r="B163" s="6" t="n">
        <v>1268.92</v>
      </c>
    </row>
    <row r="164">
      <c r="A164" s="8" t="n">
        <v>2019</v>
      </c>
      <c r="B164" s="6" t="n">
        <v>1393.34</v>
      </c>
    </row>
    <row r="165">
      <c r="A165" s="8" t="n">
        <v>2020</v>
      </c>
      <c r="B165" s="6" t="n">
        <v>1771.54</v>
      </c>
    </row>
    <row r="166">
      <c r="A166" s="8" t="n">
        <v>2021</v>
      </c>
      <c r="B166" s="6" t="n">
        <v>1799.18</v>
      </c>
    </row>
    <row r="167">
      <c r="A167" s="8" t="n">
        <v>2022</v>
      </c>
      <c r="B167" s="6" t="n">
        <v>1801</v>
      </c>
    </row>
    <row r="168">
      <c r="A168" s="8" t="n">
        <v>2023</v>
      </c>
      <c r="B168" s="6" t="n">
        <v>1941.19</v>
      </c>
    </row>
    <row r="169">
      <c r="A169" s="8" t="n">
        <v>2024</v>
      </c>
      <c r="B169" s="6" t="n">
        <v>2408.85</v>
      </c>
    </row>
    <row r="170">
      <c r="A170" s="8" t="n">
        <v>2025</v>
      </c>
      <c r="B170" s="6" t="n">
        <v>3443.85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US small-cap — annual-average level (single source, no splice)</t>
        </is>
      </c>
    </row>
    <row r="2">
      <c r="A2" s="2" t="inlineStr">
        <is>
          <t>Ken French bottom-30%-size value-weighted total-return portfolio (1926+).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1926</v>
      </c>
      <c r="B5" s="6" t="n">
        <v>1.0062</v>
      </c>
    </row>
    <row r="6">
      <c r="A6" s="8" t="n">
        <v>1927</v>
      </c>
      <c r="B6" s="6" t="n">
        <v>1.2029</v>
      </c>
    </row>
    <row r="7">
      <c r="A7" s="8" t="n">
        <v>1928</v>
      </c>
      <c r="B7" s="6" t="n">
        <v>1.7003</v>
      </c>
    </row>
    <row r="8">
      <c r="A8" s="8" t="n">
        <v>1929</v>
      </c>
      <c r="B8" s="6" t="n">
        <v>1.6565</v>
      </c>
    </row>
    <row r="9">
      <c r="A9" s="8" t="n">
        <v>1930</v>
      </c>
      <c r="B9" s="6" t="n">
        <v>1.0065</v>
      </c>
    </row>
    <row r="10">
      <c r="A10" s="8" t="n">
        <v>1931</v>
      </c>
      <c r="B10" s="6" t="n">
        <v>0.5545</v>
      </c>
    </row>
    <row r="11">
      <c r="A11" s="8" t="n">
        <v>1932</v>
      </c>
      <c r="B11" s="6" t="n">
        <v>0.3192</v>
      </c>
    </row>
    <row r="12">
      <c r="A12" s="8" t="n">
        <v>1933</v>
      </c>
      <c r="B12" s="6" t="n">
        <v>0.6483</v>
      </c>
    </row>
    <row r="13">
      <c r="A13" s="8" t="n">
        <v>1934</v>
      </c>
      <c r="B13" s="6" t="n">
        <v>0.9245</v>
      </c>
    </row>
    <row r="14">
      <c r="A14" s="8" t="n">
        <v>1935</v>
      </c>
      <c r="B14" s="6" t="n">
        <v>1.0201</v>
      </c>
    </row>
    <row r="15">
      <c r="A15" s="8" t="n">
        <v>1936</v>
      </c>
      <c r="B15" s="6" t="n">
        <v>1.9855</v>
      </c>
    </row>
    <row r="16">
      <c r="A16" s="8" t="n">
        <v>1937</v>
      </c>
      <c r="B16" s="6" t="n">
        <v>2.1231</v>
      </c>
    </row>
    <row r="17">
      <c r="A17" s="8" t="n">
        <v>1938</v>
      </c>
      <c r="B17" s="6" t="n">
        <v>1.2579</v>
      </c>
    </row>
    <row r="18">
      <c r="A18" s="8" t="n">
        <v>1939</v>
      </c>
      <c r="B18" s="6" t="n">
        <v>1.2765</v>
      </c>
    </row>
    <row r="19">
      <c r="A19" s="8" t="n">
        <v>1940</v>
      </c>
      <c r="B19" s="6" t="n">
        <v>1.2667</v>
      </c>
    </row>
    <row r="20">
      <c r="A20" s="8" t="n">
        <v>1941</v>
      </c>
      <c r="B20" s="6" t="n">
        <v>1.3087</v>
      </c>
    </row>
    <row r="21">
      <c r="A21" s="8" t="n">
        <v>1942</v>
      </c>
      <c r="B21" s="6" t="n">
        <v>1.3341</v>
      </c>
    </row>
    <row r="22">
      <c r="A22" s="8" t="n">
        <v>1943</v>
      </c>
      <c r="B22" s="6" t="n">
        <v>2.7099</v>
      </c>
    </row>
    <row r="23">
      <c r="A23" s="8" t="n">
        <v>1944</v>
      </c>
      <c r="B23" s="6" t="n">
        <v>3.7022</v>
      </c>
    </row>
    <row r="24">
      <c r="A24" s="8" t="n">
        <v>1945</v>
      </c>
      <c r="B24" s="6" t="n">
        <v>5.8631</v>
      </c>
    </row>
    <row r="25">
      <c r="A25" s="8" t="n">
        <v>1946</v>
      </c>
      <c r="B25" s="6" t="n">
        <v>7.9307</v>
      </c>
    </row>
    <row r="26">
      <c r="A26" s="8" t="n">
        <v>1947</v>
      </c>
      <c r="B26" s="6" t="n">
        <v>6.491</v>
      </c>
    </row>
    <row r="27">
      <c r="A27" s="8" t="n">
        <v>1948</v>
      </c>
      <c r="B27" s="6" t="n">
        <v>6.8584</v>
      </c>
    </row>
    <row r="28">
      <c r="A28" s="8" t="n">
        <v>1949</v>
      </c>
      <c r="B28" s="6" t="n">
        <v>6.5209</v>
      </c>
    </row>
    <row r="29">
      <c r="A29" s="8" t="n">
        <v>1950</v>
      </c>
      <c r="B29" s="6" t="n">
        <v>8.8643</v>
      </c>
    </row>
    <row r="30">
      <c r="A30" s="8" t="n">
        <v>1951</v>
      </c>
      <c r="B30" s="6" t="n">
        <v>11.5637</v>
      </c>
    </row>
    <row r="31">
      <c r="A31" s="8" t="n">
        <v>1952</v>
      </c>
      <c r="B31" s="6" t="n">
        <v>12.0402</v>
      </c>
    </row>
    <row r="32">
      <c r="A32" s="8" t="n">
        <v>1953</v>
      </c>
      <c r="B32" s="6" t="n">
        <v>12.6621</v>
      </c>
    </row>
    <row r="33">
      <c r="A33" s="8" t="n">
        <v>1954</v>
      </c>
      <c r="B33" s="6" t="n">
        <v>15.0504</v>
      </c>
    </row>
    <row r="34">
      <c r="A34" s="8" t="n">
        <v>1955</v>
      </c>
      <c r="B34" s="6" t="n">
        <v>21.8131</v>
      </c>
    </row>
    <row r="35">
      <c r="A35" s="8" t="n">
        <v>1956</v>
      </c>
      <c r="B35" s="6" t="n">
        <v>24.6893</v>
      </c>
    </row>
    <row r="36">
      <c r="A36" s="8" t="n">
        <v>1957</v>
      </c>
      <c r="B36" s="6" t="n">
        <v>24.8926</v>
      </c>
    </row>
    <row r="37">
      <c r="A37" s="8" t="n">
        <v>1958</v>
      </c>
      <c r="B37" s="6" t="n">
        <v>28.8345</v>
      </c>
    </row>
    <row r="38">
      <c r="A38" s="8" t="n">
        <v>1959</v>
      </c>
      <c r="B38" s="6" t="n">
        <v>40.9816</v>
      </c>
    </row>
    <row r="39">
      <c r="A39" s="8" t="n">
        <v>1960</v>
      </c>
      <c r="B39" s="6" t="n">
        <v>40.4766</v>
      </c>
    </row>
    <row r="40">
      <c r="A40" s="8" t="n">
        <v>1961</v>
      </c>
      <c r="B40" s="6" t="n">
        <v>51.1433</v>
      </c>
    </row>
    <row r="41">
      <c r="A41" s="8" t="n">
        <v>1962</v>
      </c>
      <c r="B41" s="6" t="n">
        <v>48.4343</v>
      </c>
    </row>
    <row r="42">
      <c r="A42" s="8" t="n">
        <v>1963</v>
      </c>
      <c r="B42" s="6" t="n">
        <v>56.0074</v>
      </c>
    </row>
    <row r="43">
      <c r="A43" s="8" t="n">
        <v>1964</v>
      </c>
      <c r="B43" s="6" t="n">
        <v>64.4092</v>
      </c>
    </row>
    <row r="44">
      <c r="A44" s="8" t="n">
        <v>1965</v>
      </c>
      <c r="B44" s="6" t="n">
        <v>79.298</v>
      </c>
    </row>
    <row r="45">
      <c r="A45" s="8" t="n">
        <v>1966</v>
      </c>
      <c r="B45" s="6" t="n">
        <v>94.56659999999999</v>
      </c>
    </row>
    <row r="46">
      <c r="A46" s="8" t="n">
        <v>1967</v>
      </c>
      <c r="B46" s="6" t="n">
        <v>135.8086</v>
      </c>
    </row>
    <row r="47">
      <c r="A47" s="8" t="n">
        <v>1968</v>
      </c>
      <c r="B47" s="6" t="n">
        <v>205.4509</v>
      </c>
    </row>
    <row r="48">
      <c r="A48" s="8" t="n">
        <v>1969</v>
      </c>
      <c r="B48" s="6" t="n">
        <v>208.4124</v>
      </c>
    </row>
    <row r="49">
      <c r="A49" s="8" t="n">
        <v>1970</v>
      </c>
      <c r="B49" s="6" t="n">
        <v>144.4202</v>
      </c>
    </row>
    <row r="50">
      <c r="A50" s="8" t="n">
        <v>1971</v>
      </c>
      <c r="B50" s="6" t="n">
        <v>176.7781</v>
      </c>
    </row>
    <row r="51">
      <c r="A51" s="8" t="n">
        <v>1972</v>
      </c>
      <c r="B51" s="6" t="n">
        <v>191.6991</v>
      </c>
    </row>
    <row r="52">
      <c r="A52" s="8" t="n">
        <v>1973</v>
      </c>
      <c r="B52" s="6" t="n">
        <v>139.6722</v>
      </c>
    </row>
    <row r="53">
      <c r="A53" s="8" t="n">
        <v>1974</v>
      </c>
      <c r="B53" s="6" t="n">
        <v>105.2544</v>
      </c>
    </row>
    <row r="54">
      <c r="A54" s="8" t="n">
        <v>1975</v>
      </c>
      <c r="B54" s="6" t="n">
        <v>125.4263</v>
      </c>
    </row>
    <row r="55">
      <c r="A55" s="8" t="n">
        <v>1976</v>
      </c>
      <c r="B55" s="6" t="n">
        <v>170.9579</v>
      </c>
    </row>
    <row r="56">
      <c r="A56" s="8" t="n">
        <v>1977</v>
      </c>
      <c r="B56" s="6" t="n">
        <v>213.0799</v>
      </c>
    </row>
    <row r="57">
      <c r="A57" s="8" t="n">
        <v>1978</v>
      </c>
      <c r="B57" s="6" t="n">
        <v>288.8962</v>
      </c>
    </row>
    <row r="58">
      <c r="A58" s="8" t="n">
        <v>1979</v>
      </c>
      <c r="B58" s="6" t="n">
        <v>362.349</v>
      </c>
    </row>
    <row r="59">
      <c r="A59" s="8" t="n">
        <v>1980</v>
      </c>
      <c r="B59" s="6" t="n">
        <v>476.3593</v>
      </c>
    </row>
    <row r="60">
      <c r="A60" s="8" t="n">
        <v>1981</v>
      </c>
      <c r="B60" s="6" t="n">
        <v>591.6699</v>
      </c>
    </row>
    <row r="61">
      <c r="A61" s="8" t="n">
        <v>1982</v>
      </c>
      <c r="B61" s="6" t="n">
        <v>578.5812</v>
      </c>
    </row>
    <row r="62">
      <c r="A62" s="8" t="n">
        <v>1983</v>
      </c>
      <c r="B62" s="6" t="n">
        <v>952.4627</v>
      </c>
    </row>
    <row r="63">
      <c r="A63" s="8" t="n">
        <v>1984</v>
      </c>
      <c r="B63" s="6" t="n">
        <v>896.5531999999999</v>
      </c>
    </row>
    <row r="64">
      <c r="A64" s="8" t="n">
        <v>1985</v>
      </c>
      <c r="B64" s="6" t="n">
        <v>1051.2148</v>
      </c>
    </row>
    <row r="65">
      <c r="A65" s="8" t="n">
        <v>1986</v>
      </c>
      <c r="B65" s="6" t="n">
        <v>1292.6104</v>
      </c>
    </row>
    <row r="66">
      <c r="A66" s="8" t="n">
        <v>1987</v>
      </c>
      <c r="B66" s="6" t="n">
        <v>1364.2833</v>
      </c>
    </row>
    <row r="67">
      <c r="A67" s="8" t="n">
        <v>1988</v>
      </c>
      <c r="B67" s="6" t="n">
        <v>1264.4171</v>
      </c>
    </row>
    <row r="68">
      <c r="A68" s="8" t="n">
        <v>1989</v>
      </c>
      <c r="B68" s="6" t="n">
        <v>1457.7384</v>
      </c>
    </row>
    <row r="69">
      <c r="A69" s="8" t="n">
        <v>1990</v>
      </c>
      <c r="B69" s="6" t="n">
        <v>1295.8148</v>
      </c>
    </row>
    <row r="70">
      <c r="A70" s="8" t="n">
        <v>1991</v>
      </c>
      <c r="B70" s="6" t="n">
        <v>1489.2628</v>
      </c>
    </row>
    <row r="71">
      <c r="A71" s="8" t="n">
        <v>1992</v>
      </c>
      <c r="B71" s="6" t="n">
        <v>1781.1663</v>
      </c>
    </row>
    <row r="72">
      <c r="A72" s="8" t="n">
        <v>1993</v>
      </c>
      <c r="B72" s="6" t="n">
        <v>2161.356</v>
      </c>
    </row>
    <row r="73">
      <c r="A73" s="8" t="n">
        <v>1994</v>
      </c>
      <c r="B73" s="6" t="n">
        <v>2288.2753</v>
      </c>
    </row>
    <row r="74">
      <c r="A74" s="8" t="n">
        <v>1995</v>
      </c>
      <c r="B74" s="6" t="n">
        <v>2678.3105</v>
      </c>
    </row>
    <row r="75">
      <c r="A75" s="8" t="n">
        <v>1996</v>
      </c>
      <c r="B75" s="6" t="n">
        <v>3322.5182</v>
      </c>
    </row>
    <row r="76">
      <c r="A76" s="8" t="n">
        <v>1997</v>
      </c>
      <c r="B76" s="6" t="n">
        <v>3908.7857</v>
      </c>
    </row>
    <row r="77">
      <c r="A77" s="8" t="n">
        <v>1998</v>
      </c>
      <c r="B77" s="6" t="n">
        <v>4175.4843</v>
      </c>
    </row>
    <row r="78">
      <c r="A78" s="8" t="n">
        <v>1999</v>
      </c>
      <c r="B78" s="6" t="n">
        <v>4394.6142</v>
      </c>
    </row>
    <row r="79">
      <c r="A79" s="8" t="n">
        <v>2000</v>
      </c>
      <c r="B79" s="6" t="n">
        <v>5663.3243</v>
      </c>
    </row>
    <row r="80">
      <c r="A80" s="8" t="n">
        <v>2001</v>
      </c>
      <c r="B80" s="6" t="n">
        <v>5768.8389</v>
      </c>
    </row>
    <row r="81">
      <c r="A81" s="8" t="n">
        <v>2002</v>
      </c>
      <c r="B81" s="6" t="n">
        <v>5798.0167</v>
      </c>
    </row>
    <row r="82">
      <c r="A82" s="8" t="n">
        <v>2003</v>
      </c>
      <c r="B82" s="6" t="n">
        <v>6824.7841</v>
      </c>
    </row>
    <row r="83">
      <c r="A83" s="8" t="n">
        <v>2004</v>
      </c>
      <c r="B83" s="6" t="n">
        <v>9195.1018</v>
      </c>
    </row>
    <row r="84">
      <c r="A84" s="8" t="n">
        <v>2005</v>
      </c>
      <c r="B84" s="6" t="n">
        <v>10191.1574</v>
      </c>
    </row>
    <row r="85">
      <c r="A85" s="8" t="n">
        <v>2006</v>
      </c>
      <c r="B85" s="6" t="n">
        <v>12066.0279</v>
      </c>
    </row>
    <row r="86">
      <c r="A86" s="8" t="n">
        <v>2007</v>
      </c>
      <c r="B86" s="6" t="n">
        <v>12958.699</v>
      </c>
    </row>
    <row r="87">
      <c r="A87" s="8" t="n">
        <v>2008</v>
      </c>
      <c r="B87" s="6" t="n">
        <v>10000.1688</v>
      </c>
    </row>
    <row r="88">
      <c r="A88" s="8" t="n">
        <v>2009</v>
      </c>
      <c r="B88" s="6" t="n">
        <v>8224.651900000001</v>
      </c>
    </row>
    <row r="89">
      <c r="A89" s="8" t="n">
        <v>2010</v>
      </c>
      <c r="B89" s="6" t="n">
        <v>11073.7989</v>
      </c>
    </row>
    <row r="90">
      <c r="A90" s="8" t="n">
        <v>2011</v>
      </c>
      <c r="B90" s="6" t="n">
        <v>12765.2347</v>
      </c>
    </row>
    <row r="91">
      <c r="A91" s="8" t="n">
        <v>2012</v>
      </c>
      <c r="B91" s="6" t="n">
        <v>13204.4337</v>
      </c>
    </row>
    <row r="92">
      <c r="A92" s="8" t="n">
        <v>2013</v>
      </c>
      <c r="B92" s="6" t="n">
        <v>17348.9254</v>
      </c>
    </row>
    <row r="93">
      <c r="A93" s="8" t="n">
        <v>2014</v>
      </c>
      <c r="B93" s="6" t="n">
        <v>20383.7004</v>
      </c>
    </row>
    <row r="94">
      <c r="A94" s="8" t="n">
        <v>2015</v>
      </c>
      <c r="B94" s="6" t="n">
        <v>21139.3854</v>
      </c>
    </row>
    <row r="95">
      <c r="A95" s="8" t="n">
        <v>2016</v>
      </c>
      <c r="B95" s="6" t="n">
        <v>20981.1977</v>
      </c>
    </row>
    <row r="96">
      <c r="A96" s="8" t="n">
        <v>2017</v>
      </c>
      <c r="B96" s="6" t="n">
        <v>26375.2833</v>
      </c>
    </row>
    <row r="97">
      <c r="A97" s="8" t="n">
        <v>2018</v>
      </c>
      <c r="B97" s="6" t="n">
        <v>30026.0843</v>
      </c>
    </row>
    <row r="98">
      <c r="A98" s="8" t="n">
        <v>2019</v>
      </c>
      <c r="B98" s="6" t="n">
        <v>28650.6944</v>
      </c>
    </row>
    <row r="99">
      <c r="A99" s="8" t="n">
        <v>2020</v>
      </c>
      <c r="B99" s="6" t="n">
        <v>28126.9668</v>
      </c>
    </row>
    <row r="100">
      <c r="A100" s="8" t="n">
        <v>2021</v>
      </c>
      <c r="B100" s="6" t="n">
        <v>47043.2985</v>
      </c>
    </row>
    <row r="101">
      <c r="A101" s="8" t="n">
        <v>2022</v>
      </c>
      <c r="B101" s="6" t="n">
        <v>39593.9504</v>
      </c>
    </row>
    <row r="102">
      <c r="A102" s="8" t="n">
        <v>2023</v>
      </c>
      <c r="B102" s="6" t="n">
        <v>38504.5556</v>
      </c>
    </row>
    <row r="103">
      <c r="A103" s="8" t="n">
        <v>2024</v>
      </c>
      <c r="B103" s="6" t="n">
        <v>43061.0017</v>
      </c>
    </row>
    <row r="104">
      <c r="A104" s="8" t="n">
        <v>2025</v>
      </c>
      <c r="B104" s="6" t="n">
        <v>45750.06</v>
      </c>
    </row>
    <row r="105">
      <c r="A105" s="8" t="n">
        <v>2026</v>
      </c>
      <c r="B105" s="6" t="n">
        <v>55926.3457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US value — annual-average level (single source, no splice)</t>
        </is>
      </c>
    </row>
    <row r="2">
      <c r="A2" s="2" t="inlineStr">
        <is>
          <t>Ken French top-30%-book/market value-weighted total-return portfolio (1926+).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1926</v>
      </c>
      <c r="B5" s="6" t="n">
        <v>1.0533</v>
      </c>
    </row>
    <row r="6">
      <c r="A6" s="8" t="n">
        <v>1927</v>
      </c>
      <c r="B6" s="6" t="n">
        <v>1.2837</v>
      </c>
    </row>
    <row r="7">
      <c r="A7" s="8" t="n">
        <v>1928</v>
      </c>
      <c r="B7" s="6" t="n">
        <v>1.5979</v>
      </c>
    </row>
    <row r="8">
      <c r="A8" s="8" t="n">
        <v>1929</v>
      </c>
      <c r="B8" s="6" t="n">
        <v>1.9902</v>
      </c>
    </row>
    <row r="9">
      <c r="A9" s="8" t="n">
        <v>1930</v>
      </c>
      <c r="B9" s="6" t="n">
        <v>1.5479</v>
      </c>
    </row>
    <row r="10">
      <c r="A10" s="8" t="n">
        <v>1931</v>
      </c>
      <c r="B10" s="6" t="n">
        <v>0.8683999999999999</v>
      </c>
    </row>
    <row r="11">
      <c r="A11" s="8" t="n">
        <v>1932</v>
      </c>
      <c r="B11" s="6" t="n">
        <v>0.4801</v>
      </c>
    </row>
    <row r="12">
      <c r="A12" s="8" t="n">
        <v>1933</v>
      </c>
      <c r="B12" s="6" t="n">
        <v>0.8843</v>
      </c>
    </row>
    <row r="13">
      <c r="A13" s="8" t="n">
        <v>1934</v>
      </c>
      <c r="B13" s="6" t="n">
        <v>1.0005</v>
      </c>
    </row>
    <row r="14">
      <c r="A14" s="8" t="n">
        <v>1935</v>
      </c>
      <c r="B14" s="6" t="n">
        <v>0.8983</v>
      </c>
    </row>
    <row r="15">
      <c r="A15" s="8" t="n">
        <v>1936</v>
      </c>
      <c r="B15" s="6" t="n">
        <v>1.6534</v>
      </c>
    </row>
    <row r="16">
      <c r="A16" s="8" t="n">
        <v>1937</v>
      </c>
      <c r="B16" s="6" t="n">
        <v>1.8088</v>
      </c>
    </row>
    <row r="17">
      <c r="A17" s="8" t="n">
        <v>1938</v>
      </c>
      <c r="B17" s="6" t="n">
        <v>1.161</v>
      </c>
    </row>
    <row r="18">
      <c r="A18" s="8" t="n">
        <v>1939</v>
      </c>
      <c r="B18" s="6" t="n">
        <v>1.1995</v>
      </c>
    </row>
    <row r="19">
      <c r="A19" s="8" t="n">
        <v>1940</v>
      </c>
      <c r="B19" s="6" t="n">
        <v>1.1443</v>
      </c>
    </row>
    <row r="20">
      <c r="A20" s="8" t="n">
        <v>1941</v>
      </c>
      <c r="B20" s="6" t="n">
        <v>1.2462</v>
      </c>
    </row>
    <row r="21">
      <c r="A21" s="8" t="n">
        <v>1942</v>
      </c>
      <c r="B21" s="6" t="n">
        <v>1.298</v>
      </c>
    </row>
    <row r="22">
      <c r="A22" s="8" t="n">
        <v>1943</v>
      </c>
      <c r="B22" s="6" t="n">
        <v>2.23</v>
      </c>
    </row>
    <row r="23">
      <c r="A23" s="8" t="n">
        <v>1944</v>
      </c>
      <c r="B23" s="6" t="n">
        <v>2.7926</v>
      </c>
    </row>
    <row r="24">
      <c r="A24" s="8" t="n">
        <v>1945</v>
      </c>
      <c r="B24" s="6" t="n">
        <v>4.1554</v>
      </c>
    </row>
    <row r="25">
      <c r="A25" s="8" t="n">
        <v>1946</v>
      </c>
      <c r="B25" s="6" t="n">
        <v>5.0921</v>
      </c>
    </row>
    <row r="26">
      <c r="A26" s="8" t="n">
        <v>1947</v>
      </c>
      <c r="B26" s="6" t="n">
        <v>4.65</v>
      </c>
    </row>
    <row r="27">
      <c r="A27" s="8" t="n">
        <v>1948</v>
      </c>
      <c r="B27" s="6" t="n">
        <v>5.4583</v>
      </c>
    </row>
    <row r="28">
      <c r="A28" s="8" t="n">
        <v>1949</v>
      </c>
      <c r="B28" s="6" t="n">
        <v>5.3418</v>
      </c>
    </row>
    <row r="29">
      <c r="A29" s="8" t="n">
        <v>1950</v>
      </c>
      <c r="B29" s="6" t="n">
        <v>7.5116</v>
      </c>
    </row>
    <row r="30">
      <c r="A30" s="8" t="n">
        <v>1951</v>
      </c>
      <c r="B30" s="6" t="n">
        <v>10.4032</v>
      </c>
    </row>
    <row r="31">
      <c r="A31" s="8" t="n">
        <v>1952</v>
      </c>
      <c r="B31" s="6" t="n">
        <v>11.6704</v>
      </c>
    </row>
    <row r="32">
      <c r="A32" s="8" t="n">
        <v>1953</v>
      </c>
      <c r="B32" s="6" t="n">
        <v>12.3119</v>
      </c>
    </row>
    <row r="33">
      <c r="A33" s="8" t="n">
        <v>1954</v>
      </c>
      <c r="B33" s="6" t="n">
        <v>15.4906</v>
      </c>
    </row>
    <row r="34">
      <c r="A34" s="8" t="n">
        <v>1955</v>
      </c>
      <c r="B34" s="6" t="n">
        <v>24.6835</v>
      </c>
    </row>
    <row r="35">
      <c r="A35" s="8" t="n">
        <v>1956</v>
      </c>
      <c r="B35" s="6" t="n">
        <v>27.5584</v>
      </c>
    </row>
    <row r="36">
      <c r="A36" s="8" t="n">
        <v>1957</v>
      </c>
      <c r="B36" s="6" t="n">
        <v>26.4491</v>
      </c>
    </row>
    <row r="37">
      <c r="A37" s="8" t="n">
        <v>1958</v>
      </c>
      <c r="B37" s="6" t="n">
        <v>30.1254</v>
      </c>
    </row>
    <row r="38">
      <c r="A38" s="8" t="n">
        <v>1959</v>
      </c>
      <c r="B38" s="6" t="n">
        <v>43.3215</v>
      </c>
    </row>
    <row r="39">
      <c r="A39" s="8" t="n">
        <v>1960</v>
      </c>
      <c r="B39" s="6" t="n">
        <v>40.5384</v>
      </c>
    </row>
    <row r="40">
      <c r="A40" s="8" t="n">
        <v>1961</v>
      </c>
      <c r="B40" s="6" t="n">
        <v>50.6224</v>
      </c>
    </row>
    <row r="41">
      <c r="A41" s="8" t="n">
        <v>1962</v>
      </c>
      <c r="B41" s="6" t="n">
        <v>49.8333</v>
      </c>
    </row>
    <row r="42">
      <c r="A42" s="8" t="n">
        <v>1963</v>
      </c>
      <c r="B42" s="6" t="n">
        <v>62.7941</v>
      </c>
    </row>
    <row r="43">
      <c r="A43" s="8" t="n">
        <v>1964</v>
      </c>
      <c r="B43" s="6" t="n">
        <v>78.9602</v>
      </c>
    </row>
    <row r="44">
      <c r="A44" s="8" t="n">
        <v>1965</v>
      </c>
      <c r="B44" s="6" t="n">
        <v>90.80110000000001</v>
      </c>
    </row>
    <row r="45">
      <c r="A45" s="8" t="n">
        <v>1966</v>
      </c>
      <c r="B45" s="6" t="n">
        <v>98.712</v>
      </c>
    </row>
    <row r="46">
      <c r="A46" s="8" t="n">
        <v>1967</v>
      </c>
      <c r="B46" s="6" t="n">
        <v>119.9648</v>
      </c>
    </row>
    <row r="47">
      <c r="A47" s="8" t="n">
        <v>1968</v>
      </c>
      <c r="B47" s="6" t="n">
        <v>151.7038</v>
      </c>
    </row>
    <row r="48">
      <c r="A48" s="8" t="n">
        <v>1969</v>
      </c>
      <c r="B48" s="6" t="n">
        <v>159.4054</v>
      </c>
    </row>
    <row r="49">
      <c r="A49" s="8" t="n">
        <v>1970</v>
      </c>
      <c r="B49" s="6" t="n">
        <v>138.2143</v>
      </c>
    </row>
    <row r="50">
      <c r="A50" s="8" t="n">
        <v>1971</v>
      </c>
      <c r="B50" s="6" t="n">
        <v>171.5151</v>
      </c>
    </row>
    <row r="51">
      <c r="A51" s="8" t="n">
        <v>1972</v>
      </c>
      <c r="B51" s="6" t="n">
        <v>192.3356</v>
      </c>
    </row>
    <row r="52">
      <c r="A52" s="8" t="n">
        <v>1973</v>
      </c>
      <c r="B52" s="6" t="n">
        <v>193.8347</v>
      </c>
    </row>
    <row r="53">
      <c r="A53" s="8" t="n">
        <v>1974</v>
      </c>
      <c r="B53" s="6" t="n">
        <v>175.6531</v>
      </c>
    </row>
    <row r="54">
      <c r="A54" s="8" t="n">
        <v>1975</v>
      </c>
      <c r="B54" s="6" t="n">
        <v>213.0887</v>
      </c>
    </row>
    <row r="55">
      <c r="A55" s="8" t="n">
        <v>1976</v>
      </c>
      <c r="B55" s="6" t="n">
        <v>305.1127</v>
      </c>
    </row>
    <row r="56">
      <c r="A56" s="8" t="n">
        <v>1977</v>
      </c>
      <c r="B56" s="6" t="n">
        <v>355.5737</v>
      </c>
    </row>
    <row r="57">
      <c r="A57" s="8" t="n">
        <v>1978</v>
      </c>
      <c r="B57" s="6" t="n">
        <v>407.5398</v>
      </c>
    </row>
    <row r="58">
      <c r="A58" s="8" t="n">
        <v>1979</v>
      </c>
      <c r="B58" s="6" t="n">
        <v>481.6014</v>
      </c>
    </row>
    <row r="59">
      <c r="A59" s="8" t="n">
        <v>1980</v>
      </c>
      <c r="B59" s="6" t="n">
        <v>559.6275000000001</v>
      </c>
    </row>
    <row r="60">
      <c r="A60" s="8" t="n">
        <v>1981</v>
      </c>
      <c r="B60" s="6" t="n">
        <v>667.2816</v>
      </c>
    </row>
    <row r="61">
      <c r="A61" s="8" t="n">
        <v>1982</v>
      </c>
      <c r="B61" s="6" t="n">
        <v>747.4144</v>
      </c>
    </row>
    <row r="62">
      <c r="A62" s="8" t="n">
        <v>1983</v>
      </c>
      <c r="B62" s="6" t="n">
        <v>1084.6827</v>
      </c>
    </row>
    <row r="63">
      <c r="A63" s="8" t="n">
        <v>1984</v>
      </c>
      <c r="B63" s="6" t="n">
        <v>1224.3239</v>
      </c>
    </row>
    <row r="64">
      <c r="A64" s="8" t="n">
        <v>1985</v>
      </c>
      <c r="B64" s="6" t="n">
        <v>1562.5378</v>
      </c>
    </row>
    <row r="65">
      <c r="A65" s="8" t="n">
        <v>1986</v>
      </c>
      <c r="B65" s="6" t="n">
        <v>2037.9044</v>
      </c>
    </row>
    <row r="66">
      <c r="A66" s="8" t="n">
        <v>1987</v>
      </c>
      <c r="B66" s="6" t="n">
        <v>2373.5041</v>
      </c>
    </row>
    <row r="67">
      <c r="A67" s="8" t="n">
        <v>1988</v>
      </c>
      <c r="B67" s="6" t="n">
        <v>2442.4599</v>
      </c>
    </row>
    <row r="68">
      <c r="A68" s="8" t="n">
        <v>1989</v>
      </c>
      <c r="B68" s="6" t="n">
        <v>3105.2254</v>
      </c>
    </row>
    <row r="69">
      <c r="A69" s="8" t="n">
        <v>1990</v>
      </c>
      <c r="B69" s="6" t="n">
        <v>2991.4555</v>
      </c>
    </row>
    <row r="70">
      <c r="A70" s="8" t="n">
        <v>1991</v>
      </c>
      <c r="B70" s="6" t="n">
        <v>3397.5261</v>
      </c>
    </row>
    <row r="71">
      <c r="A71" s="8" t="n">
        <v>1992</v>
      </c>
      <c r="B71" s="6" t="n">
        <v>4217.6361</v>
      </c>
    </row>
    <row r="72">
      <c r="A72" s="8" t="n">
        <v>1993</v>
      </c>
      <c r="B72" s="6" t="n">
        <v>5300.067</v>
      </c>
    </row>
    <row r="73">
      <c r="A73" s="8" t="n">
        <v>1994</v>
      </c>
      <c r="B73" s="6" t="n">
        <v>5375.512</v>
      </c>
    </row>
    <row r="74">
      <c r="A74" s="8" t="n">
        <v>1995</v>
      </c>
      <c r="B74" s="6" t="n">
        <v>6474.8413</v>
      </c>
    </row>
    <row r="75">
      <c r="A75" s="8" t="n">
        <v>1996</v>
      </c>
      <c r="B75" s="6" t="n">
        <v>8194.1757</v>
      </c>
    </row>
    <row r="76">
      <c r="A76" s="8" t="n">
        <v>1997</v>
      </c>
      <c r="B76" s="6" t="n">
        <v>10953.0429</v>
      </c>
    </row>
    <row r="77">
      <c r="A77" s="8" t="n">
        <v>1998</v>
      </c>
      <c r="B77" s="6" t="n">
        <v>13621.119</v>
      </c>
    </row>
    <row r="78">
      <c r="A78" s="8" t="n">
        <v>1999</v>
      </c>
      <c r="B78" s="6" t="n">
        <v>14466.2613</v>
      </c>
    </row>
    <row r="79">
      <c r="A79" s="8" t="n">
        <v>2000</v>
      </c>
      <c r="B79" s="6" t="n">
        <v>16859.4735</v>
      </c>
    </row>
    <row r="80">
      <c r="A80" s="8" t="n">
        <v>2001</v>
      </c>
      <c r="B80" s="6" t="n">
        <v>20406.7027</v>
      </c>
    </row>
    <row r="81">
      <c r="A81" s="8" t="n">
        <v>2002</v>
      </c>
      <c r="B81" s="6" t="n">
        <v>18326.2514</v>
      </c>
    </row>
    <row r="82">
      <c r="A82" s="8" t="n">
        <v>2003</v>
      </c>
      <c r="B82" s="6" t="n">
        <v>18370.638</v>
      </c>
    </row>
    <row r="83">
      <c r="A83" s="8" t="n">
        <v>2004</v>
      </c>
      <c r="B83" s="6" t="n">
        <v>23902.937</v>
      </c>
    </row>
    <row r="84">
      <c r="A84" s="8" t="n">
        <v>2005</v>
      </c>
      <c r="B84" s="6" t="n">
        <v>28552.5165</v>
      </c>
    </row>
    <row r="85">
      <c r="A85" s="8" t="n">
        <v>2006</v>
      </c>
      <c r="B85" s="6" t="n">
        <v>33539.1844</v>
      </c>
    </row>
    <row r="86">
      <c r="A86" s="8" t="n">
        <v>2007</v>
      </c>
      <c r="B86" s="6" t="n">
        <v>37437.5496</v>
      </c>
    </row>
    <row r="87">
      <c r="A87" s="8" t="n">
        <v>2008</v>
      </c>
      <c r="B87" s="6" t="n">
        <v>30944.034</v>
      </c>
    </row>
    <row r="88">
      <c r="A88" s="8" t="n">
        <v>2009</v>
      </c>
      <c r="B88" s="6" t="n">
        <v>22553.9097</v>
      </c>
    </row>
    <row r="89">
      <c r="A89" s="8" t="n">
        <v>2010</v>
      </c>
      <c r="B89" s="6" t="n">
        <v>27701.0769</v>
      </c>
    </row>
    <row r="90">
      <c r="A90" s="8" t="n">
        <v>2011</v>
      </c>
      <c r="B90" s="6" t="n">
        <v>29250.5131</v>
      </c>
    </row>
    <row r="91">
      <c r="A91" s="8" t="n">
        <v>2012</v>
      </c>
      <c r="B91" s="6" t="n">
        <v>31213.2152</v>
      </c>
    </row>
    <row r="92">
      <c r="A92" s="8" t="n">
        <v>2013</v>
      </c>
      <c r="B92" s="6" t="n">
        <v>42438.2893</v>
      </c>
    </row>
    <row r="93">
      <c r="A93" s="8" t="n">
        <v>2014</v>
      </c>
      <c r="B93" s="6" t="n">
        <v>50658.2008</v>
      </c>
    </row>
    <row r="94">
      <c r="A94" s="8" t="n">
        <v>2015</v>
      </c>
      <c r="B94" s="6" t="n">
        <v>50963.5658</v>
      </c>
    </row>
    <row r="95">
      <c r="A95" s="8" t="n">
        <v>2016</v>
      </c>
      <c r="B95" s="6" t="n">
        <v>51562.3396</v>
      </c>
    </row>
    <row r="96">
      <c r="A96" s="8" t="n">
        <v>2017</v>
      </c>
      <c r="B96" s="6" t="n">
        <v>65755.6841</v>
      </c>
    </row>
    <row r="97">
      <c r="A97" s="8" t="n">
        <v>2018</v>
      </c>
      <c r="B97" s="6" t="n">
        <v>71694.05590000001</v>
      </c>
    </row>
    <row r="98">
      <c r="A98" s="8" t="n">
        <v>2019</v>
      </c>
      <c r="B98" s="6" t="n">
        <v>71018.8392</v>
      </c>
    </row>
    <row r="99">
      <c r="A99" s="8" t="n">
        <v>2020</v>
      </c>
      <c r="B99" s="6" t="n">
        <v>62637.2997</v>
      </c>
    </row>
    <row r="100">
      <c r="A100" s="8" t="n">
        <v>2021</v>
      </c>
      <c r="B100" s="6" t="n">
        <v>96896.3094</v>
      </c>
    </row>
    <row r="101">
      <c r="A101" s="8" t="n">
        <v>2022</v>
      </c>
      <c r="B101" s="6" t="n">
        <v>107450.2797</v>
      </c>
    </row>
    <row r="102">
      <c r="A102" s="8" t="n">
        <v>2023</v>
      </c>
      <c r="B102" s="6" t="n">
        <v>108011.1507</v>
      </c>
    </row>
    <row r="103">
      <c r="A103" s="8" t="n">
        <v>2024</v>
      </c>
      <c r="B103" s="6" t="n">
        <v>134975.2112</v>
      </c>
    </row>
    <row r="104">
      <c r="A104" s="8" t="n">
        <v>2025</v>
      </c>
      <c r="B104" s="6" t="n">
        <v>163572.0127</v>
      </c>
    </row>
    <row r="105">
      <c r="A105" s="8" t="n">
        <v>2026</v>
      </c>
      <c r="B105" s="6" t="n">
        <v>196237.3269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Commodities (spot) — annual-average level (single source, no splice)</t>
        </is>
      </c>
    </row>
    <row r="2">
      <c r="A2" s="2" t="inlineStr">
        <is>
          <t>FRED PPIACO (PPI All Commodities), 1913+ — spot price only. Warren-Pearson WPI pre-1913 is NOT merged (per request); the WP data remains in the repo as reference.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1913</v>
      </c>
      <c r="B5" s="6" t="n">
        <v>12.025</v>
      </c>
    </row>
    <row r="6">
      <c r="A6" s="8" t="n">
        <v>1914</v>
      </c>
      <c r="B6" s="6" t="n">
        <v>11.7417</v>
      </c>
    </row>
    <row r="7">
      <c r="A7" s="8" t="n">
        <v>1915</v>
      </c>
      <c r="B7" s="6" t="n">
        <v>11.9667</v>
      </c>
    </row>
    <row r="8">
      <c r="A8" s="8" t="n">
        <v>1916</v>
      </c>
      <c r="B8" s="6" t="n">
        <v>14.75</v>
      </c>
    </row>
    <row r="9">
      <c r="A9" s="8" t="n">
        <v>1917</v>
      </c>
      <c r="B9" s="6" t="n">
        <v>20.2583</v>
      </c>
    </row>
    <row r="10">
      <c r="A10" s="8" t="n">
        <v>1918</v>
      </c>
      <c r="B10" s="6" t="n">
        <v>22.5833</v>
      </c>
    </row>
    <row r="11">
      <c r="A11" s="8" t="n">
        <v>1919</v>
      </c>
      <c r="B11" s="6" t="n">
        <v>23.8833</v>
      </c>
    </row>
    <row r="12">
      <c r="A12" s="8" t="n">
        <v>1920</v>
      </c>
      <c r="B12" s="6" t="n">
        <v>26.625</v>
      </c>
    </row>
    <row r="13">
      <c r="A13" s="8" t="n">
        <v>1921</v>
      </c>
      <c r="B13" s="6" t="n">
        <v>16.8167</v>
      </c>
    </row>
    <row r="14">
      <c r="A14" s="8" t="n">
        <v>1922</v>
      </c>
      <c r="B14" s="6" t="n">
        <v>16.6667</v>
      </c>
    </row>
    <row r="15">
      <c r="A15" s="8" t="n">
        <v>1923</v>
      </c>
      <c r="B15" s="6" t="n">
        <v>17.35</v>
      </c>
    </row>
    <row r="16">
      <c r="A16" s="8" t="n">
        <v>1924</v>
      </c>
      <c r="B16" s="6" t="n">
        <v>16.8667</v>
      </c>
    </row>
    <row r="17">
      <c r="A17" s="8" t="n">
        <v>1925</v>
      </c>
      <c r="B17" s="6" t="n">
        <v>17.7917</v>
      </c>
    </row>
    <row r="18">
      <c r="A18" s="8" t="n">
        <v>1926</v>
      </c>
      <c r="B18" s="6" t="n">
        <v>17.25</v>
      </c>
    </row>
    <row r="19">
      <c r="A19" s="8" t="n">
        <v>1927</v>
      </c>
      <c r="B19" s="6" t="n">
        <v>16.4417</v>
      </c>
    </row>
    <row r="20">
      <c r="A20" s="8" t="n">
        <v>1928</v>
      </c>
      <c r="B20" s="6" t="n">
        <v>16.675</v>
      </c>
    </row>
    <row r="21">
      <c r="A21" s="8" t="n">
        <v>1929</v>
      </c>
      <c r="B21" s="6" t="n">
        <v>16.425</v>
      </c>
    </row>
    <row r="22">
      <c r="A22" s="8" t="n">
        <v>1930</v>
      </c>
      <c r="B22" s="6" t="n">
        <v>14.8667</v>
      </c>
    </row>
    <row r="23">
      <c r="A23" s="8" t="n">
        <v>1931</v>
      </c>
      <c r="B23" s="6" t="n">
        <v>12.5667</v>
      </c>
    </row>
    <row r="24">
      <c r="A24" s="8" t="n">
        <v>1932</v>
      </c>
      <c r="B24" s="6" t="n">
        <v>11.1917</v>
      </c>
    </row>
    <row r="25">
      <c r="A25" s="8" t="n">
        <v>1933</v>
      </c>
      <c r="B25" s="6" t="n">
        <v>11.375</v>
      </c>
    </row>
    <row r="26">
      <c r="A26" s="8" t="n">
        <v>1934</v>
      </c>
      <c r="B26" s="6" t="n">
        <v>12.9417</v>
      </c>
    </row>
    <row r="27">
      <c r="A27" s="8" t="n">
        <v>1935</v>
      </c>
      <c r="B27" s="6" t="n">
        <v>13.8083</v>
      </c>
    </row>
    <row r="28">
      <c r="A28" s="8" t="n">
        <v>1936</v>
      </c>
      <c r="B28" s="6" t="n">
        <v>13.9167</v>
      </c>
    </row>
    <row r="29">
      <c r="A29" s="8" t="n">
        <v>1937</v>
      </c>
      <c r="B29" s="6" t="n">
        <v>14.8917</v>
      </c>
    </row>
    <row r="30">
      <c r="A30" s="8" t="n">
        <v>1938</v>
      </c>
      <c r="B30" s="6" t="n">
        <v>13.55</v>
      </c>
    </row>
    <row r="31">
      <c r="A31" s="8" t="n">
        <v>1939</v>
      </c>
      <c r="B31" s="6" t="n">
        <v>13.2917</v>
      </c>
    </row>
    <row r="32">
      <c r="A32" s="8" t="n">
        <v>1940</v>
      </c>
      <c r="B32" s="6" t="n">
        <v>13.5417</v>
      </c>
    </row>
    <row r="33">
      <c r="A33" s="8" t="n">
        <v>1941</v>
      </c>
      <c r="B33" s="6" t="n">
        <v>15.0417</v>
      </c>
    </row>
    <row r="34">
      <c r="A34" s="8" t="n">
        <v>1942</v>
      </c>
      <c r="B34" s="6" t="n">
        <v>17.0167</v>
      </c>
    </row>
    <row r="35">
      <c r="A35" s="8" t="n">
        <v>1943</v>
      </c>
      <c r="B35" s="6" t="n">
        <v>17.7833</v>
      </c>
    </row>
    <row r="36">
      <c r="A36" s="8" t="n">
        <v>1944</v>
      </c>
      <c r="B36" s="6" t="n">
        <v>17.9083</v>
      </c>
    </row>
    <row r="37">
      <c r="A37" s="8" t="n">
        <v>1945</v>
      </c>
      <c r="B37" s="6" t="n">
        <v>18.225</v>
      </c>
    </row>
    <row r="38">
      <c r="A38" s="8" t="n">
        <v>1946</v>
      </c>
      <c r="B38" s="6" t="n">
        <v>20.8167</v>
      </c>
    </row>
    <row r="39">
      <c r="A39" s="8" t="n">
        <v>1947</v>
      </c>
      <c r="B39" s="6" t="n">
        <v>25.575</v>
      </c>
    </row>
    <row r="40">
      <c r="A40" s="8" t="n">
        <v>1948</v>
      </c>
      <c r="B40" s="6" t="n">
        <v>27.6833</v>
      </c>
    </row>
    <row r="41">
      <c r="A41" s="8" t="n">
        <v>1949</v>
      </c>
      <c r="B41" s="6" t="n">
        <v>26.3083</v>
      </c>
    </row>
    <row r="42">
      <c r="A42" s="8" t="n">
        <v>1950</v>
      </c>
      <c r="B42" s="6" t="n">
        <v>27.3417</v>
      </c>
    </row>
    <row r="43">
      <c r="A43" s="8" t="n">
        <v>1951</v>
      </c>
      <c r="B43" s="6" t="n">
        <v>30.425</v>
      </c>
    </row>
    <row r="44">
      <c r="A44" s="8" t="n">
        <v>1952</v>
      </c>
      <c r="B44" s="6" t="n">
        <v>29.6</v>
      </c>
    </row>
    <row r="45">
      <c r="A45" s="8" t="n">
        <v>1953</v>
      </c>
      <c r="B45" s="6" t="n">
        <v>29.175</v>
      </c>
    </row>
    <row r="46">
      <c r="A46" s="8" t="n">
        <v>1954</v>
      </c>
      <c r="B46" s="6" t="n">
        <v>29.2583</v>
      </c>
    </row>
    <row r="47">
      <c r="A47" s="8" t="n">
        <v>1955</v>
      </c>
      <c r="B47" s="6" t="n">
        <v>29.3583</v>
      </c>
    </row>
    <row r="48">
      <c r="A48" s="8" t="n">
        <v>1956</v>
      </c>
      <c r="B48" s="6" t="n">
        <v>30.2833</v>
      </c>
    </row>
    <row r="49">
      <c r="A49" s="8" t="n">
        <v>1957</v>
      </c>
      <c r="B49" s="6" t="n">
        <v>31.175</v>
      </c>
    </row>
    <row r="50">
      <c r="A50" s="8" t="n">
        <v>1958</v>
      </c>
      <c r="B50" s="6" t="n">
        <v>31.5917</v>
      </c>
    </row>
    <row r="51">
      <c r="A51" s="8" t="n">
        <v>1959</v>
      </c>
      <c r="B51" s="6" t="n">
        <v>31.6667</v>
      </c>
    </row>
    <row r="52">
      <c r="A52" s="8" t="n">
        <v>1960</v>
      </c>
      <c r="B52" s="6" t="n">
        <v>31.6833</v>
      </c>
    </row>
    <row r="53">
      <c r="A53" s="8" t="n">
        <v>1961</v>
      </c>
      <c r="B53" s="6" t="n">
        <v>31.575</v>
      </c>
    </row>
    <row r="54">
      <c r="A54" s="8" t="n">
        <v>1962</v>
      </c>
      <c r="B54" s="6" t="n">
        <v>31.65</v>
      </c>
    </row>
    <row r="55">
      <c r="A55" s="8" t="n">
        <v>1963</v>
      </c>
      <c r="B55" s="6" t="n">
        <v>31.575</v>
      </c>
    </row>
    <row r="56">
      <c r="A56" s="8" t="n">
        <v>1964</v>
      </c>
      <c r="B56" s="6" t="n">
        <v>31.6333</v>
      </c>
    </row>
    <row r="57">
      <c r="A57" s="8" t="n">
        <v>1965</v>
      </c>
      <c r="B57" s="6" t="n">
        <v>32.2667</v>
      </c>
    </row>
    <row r="58">
      <c r="A58" s="8" t="n">
        <v>1966</v>
      </c>
      <c r="B58" s="6" t="n">
        <v>33.3083</v>
      </c>
    </row>
    <row r="59">
      <c r="A59" s="8" t="n">
        <v>1967</v>
      </c>
      <c r="B59" s="6" t="n">
        <v>33.4</v>
      </c>
    </row>
    <row r="60">
      <c r="A60" s="8" t="n">
        <v>1968</v>
      </c>
      <c r="B60" s="6" t="n">
        <v>34.2333</v>
      </c>
    </row>
    <row r="61">
      <c r="A61" s="8" t="n">
        <v>1969</v>
      </c>
      <c r="B61" s="6" t="n">
        <v>35.5917</v>
      </c>
    </row>
    <row r="62">
      <c r="A62" s="8" t="n">
        <v>1970</v>
      </c>
      <c r="B62" s="6" t="n">
        <v>36.9</v>
      </c>
    </row>
    <row r="63">
      <c r="A63" s="8" t="n">
        <v>1971</v>
      </c>
      <c r="B63" s="6" t="n">
        <v>38.1083</v>
      </c>
    </row>
    <row r="64">
      <c r="A64" s="8" t="n">
        <v>1972</v>
      </c>
      <c r="B64" s="6" t="n">
        <v>39.7917</v>
      </c>
    </row>
    <row r="65">
      <c r="A65" s="8" t="n">
        <v>1973</v>
      </c>
      <c r="B65" s="6" t="n">
        <v>45.025</v>
      </c>
    </row>
    <row r="66">
      <c r="A66" s="8" t="n">
        <v>1974</v>
      </c>
      <c r="B66" s="6" t="n">
        <v>53.4833</v>
      </c>
    </row>
    <row r="67">
      <c r="A67" s="8" t="n">
        <v>1975</v>
      </c>
      <c r="B67" s="6" t="n">
        <v>58.4167</v>
      </c>
    </row>
    <row r="68">
      <c r="A68" s="8" t="n">
        <v>1976</v>
      </c>
      <c r="B68" s="6" t="n">
        <v>61.1333</v>
      </c>
    </row>
    <row r="69">
      <c r="A69" s="8" t="n">
        <v>1977</v>
      </c>
      <c r="B69" s="6" t="n">
        <v>64.875</v>
      </c>
    </row>
    <row r="70">
      <c r="A70" s="8" t="n">
        <v>1978</v>
      </c>
      <c r="B70" s="6" t="n">
        <v>69.9417</v>
      </c>
    </row>
    <row r="71">
      <c r="A71" s="8" t="n">
        <v>1979</v>
      </c>
      <c r="B71" s="6" t="n">
        <v>78.72499999999999</v>
      </c>
    </row>
    <row r="72">
      <c r="A72" s="8" t="n">
        <v>1980</v>
      </c>
      <c r="B72" s="6" t="n">
        <v>89.8083</v>
      </c>
    </row>
    <row r="73">
      <c r="A73" s="8" t="n">
        <v>1981</v>
      </c>
      <c r="B73" s="6" t="n">
        <v>98.0333</v>
      </c>
    </row>
    <row r="74">
      <c r="A74" s="8" t="n">
        <v>1982</v>
      </c>
      <c r="B74" s="6" t="n">
        <v>100.0167</v>
      </c>
    </row>
    <row r="75">
      <c r="A75" s="8" t="n">
        <v>1983</v>
      </c>
      <c r="B75" s="6" t="n">
        <v>101.25</v>
      </c>
    </row>
    <row r="76">
      <c r="A76" s="8" t="n">
        <v>1984</v>
      </c>
      <c r="B76" s="6" t="n">
        <v>103.675</v>
      </c>
    </row>
    <row r="77">
      <c r="A77" s="8" t="n">
        <v>1985</v>
      </c>
      <c r="B77" s="6" t="n">
        <v>103.15</v>
      </c>
    </row>
    <row r="78">
      <c r="A78" s="8" t="n">
        <v>1986</v>
      </c>
      <c r="B78" s="6" t="n">
        <v>100.1667</v>
      </c>
    </row>
    <row r="79">
      <c r="A79" s="8" t="n">
        <v>1987</v>
      </c>
      <c r="B79" s="6" t="n">
        <v>102.8083</v>
      </c>
    </row>
    <row r="80">
      <c r="A80" s="8" t="n">
        <v>1988</v>
      </c>
      <c r="B80" s="6" t="n">
        <v>106.9417</v>
      </c>
    </row>
    <row r="81">
      <c r="A81" s="8" t="n">
        <v>1989</v>
      </c>
      <c r="B81" s="6" t="n">
        <v>112.2417</v>
      </c>
    </row>
    <row r="82">
      <c r="A82" s="8" t="n">
        <v>1990</v>
      </c>
      <c r="B82" s="6" t="n">
        <v>116.2917</v>
      </c>
    </row>
    <row r="83">
      <c r="A83" s="8" t="n">
        <v>1991</v>
      </c>
      <c r="B83" s="6" t="n">
        <v>116.5333</v>
      </c>
    </row>
    <row r="84">
      <c r="A84" s="8" t="n">
        <v>1992</v>
      </c>
      <c r="B84" s="6" t="n">
        <v>117.1917</v>
      </c>
    </row>
    <row r="85">
      <c r="A85" s="8" t="n">
        <v>1993</v>
      </c>
      <c r="B85" s="6" t="n">
        <v>118.9083</v>
      </c>
    </row>
    <row r="86">
      <c r="A86" s="8" t="n">
        <v>1994</v>
      </c>
      <c r="B86" s="6" t="n">
        <v>120.45</v>
      </c>
    </row>
    <row r="87">
      <c r="A87" s="8" t="n">
        <v>1995</v>
      </c>
      <c r="B87" s="6" t="n">
        <v>124.7583</v>
      </c>
    </row>
    <row r="88">
      <c r="A88" s="8" t="n">
        <v>1996</v>
      </c>
      <c r="B88" s="6" t="n">
        <v>127.6833</v>
      </c>
    </row>
    <row r="89">
      <c r="A89" s="8" t="n">
        <v>1997</v>
      </c>
      <c r="B89" s="6" t="n">
        <v>127.6</v>
      </c>
    </row>
    <row r="90">
      <c r="A90" s="8" t="n">
        <v>1998</v>
      </c>
      <c r="B90" s="6" t="n">
        <v>124.4333</v>
      </c>
    </row>
    <row r="91">
      <c r="A91" s="8" t="n">
        <v>1999</v>
      </c>
      <c r="B91" s="6" t="n">
        <v>125.475</v>
      </c>
    </row>
    <row r="92">
      <c r="A92" s="8" t="n">
        <v>2000</v>
      </c>
      <c r="B92" s="6" t="n">
        <v>132.7417</v>
      </c>
    </row>
    <row r="93">
      <c r="A93" s="8" t="n">
        <v>2001</v>
      </c>
      <c r="B93" s="6" t="n">
        <v>134.1917</v>
      </c>
    </row>
    <row r="94">
      <c r="A94" s="8" t="n">
        <v>2002</v>
      </c>
      <c r="B94" s="6" t="n">
        <v>131.1167</v>
      </c>
    </row>
    <row r="95">
      <c r="A95" s="8" t="n">
        <v>2003</v>
      </c>
      <c r="B95" s="6" t="n">
        <v>138.125</v>
      </c>
    </row>
    <row r="96">
      <c r="A96" s="8" t="n">
        <v>2004</v>
      </c>
      <c r="B96" s="6" t="n">
        <v>146.675</v>
      </c>
    </row>
    <row r="97">
      <c r="A97" s="8" t="n">
        <v>2005</v>
      </c>
      <c r="B97" s="6" t="n">
        <v>157.4</v>
      </c>
    </row>
    <row r="98">
      <c r="A98" s="8" t="n">
        <v>2006</v>
      </c>
      <c r="B98" s="6" t="n">
        <v>164.75</v>
      </c>
    </row>
    <row r="99">
      <c r="A99" s="8" t="n">
        <v>2007</v>
      </c>
      <c r="B99" s="6" t="n">
        <v>172.6583</v>
      </c>
    </row>
    <row r="100">
      <c r="A100" s="8" t="n">
        <v>2008</v>
      </c>
      <c r="B100" s="6" t="n">
        <v>189.5917</v>
      </c>
    </row>
    <row r="101">
      <c r="A101" s="8" t="n">
        <v>2009</v>
      </c>
      <c r="B101" s="6" t="n">
        <v>172.9083</v>
      </c>
    </row>
    <row r="102">
      <c r="A102" s="8" t="n">
        <v>2010</v>
      </c>
      <c r="B102" s="6" t="n">
        <v>184.7333</v>
      </c>
    </row>
    <row r="103">
      <c r="A103" s="8" t="n">
        <v>2011</v>
      </c>
      <c r="B103" s="6" t="n">
        <v>201.05</v>
      </c>
    </row>
    <row r="104">
      <c r="A104" s="8" t="n">
        <v>2012</v>
      </c>
      <c r="B104" s="6" t="n">
        <v>202.1583</v>
      </c>
    </row>
    <row r="105">
      <c r="A105" s="8" t="n">
        <v>2013</v>
      </c>
      <c r="B105" s="6" t="n">
        <v>203.4083</v>
      </c>
    </row>
    <row r="106">
      <c r="A106" s="8" t="n">
        <v>2014</v>
      </c>
      <c r="B106" s="6" t="n">
        <v>205.3167</v>
      </c>
    </row>
    <row r="107">
      <c r="A107" s="8" t="n">
        <v>2015</v>
      </c>
      <c r="B107" s="6" t="n">
        <v>190.4417</v>
      </c>
    </row>
    <row r="108">
      <c r="A108" s="8" t="n">
        <v>2016</v>
      </c>
      <c r="B108" s="6" t="n">
        <v>185.375</v>
      </c>
    </row>
    <row r="109">
      <c r="A109" s="8" t="n">
        <v>2017</v>
      </c>
      <c r="B109" s="6" t="n">
        <v>193.5333</v>
      </c>
    </row>
    <row r="110">
      <c r="A110" s="8" t="n">
        <v>2018</v>
      </c>
      <c r="B110" s="6" t="n">
        <v>201.95</v>
      </c>
    </row>
    <row r="111">
      <c r="A111" s="8" t="n">
        <v>2019</v>
      </c>
      <c r="B111" s="6" t="n">
        <v>199.8417</v>
      </c>
    </row>
    <row r="112">
      <c r="A112" s="8" t="n">
        <v>2020</v>
      </c>
      <c r="B112" s="6" t="n">
        <v>194.375</v>
      </c>
    </row>
    <row r="113">
      <c r="A113" s="8" t="n">
        <v>2021</v>
      </c>
      <c r="B113" s="6" t="n">
        <v>227.3444</v>
      </c>
    </row>
    <row r="114">
      <c r="A114" s="8" t="n">
        <v>2022</v>
      </c>
      <c r="B114" s="6" t="n">
        <v>264.481</v>
      </c>
    </row>
    <row r="115">
      <c r="A115" s="8" t="n">
        <v>2023</v>
      </c>
      <c r="B115" s="6" t="n">
        <v>255.7299</v>
      </c>
    </row>
    <row r="116">
      <c r="A116" s="8" t="n">
        <v>2024</v>
      </c>
      <c r="B116" s="6" t="n">
        <v>254.5594</v>
      </c>
    </row>
    <row r="117">
      <c r="A117" s="8" t="n">
        <v>2025</v>
      </c>
      <c r="B117" s="6" t="n">
        <v>260.2753</v>
      </c>
    </row>
    <row r="118">
      <c r="A118" s="8" t="n">
        <v>2026</v>
      </c>
      <c r="B118" s="6" t="n">
        <v>276.8688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US REITs — annual-average level (single source, no splice)</t>
        </is>
      </c>
    </row>
    <row r="2">
      <c r="A2" s="2" t="inlineStr">
        <is>
          <t>FTSE Nareit All Equity REITs dividend-reinvested total-return index (monthly Dec-1971+, annual-averaged; All-Equity excludes mortgage REITs).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1972</v>
      </c>
      <c r="B5" s="6" t="n">
        <v>106.0104</v>
      </c>
    </row>
    <row r="6">
      <c r="A6" s="8" t="n">
        <v>1973</v>
      </c>
      <c r="B6" s="6" t="n">
        <v>101.3412</v>
      </c>
    </row>
    <row r="7">
      <c r="A7" s="8" t="n">
        <v>1974</v>
      </c>
      <c r="B7" s="6" t="n">
        <v>83.89060000000001</v>
      </c>
    </row>
    <row r="8">
      <c r="A8" s="8" t="n">
        <v>1975</v>
      </c>
      <c r="B8" s="6" t="n">
        <v>86.45740000000001</v>
      </c>
    </row>
    <row r="9">
      <c r="A9" s="8" t="n">
        <v>1976</v>
      </c>
      <c r="B9" s="6" t="n">
        <v>108.8401</v>
      </c>
    </row>
    <row r="10">
      <c r="A10" s="8" t="n">
        <v>1977</v>
      </c>
      <c r="B10" s="6" t="n">
        <v>142.4895</v>
      </c>
    </row>
    <row r="11">
      <c r="A11" s="8" t="n">
        <v>1978</v>
      </c>
      <c r="B11" s="6" t="n">
        <v>162.8903</v>
      </c>
    </row>
    <row r="12">
      <c r="A12" s="8" t="n">
        <v>1979</v>
      </c>
      <c r="B12" s="6" t="n">
        <v>211.4173</v>
      </c>
    </row>
    <row r="13">
      <c r="A13" s="8" t="n">
        <v>1980</v>
      </c>
      <c r="B13" s="6" t="n">
        <v>259.8292</v>
      </c>
    </row>
    <row r="14">
      <c r="A14" s="8" t="n">
        <v>1981</v>
      </c>
      <c r="B14" s="6" t="n">
        <v>302.3088</v>
      </c>
    </row>
    <row r="15">
      <c r="A15" s="8" t="n">
        <v>1982</v>
      </c>
      <c r="B15" s="6" t="n">
        <v>315.6772</v>
      </c>
    </row>
    <row r="16">
      <c r="A16" s="8" t="n">
        <v>1983</v>
      </c>
      <c r="B16" s="6" t="n">
        <v>441.8214</v>
      </c>
    </row>
    <row r="17">
      <c r="A17" s="8" t="n">
        <v>1984</v>
      </c>
      <c r="B17" s="6" t="n">
        <v>527.3068</v>
      </c>
    </row>
    <row r="18">
      <c r="A18" s="8" t="n">
        <v>1985</v>
      </c>
      <c r="B18" s="6" t="n">
        <v>665.7983</v>
      </c>
    </row>
    <row r="19">
      <c r="A19" s="8" t="n">
        <v>1986</v>
      </c>
      <c r="B19" s="6" t="n">
        <v>807.5406</v>
      </c>
    </row>
    <row r="20">
      <c r="A20" s="8" t="n">
        <v>1987</v>
      </c>
      <c r="B20" s="6" t="n">
        <v>871.3711</v>
      </c>
    </row>
    <row r="21">
      <c r="A21" s="8" t="n">
        <v>1988</v>
      </c>
      <c r="B21" s="6" t="n">
        <v>895.4414</v>
      </c>
    </row>
    <row r="22">
      <c r="A22" s="8" t="n">
        <v>1989</v>
      </c>
      <c r="B22" s="6" t="n">
        <v>980.3057</v>
      </c>
    </row>
    <row r="23">
      <c r="A23" s="8" t="n">
        <v>1990</v>
      </c>
      <c r="B23" s="6" t="n">
        <v>897.3570999999999</v>
      </c>
    </row>
    <row r="24">
      <c r="A24" s="8" t="n">
        <v>1991</v>
      </c>
      <c r="B24" s="6" t="n">
        <v>1044.469</v>
      </c>
    </row>
    <row r="25">
      <c r="A25" s="8" t="n">
        <v>1992</v>
      </c>
      <c r="B25" s="6" t="n">
        <v>1214.4128</v>
      </c>
    </row>
    <row r="26">
      <c r="A26" s="8" t="n">
        <v>1993</v>
      </c>
      <c r="B26" s="6" t="n">
        <v>1552.5207</v>
      </c>
    </row>
    <row r="27">
      <c r="A27" s="8" t="n">
        <v>1994</v>
      </c>
      <c r="B27" s="6" t="n">
        <v>1617.9084</v>
      </c>
    </row>
    <row r="28">
      <c r="A28" s="8" t="n">
        <v>1995</v>
      </c>
      <c r="B28" s="6" t="n">
        <v>1701.0346</v>
      </c>
    </row>
    <row r="29">
      <c r="A29" s="8" t="n">
        <v>1996</v>
      </c>
      <c r="B29" s="6" t="n">
        <v>2057.8839</v>
      </c>
    </row>
    <row r="30">
      <c r="A30" s="8" t="n">
        <v>1997</v>
      </c>
      <c r="B30" s="6" t="n">
        <v>2711.7528</v>
      </c>
    </row>
    <row r="31">
      <c r="A31" s="8" t="n">
        <v>1998</v>
      </c>
      <c r="B31" s="6" t="n">
        <v>2739.2334</v>
      </c>
    </row>
    <row r="32">
      <c r="A32" s="8" t="n">
        <v>1999</v>
      </c>
      <c r="B32" s="6" t="n">
        <v>2458.2014</v>
      </c>
    </row>
    <row r="33">
      <c r="A33" s="8" t="n">
        <v>2000</v>
      </c>
      <c r="B33" s="6" t="n">
        <v>2690.5422</v>
      </c>
    </row>
    <row r="34">
      <c r="A34" s="8" t="n">
        <v>2001</v>
      </c>
      <c r="B34" s="6" t="n">
        <v>3208.0664</v>
      </c>
    </row>
    <row r="35">
      <c r="A35" s="8" t="n">
        <v>2002</v>
      </c>
      <c r="B35" s="6" t="n">
        <v>3615.3726</v>
      </c>
    </row>
    <row r="36">
      <c r="A36" s="8" t="n">
        <v>2003</v>
      </c>
      <c r="B36" s="6" t="n">
        <v>4110.8873</v>
      </c>
    </row>
    <row r="37">
      <c r="A37" s="8" t="n">
        <v>2004</v>
      </c>
      <c r="B37" s="6" t="n">
        <v>5430.7657</v>
      </c>
    </row>
    <row r="38">
      <c r="A38" s="8" t="n">
        <v>2005</v>
      </c>
      <c r="B38" s="6" t="n">
        <v>6682.4697</v>
      </c>
    </row>
    <row r="39">
      <c r="A39" s="8" t="n">
        <v>2006</v>
      </c>
      <c r="B39" s="6" t="n">
        <v>8546.4889</v>
      </c>
    </row>
    <row r="40">
      <c r="A40" s="8" t="n">
        <v>2007</v>
      </c>
      <c r="B40" s="6" t="n">
        <v>9429.52</v>
      </c>
    </row>
    <row r="41">
      <c r="A41" s="8" t="n">
        <v>2008</v>
      </c>
      <c r="B41" s="6" t="n">
        <v>7479.8458</v>
      </c>
    </row>
    <row r="42">
      <c r="A42" s="8" t="n">
        <v>2009</v>
      </c>
      <c r="B42" s="6" t="n">
        <v>4960.0583</v>
      </c>
    </row>
    <row r="43">
      <c r="A43" s="8" t="n">
        <v>2010</v>
      </c>
      <c r="B43" s="6" t="n">
        <v>7408.3242</v>
      </c>
    </row>
    <row r="44">
      <c r="A44" s="8" t="n">
        <v>2011</v>
      </c>
      <c r="B44" s="6" t="n">
        <v>8963.370000000001</v>
      </c>
    </row>
    <row r="45">
      <c r="A45" s="8" t="n">
        <v>2012</v>
      </c>
      <c r="B45" s="6" t="n">
        <v>10252.3342</v>
      </c>
    </row>
    <row r="46">
      <c r="A46" s="8" t="n">
        <v>2013</v>
      </c>
      <c r="B46" s="6" t="n">
        <v>11428.6706</v>
      </c>
    </row>
    <row r="47">
      <c r="A47" s="8" t="n">
        <v>2014</v>
      </c>
      <c r="B47" s="6" t="n">
        <v>12897.8902</v>
      </c>
    </row>
    <row r="48">
      <c r="A48" s="8" t="n">
        <v>2015</v>
      </c>
      <c r="B48" s="6" t="n">
        <v>14240.1249</v>
      </c>
    </row>
    <row r="49">
      <c r="A49" s="8" t="n">
        <v>2016</v>
      </c>
      <c r="B49" s="6" t="n">
        <v>15699.2932</v>
      </c>
    </row>
    <row r="50">
      <c r="A50" s="8" t="n">
        <v>2017</v>
      </c>
      <c r="B50" s="6" t="n">
        <v>16718.5264</v>
      </c>
    </row>
    <row r="51">
      <c r="A51" s="8" t="n">
        <v>2018</v>
      </c>
      <c r="B51" s="6" t="n">
        <v>17021.4689</v>
      </c>
    </row>
    <row r="52">
      <c r="A52" s="8" t="n">
        <v>2019</v>
      </c>
      <c r="B52" s="6" t="n">
        <v>20148.72</v>
      </c>
    </row>
    <row r="53">
      <c r="A53" s="8" t="n">
        <v>2020</v>
      </c>
      <c r="B53" s="6" t="n">
        <v>18983.9497</v>
      </c>
    </row>
    <row r="54">
      <c r="A54" s="8" t="n">
        <v>2021</v>
      </c>
      <c r="B54" s="6" t="n">
        <v>24402.7483</v>
      </c>
    </row>
    <row r="55">
      <c r="A55" s="8" t="n">
        <v>2022</v>
      </c>
      <c r="B55" s="6" t="n">
        <v>23981.0275</v>
      </c>
    </row>
    <row r="56">
      <c r="A56" s="8" t="n">
        <v>2023</v>
      </c>
      <c r="B56" s="6" t="n">
        <v>21916.2908</v>
      </c>
    </row>
    <row r="57">
      <c r="A57" s="8" t="n">
        <v>2024</v>
      </c>
      <c r="B57" s="6" t="n">
        <v>24602.5925</v>
      </c>
    </row>
    <row r="58">
      <c r="A58" s="8" t="n">
        <v>2025</v>
      </c>
      <c r="B58" s="6" t="n">
        <v>25763.2442</v>
      </c>
    </row>
    <row r="59">
      <c r="A59" s="8" t="n">
        <v>2026</v>
      </c>
      <c r="B59" s="6" t="n">
        <v>28166.9967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Intl equities EAFE — annual-average level (single source, no splice)</t>
        </is>
      </c>
    </row>
    <row r="2">
      <c r="A2" s="2" t="inlineStr">
        <is>
          <t>[SECONDARY] iShares MSCI EAFE (EFA) — developed markets ex-US/Canada, total return, 2001+.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2001</v>
      </c>
      <c r="B5" s="6" t="n">
        <v>19.8178</v>
      </c>
    </row>
    <row r="6">
      <c r="A6" s="8" t="n">
        <v>2002</v>
      </c>
      <c r="B6" s="6" t="n">
        <v>18.7535</v>
      </c>
    </row>
    <row r="7">
      <c r="A7" s="8" t="n">
        <v>2003</v>
      </c>
      <c r="B7" s="6" t="n">
        <v>19.1398</v>
      </c>
    </row>
    <row r="8">
      <c r="A8" s="8" t="n">
        <v>2004</v>
      </c>
      <c r="B8" s="6" t="n">
        <v>25.2623</v>
      </c>
    </row>
    <row r="9">
      <c r="A9" s="8" t="n">
        <v>2005</v>
      </c>
      <c r="B9" s="6" t="n">
        <v>29.4324</v>
      </c>
    </row>
    <row r="10">
      <c r="A10" s="8" t="n">
        <v>2006</v>
      </c>
      <c r="B10" s="6" t="n">
        <v>36.7788</v>
      </c>
    </row>
    <row r="11">
      <c r="A11" s="8" t="n">
        <v>2007</v>
      </c>
      <c r="B11" s="6" t="n">
        <v>44.397</v>
      </c>
    </row>
    <row r="12">
      <c r="A12" s="8" t="n">
        <v>2008</v>
      </c>
      <c r="B12" s="6" t="n">
        <v>36.3264</v>
      </c>
    </row>
    <row r="13">
      <c r="A13" s="8" t="n">
        <v>2009</v>
      </c>
      <c r="B13" s="6" t="n">
        <v>28.3297</v>
      </c>
    </row>
    <row r="14">
      <c r="A14" s="8" t="n">
        <v>2010</v>
      </c>
      <c r="B14" s="6" t="n">
        <v>32.6269</v>
      </c>
    </row>
    <row r="15">
      <c r="A15" s="8" t="n">
        <v>2011</v>
      </c>
      <c r="B15" s="6" t="n">
        <v>35.7921</v>
      </c>
    </row>
    <row r="16">
      <c r="A16" s="8" t="n">
        <v>2012</v>
      </c>
      <c r="B16" s="6" t="n">
        <v>34.4881</v>
      </c>
    </row>
    <row r="17">
      <c r="A17" s="8" t="n">
        <v>2013</v>
      </c>
      <c r="B17" s="6" t="n">
        <v>41.5279</v>
      </c>
    </row>
    <row r="18">
      <c r="A18" s="8" t="n">
        <v>2014</v>
      </c>
      <c r="B18" s="6" t="n">
        <v>45.8496</v>
      </c>
    </row>
    <row r="19">
      <c r="A19" s="8" t="n">
        <v>2015</v>
      </c>
      <c r="B19" s="6" t="n">
        <v>44.8085</v>
      </c>
    </row>
    <row r="20">
      <c r="A20" s="8" t="n">
        <v>2016</v>
      </c>
      <c r="B20" s="6" t="n">
        <v>42.2013</v>
      </c>
    </row>
    <row r="21">
      <c r="A21" s="8" t="n">
        <v>2017</v>
      </c>
      <c r="B21" s="6" t="n">
        <v>49.9384</v>
      </c>
    </row>
    <row r="22">
      <c r="A22" s="8" t="n">
        <v>2018</v>
      </c>
      <c r="B22" s="6" t="n">
        <v>52.6038</v>
      </c>
    </row>
    <row r="23">
      <c r="A23" s="8" t="n">
        <v>2019</v>
      </c>
      <c r="B23" s="6" t="n">
        <v>52.7228</v>
      </c>
    </row>
    <row r="24">
      <c r="A24" s="8" t="n">
        <v>2020</v>
      </c>
      <c r="B24" s="6" t="n">
        <v>52.1939</v>
      </c>
    </row>
    <row r="25">
      <c r="A25" s="8" t="n">
        <v>2021</v>
      </c>
      <c r="B25" s="6" t="n">
        <v>66.0673</v>
      </c>
    </row>
    <row r="26">
      <c r="A26" s="8" t="n">
        <v>2022</v>
      </c>
      <c r="B26" s="6" t="n">
        <v>58.6135</v>
      </c>
    </row>
    <row r="27">
      <c r="A27" s="8" t="n">
        <v>2023</v>
      </c>
      <c r="B27" s="6" t="n">
        <v>64.5522</v>
      </c>
    </row>
    <row r="28">
      <c r="A28" s="8" t="n">
        <v>2024</v>
      </c>
      <c r="B28" s="6" t="n">
        <v>73.5775</v>
      </c>
    </row>
    <row r="29">
      <c r="A29" s="8" t="n">
        <v>2025</v>
      </c>
      <c r="B29" s="6" t="n">
        <v>85.0047</v>
      </c>
    </row>
    <row r="30">
      <c r="A30" s="8" t="n">
        <v>2026</v>
      </c>
      <c r="B30" s="6" t="n">
        <v>101.3054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US TIPS — annual-average level (single source, no splice)</t>
        </is>
      </c>
    </row>
    <row r="2">
      <c r="A2" s="2" t="inlineStr">
        <is>
          <t>[SECONDARY] iShares TIPS Bond (TIP) — inflation-protected Treasuries, total return, 2004+.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2004</v>
      </c>
      <c r="B5" s="6" t="n">
        <v>52.0427</v>
      </c>
    </row>
    <row r="6">
      <c r="A6" s="8" t="n">
        <v>2005</v>
      </c>
      <c r="B6" s="6" t="n">
        <v>54.82</v>
      </c>
    </row>
    <row r="7">
      <c r="A7" s="8" t="n">
        <v>2006</v>
      </c>
      <c r="B7" s="6" t="n">
        <v>55.446</v>
      </c>
    </row>
    <row r="8">
      <c r="A8" s="8" t="n">
        <v>2007</v>
      </c>
      <c r="B8" s="6" t="n">
        <v>58.3076</v>
      </c>
    </row>
    <row r="9">
      <c r="A9" s="8" t="n">
        <v>2008</v>
      </c>
      <c r="B9" s="6" t="n">
        <v>63.424</v>
      </c>
    </row>
    <row r="10">
      <c r="A10" s="8" t="n">
        <v>2009</v>
      </c>
      <c r="B10" s="6" t="n">
        <v>65.1584</v>
      </c>
    </row>
    <row r="11">
      <c r="A11" s="8" t="n">
        <v>2010</v>
      </c>
      <c r="B11" s="6" t="n">
        <v>70.89579999999999</v>
      </c>
    </row>
    <row r="12">
      <c r="A12" s="8" t="n">
        <v>2011</v>
      </c>
      <c r="B12" s="6" t="n">
        <v>77.1853</v>
      </c>
    </row>
    <row r="13">
      <c r="A13" s="8" t="n">
        <v>2012</v>
      </c>
      <c r="B13" s="6" t="n">
        <v>85.3835</v>
      </c>
    </row>
    <row r="14">
      <c r="A14" s="8" t="n">
        <v>2013</v>
      </c>
      <c r="B14" s="6" t="n">
        <v>83.1481</v>
      </c>
    </row>
    <row r="15">
      <c r="A15" s="8" t="n">
        <v>2014</v>
      </c>
      <c r="B15" s="6" t="n">
        <v>82.91540000000001</v>
      </c>
    </row>
    <row r="16">
      <c r="A16" s="8" t="n">
        <v>2015</v>
      </c>
      <c r="B16" s="6" t="n">
        <v>82.9759</v>
      </c>
    </row>
    <row r="17">
      <c r="A17" s="8" t="n">
        <v>2016</v>
      </c>
      <c r="B17" s="6" t="n">
        <v>85.2162</v>
      </c>
    </row>
    <row r="18">
      <c r="A18" s="8" t="n">
        <v>2017</v>
      </c>
      <c r="B18" s="6" t="n">
        <v>86.2</v>
      </c>
    </row>
    <row r="19">
      <c r="A19" s="8" t="n">
        <v>2018</v>
      </c>
      <c r="B19" s="6" t="n">
        <v>86.3143</v>
      </c>
    </row>
    <row r="20">
      <c r="A20" s="8" t="n">
        <v>2019</v>
      </c>
      <c r="B20" s="6" t="n">
        <v>90.9061</v>
      </c>
    </row>
    <row r="21">
      <c r="A21" s="8" t="n">
        <v>2020</v>
      </c>
      <c r="B21" s="6" t="n">
        <v>99.31789999999999</v>
      </c>
    </row>
    <row r="22">
      <c r="A22" s="8" t="n">
        <v>2021</v>
      </c>
      <c r="B22" s="6" t="n">
        <v>105.3301</v>
      </c>
    </row>
    <row r="23">
      <c r="A23" s="8" t="n">
        <v>2022</v>
      </c>
      <c r="B23" s="6" t="n">
        <v>100.6832</v>
      </c>
    </row>
    <row r="24">
      <c r="A24" s="8" t="n">
        <v>2023</v>
      </c>
      <c r="B24" s="6" t="n">
        <v>97.3964</v>
      </c>
    </row>
    <row r="25">
      <c r="A25" s="8" t="n">
        <v>2024</v>
      </c>
      <c r="B25" s="6" t="n">
        <v>100.8163</v>
      </c>
    </row>
    <row r="26">
      <c r="A26" s="8" t="n">
        <v>2025</v>
      </c>
      <c r="B26" s="6" t="n">
        <v>106.1245</v>
      </c>
    </row>
    <row r="27">
      <c r="A27" s="8" t="n">
        <v>2026</v>
      </c>
      <c r="B27" s="6" t="n">
        <v>109.237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Oil WTI spot — annual-average level (single source, no splice)</t>
        </is>
      </c>
    </row>
    <row r="2">
      <c r="A2" s="2" t="inlineStr">
        <is>
          <t>[SECONDARY] FRED WTI spot (WTISPLC), 1946+ — spot price only (no roll/collateral).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1946</v>
      </c>
      <c r="B5" s="6" t="n">
        <v>1.3575</v>
      </c>
    </row>
    <row r="6">
      <c r="A6" s="8" t="n">
        <v>1947</v>
      </c>
      <c r="B6" s="6" t="n">
        <v>1.8408</v>
      </c>
    </row>
    <row r="7">
      <c r="A7" s="8" t="n">
        <v>1948</v>
      </c>
      <c r="B7" s="6" t="n">
        <v>2.57</v>
      </c>
    </row>
    <row r="8">
      <c r="A8" s="8" t="n">
        <v>1949</v>
      </c>
      <c r="B8" s="6" t="n">
        <v>2.57</v>
      </c>
    </row>
    <row r="9">
      <c r="A9" s="8" t="n">
        <v>1950</v>
      </c>
      <c r="B9" s="6" t="n">
        <v>2.57</v>
      </c>
    </row>
    <row r="10">
      <c r="A10" s="8" t="n">
        <v>1951</v>
      </c>
      <c r="B10" s="6" t="n">
        <v>2.57</v>
      </c>
    </row>
    <row r="11">
      <c r="A11" s="8" t="n">
        <v>1952</v>
      </c>
      <c r="B11" s="6" t="n">
        <v>2.57</v>
      </c>
    </row>
    <row r="12">
      <c r="A12" s="8" t="n">
        <v>1953</v>
      </c>
      <c r="B12" s="6" t="n">
        <v>2.7158</v>
      </c>
    </row>
    <row r="13">
      <c r="A13" s="8" t="n">
        <v>1954</v>
      </c>
      <c r="B13" s="6" t="n">
        <v>2.82</v>
      </c>
    </row>
    <row r="14">
      <c r="A14" s="8" t="n">
        <v>1955</v>
      </c>
      <c r="B14" s="6" t="n">
        <v>2.82</v>
      </c>
    </row>
    <row r="15">
      <c r="A15" s="8" t="n">
        <v>1956</v>
      </c>
      <c r="B15" s="6" t="n">
        <v>2.82</v>
      </c>
    </row>
    <row r="16">
      <c r="A16" s="8" t="n">
        <v>1957</v>
      </c>
      <c r="B16" s="6" t="n">
        <v>3.0433</v>
      </c>
    </row>
    <row r="17">
      <c r="A17" s="8" t="n">
        <v>1958</v>
      </c>
      <c r="B17" s="6" t="n">
        <v>3.0583</v>
      </c>
    </row>
    <row r="18">
      <c r="A18" s="8" t="n">
        <v>1959</v>
      </c>
      <c r="B18" s="6" t="n">
        <v>2.975</v>
      </c>
    </row>
    <row r="19">
      <c r="A19" s="8" t="n">
        <v>1960</v>
      </c>
      <c r="B19" s="6" t="n">
        <v>2.97</v>
      </c>
    </row>
    <row r="20">
      <c r="A20" s="8" t="n">
        <v>1961</v>
      </c>
      <c r="B20" s="6" t="n">
        <v>2.97</v>
      </c>
    </row>
    <row r="21">
      <c r="A21" s="8" t="n">
        <v>1962</v>
      </c>
      <c r="B21" s="6" t="n">
        <v>2.97</v>
      </c>
    </row>
    <row r="22">
      <c r="A22" s="8" t="n">
        <v>1963</v>
      </c>
      <c r="B22" s="6" t="n">
        <v>2.97</v>
      </c>
    </row>
    <row r="23">
      <c r="A23" s="8" t="n">
        <v>1964</v>
      </c>
      <c r="B23" s="6" t="n">
        <v>2.945</v>
      </c>
    </row>
    <row r="24">
      <c r="A24" s="8" t="n">
        <v>1965</v>
      </c>
      <c r="B24" s="6" t="n">
        <v>2.92</v>
      </c>
    </row>
    <row r="25">
      <c r="A25" s="8" t="n">
        <v>1966</v>
      </c>
      <c r="B25" s="6" t="n">
        <v>2.9367</v>
      </c>
    </row>
    <row r="26">
      <c r="A26" s="8" t="n">
        <v>1967</v>
      </c>
      <c r="B26" s="6" t="n">
        <v>3.0267</v>
      </c>
    </row>
    <row r="27">
      <c r="A27" s="8" t="n">
        <v>1968</v>
      </c>
      <c r="B27" s="6" t="n">
        <v>3.07</v>
      </c>
    </row>
    <row r="28">
      <c r="A28" s="8" t="n">
        <v>1969</v>
      </c>
      <c r="B28" s="6" t="n">
        <v>3.295</v>
      </c>
    </row>
    <row r="29">
      <c r="A29" s="8" t="n">
        <v>1970</v>
      </c>
      <c r="B29" s="6" t="n">
        <v>3.3508</v>
      </c>
    </row>
    <row r="30">
      <c r="A30" s="8" t="n">
        <v>1971</v>
      </c>
      <c r="B30" s="6" t="n">
        <v>3.56</v>
      </c>
    </row>
    <row r="31">
      <c r="A31" s="8" t="n">
        <v>1972</v>
      </c>
      <c r="B31" s="6" t="n">
        <v>3.56</v>
      </c>
    </row>
    <row r="32">
      <c r="A32" s="8" t="n">
        <v>1973</v>
      </c>
      <c r="B32" s="6" t="n">
        <v>3.8725</v>
      </c>
    </row>
    <row r="33">
      <c r="A33" s="8" t="n">
        <v>1974</v>
      </c>
      <c r="B33" s="6" t="n">
        <v>10.3725</v>
      </c>
    </row>
    <row r="34">
      <c r="A34" s="8" t="n">
        <v>1975</v>
      </c>
      <c r="B34" s="6" t="n">
        <v>11.16</v>
      </c>
    </row>
    <row r="35">
      <c r="A35" s="8" t="n">
        <v>1976</v>
      </c>
      <c r="B35" s="6" t="n">
        <v>12.645</v>
      </c>
    </row>
    <row r="36">
      <c r="A36" s="8" t="n">
        <v>1977</v>
      </c>
      <c r="B36" s="6" t="n">
        <v>14.2958</v>
      </c>
    </row>
    <row r="37">
      <c r="A37" s="8" t="n">
        <v>1978</v>
      </c>
      <c r="B37" s="6" t="n">
        <v>14.85</v>
      </c>
    </row>
    <row r="38">
      <c r="A38" s="8" t="n">
        <v>1979</v>
      </c>
      <c r="B38" s="6" t="n">
        <v>22.4042</v>
      </c>
    </row>
    <row r="39">
      <c r="A39" s="8" t="n">
        <v>1980</v>
      </c>
      <c r="B39" s="6" t="n">
        <v>37.375</v>
      </c>
    </row>
    <row r="40">
      <c r="A40" s="8" t="n">
        <v>1981</v>
      </c>
      <c r="B40" s="6" t="n">
        <v>36.6667</v>
      </c>
    </row>
    <row r="41">
      <c r="A41" s="8" t="n">
        <v>1982</v>
      </c>
      <c r="B41" s="6" t="n">
        <v>33.6358</v>
      </c>
    </row>
    <row r="42">
      <c r="A42" s="8" t="n">
        <v>1983</v>
      </c>
      <c r="B42" s="6" t="n">
        <v>30.395</v>
      </c>
    </row>
    <row r="43">
      <c r="A43" s="8" t="n">
        <v>1984</v>
      </c>
      <c r="B43" s="6" t="n">
        <v>29.2755</v>
      </c>
    </row>
    <row r="44">
      <c r="A44" s="8" t="n">
        <v>1985</v>
      </c>
      <c r="B44" s="6" t="n">
        <v>27.9728</v>
      </c>
    </row>
    <row r="45">
      <c r="A45" s="8" t="n">
        <v>1986</v>
      </c>
      <c r="B45" s="6" t="n">
        <v>15.04</v>
      </c>
    </row>
    <row r="46">
      <c r="A46" s="8" t="n">
        <v>1987</v>
      </c>
      <c r="B46" s="6" t="n">
        <v>19.1619</v>
      </c>
    </row>
    <row r="47">
      <c r="A47" s="8" t="n">
        <v>1988</v>
      </c>
      <c r="B47" s="6" t="n">
        <v>15.9596</v>
      </c>
    </row>
    <row r="48">
      <c r="A48" s="8" t="n">
        <v>1989</v>
      </c>
      <c r="B48" s="6" t="n">
        <v>19.5908</v>
      </c>
    </row>
    <row r="49">
      <c r="A49" s="8" t="n">
        <v>1990</v>
      </c>
      <c r="B49" s="6" t="n">
        <v>24.4929</v>
      </c>
    </row>
    <row r="50">
      <c r="A50" s="8" t="n">
        <v>1991</v>
      </c>
      <c r="B50" s="6" t="n">
        <v>21.4812</v>
      </c>
    </row>
    <row r="51">
      <c r="A51" s="8" t="n">
        <v>1992</v>
      </c>
      <c r="B51" s="6" t="n">
        <v>20.5614</v>
      </c>
    </row>
    <row r="52">
      <c r="A52" s="8" t="n">
        <v>1993</v>
      </c>
      <c r="B52" s="6" t="n">
        <v>18.4582</v>
      </c>
    </row>
    <row r="53">
      <c r="A53" s="8" t="n">
        <v>1994</v>
      </c>
      <c r="B53" s="6" t="n">
        <v>17.1858</v>
      </c>
    </row>
    <row r="54">
      <c r="A54" s="8" t="n">
        <v>1995</v>
      </c>
      <c r="B54" s="6" t="n">
        <v>18.4275</v>
      </c>
    </row>
    <row r="55">
      <c r="A55" s="8" t="n">
        <v>1996</v>
      </c>
      <c r="B55" s="6" t="n">
        <v>22.1542</v>
      </c>
    </row>
    <row r="56">
      <c r="A56" s="8" t="n">
        <v>1997</v>
      </c>
      <c r="B56" s="6" t="n">
        <v>20.5992</v>
      </c>
    </row>
    <row r="57">
      <c r="A57" s="8" t="n">
        <v>1998</v>
      </c>
      <c r="B57" s="6" t="n">
        <v>14.3883</v>
      </c>
    </row>
    <row r="58">
      <c r="A58" s="8" t="n">
        <v>1999</v>
      </c>
      <c r="B58" s="6" t="n">
        <v>19.2517</v>
      </c>
    </row>
    <row r="59">
      <c r="A59" s="8" t="n">
        <v>2000</v>
      </c>
      <c r="B59" s="6" t="n">
        <v>30.2983</v>
      </c>
    </row>
    <row r="60">
      <c r="A60" s="8" t="n">
        <v>2001</v>
      </c>
      <c r="B60" s="6" t="n">
        <v>25.9242</v>
      </c>
    </row>
    <row r="61">
      <c r="A61" s="8" t="n">
        <v>2002</v>
      </c>
      <c r="B61" s="6" t="n">
        <v>26.0975</v>
      </c>
    </row>
    <row r="62">
      <c r="A62" s="8" t="n">
        <v>2003</v>
      </c>
      <c r="B62" s="6" t="n">
        <v>31.14</v>
      </c>
    </row>
    <row r="63">
      <c r="A63" s="8" t="n">
        <v>2004</v>
      </c>
      <c r="B63" s="6" t="n">
        <v>41.4383</v>
      </c>
    </row>
    <row r="64">
      <c r="A64" s="8" t="n">
        <v>2005</v>
      </c>
      <c r="B64" s="6" t="n">
        <v>56.4658</v>
      </c>
    </row>
    <row r="65">
      <c r="A65" s="8" t="n">
        <v>2006</v>
      </c>
      <c r="B65" s="6" t="n">
        <v>66.1033</v>
      </c>
    </row>
    <row r="66">
      <c r="A66" s="8" t="n">
        <v>2007</v>
      </c>
      <c r="B66" s="6" t="n">
        <v>72.3625</v>
      </c>
    </row>
    <row r="67">
      <c r="A67" s="8" t="n">
        <v>2008</v>
      </c>
      <c r="B67" s="6" t="n">
        <v>99.5675</v>
      </c>
    </row>
    <row r="68">
      <c r="A68" s="8" t="n">
        <v>2009</v>
      </c>
      <c r="B68" s="6" t="n">
        <v>61.6933</v>
      </c>
    </row>
    <row r="69">
      <c r="A69" s="8" t="n">
        <v>2010</v>
      </c>
      <c r="B69" s="6" t="n">
        <v>79.42749999999999</v>
      </c>
    </row>
    <row r="70">
      <c r="A70" s="8" t="n">
        <v>2011</v>
      </c>
      <c r="B70" s="6" t="n">
        <v>95.0767</v>
      </c>
    </row>
    <row r="71">
      <c r="A71" s="8" t="n">
        <v>2012</v>
      </c>
      <c r="B71" s="6" t="n">
        <v>94.2008</v>
      </c>
    </row>
    <row r="72">
      <c r="A72" s="8" t="n">
        <v>2013</v>
      </c>
      <c r="B72" s="6" t="n">
        <v>97.9358</v>
      </c>
    </row>
    <row r="73">
      <c r="A73" s="8" t="n">
        <v>2014</v>
      </c>
      <c r="B73" s="6" t="n">
        <v>93.25830000000001</v>
      </c>
    </row>
    <row r="74">
      <c r="A74" s="8" t="n">
        <v>2015</v>
      </c>
      <c r="B74" s="6" t="n">
        <v>48.6883</v>
      </c>
    </row>
    <row r="75">
      <c r="A75" s="8" t="n">
        <v>2016</v>
      </c>
      <c r="B75" s="6" t="n">
        <v>43.1442</v>
      </c>
    </row>
    <row r="76">
      <c r="A76" s="8" t="n">
        <v>2017</v>
      </c>
      <c r="B76" s="6" t="n">
        <v>50.8842</v>
      </c>
    </row>
    <row r="77">
      <c r="A77" s="8" t="n">
        <v>2018</v>
      </c>
      <c r="B77" s="6" t="n">
        <v>64.9383</v>
      </c>
    </row>
    <row r="78">
      <c r="A78" s="8" t="n">
        <v>2019</v>
      </c>
      <c r="B78" s="6" t="n">
        <v>56.9842</v>
      </c>
    </row>
    <row r="79">
      <c r="A79" s="8" t="n">
        <v>2020</v>
      </c>
      <c r="B79" s="6" t="n">
        <v>39.2275</v>
      </c>
    </row>
    <row r="80">
      <c r="A80" s="8" t="n">
        <v>2021</v>
      </c>
      <c r="B80" s="6" t="n">
        <v>67.9875</v>
      </c>
    </row>
    <row r="81">
      <c r="A81" s="8" t="n">
        <v>2022</v>
      </c>
      <c r="B81" s="6" t="n">
        <v>94.7867</v>
      </c>
    </row>
    <row r="82">
      <c r="A82" s="8" t="n">
        <v>2023</v>
      </c>
      <c r="B82" s="6" t="n">
        <v>77.6358</v>
      </c>
    </row>
    <row r="83">
      <c r="A83" s="8" t="n">
        <v>2024</v>
      </c>
      <c r="B83" s="6" t="n">
        <v>76.55</v>
      </c>
    </row>
    <row r="84">
      <c r="A84" s="8" t="n">
        <v>2025</v>
      </c>
      <c r="B84" s="6" t="n">
        <v>65.45999999999999</v>
      </c>
    </row>
    <row r="85">
      <c r="A85" s="8" t="n">
        <v>2026</v>
      </c>
      <c r="B85" s="6" t="n">
        <v>83.676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US inflation CPI — annual-average level (single source, no splice)</t>
        </is>
      </c>
    </row>
    <row r="2">
      <c r="A2" s="2" t="inlineStr">
        <is>
          <t>[SECONDARY] Shiller CPI-U, the deflator itself shown as a series (nominal change = inflation; real ≈ 0).</t>
        </is>
      </c>
      <c r="D2" s="5" t="inlineStr">
        <is>
          <t>source</t>
        </is>
      </c>
    </row>
    <row r="4">
      <c r="A4" s="7" t="inlineStr">
        <is>
          <t>Year</t>
        </is>
      </c>
      <c r="B4" s="7" t="inlineStr">
        <is>
          <t>Level (raw)</t>
        </is>
      </c>
    </row>
    <row r="5">
      <c r="A5" s="8" t="n">
        <v>1871</v>
      </c>
      <c r="B5" s="6" t="n">
        <v>12.4006</v>
      </c>
    </row>
    <row r="6">
      <c r="A6" s="8" t="n">
        <v>1872</v>
      </c>
      <c r="B6" s="6" t="n">
        <v>12.924</v>
      </c>
    </row>
    <row r="7">
      <c r="A7" s="8" t="n">
        <v>1873</v>
      </c>
      <c r="B7" s="6" t="n">
        <v>12.6782</v>
      </c>
    </row>
    <row r="8">
      <c r="A8" s="8" t="n">
        <v>1874</v>
      </c>
      <c r="B8" s="6" t="n">
        <v>11.9408</v>
      </c>
    </row>
    <row r="9">
      <c r="A9" s="8" t="n">
        <v>1875</v>
      </c>
      <c r="B9" s="6" t="n">
        <v>11.2668</v>
      </c>
    </row>
    <row r="10">
      <c r="A10" s="8" t="n">
        <v>1876</v>
      </c>
      <c r="B10" s="6" t="n">
        <v>10.5057</v>
      </c>
    </row>
    <row r="11">
      <c r="A11" s="8" t="n">
        <v>1877</v>
      </c>
      <c r="B11" s="6" t="n">
        <v>10.1172</v>
      </c>
    </row>
    <row r="12">
      <c r="A12" s="8" t="n">
        <v>1878</v>
      </c>
      <c r="B12" s="6" t="n">
        <v>8.6424</v>
      </c>
    </row>
    <row r="13">
      <c r="A13" s="8" t="n">
        <v>1879</v>
      </c>
      <c r="B13" s="6" t="n">
        <v>8.5235</v>
      </c>
    </row>
    <row r="14">
      <c r="A14" s="8" t="n">
        <v>1880</v>
      </c>
      <c r="B14" s="6" t="n">
        <v>9.5383</v>
      </c>
    </row>
    <row r="15">
      <c r="A15" s="8" t="n">
        <v>1881</v>
      </c>
      <c r="B15" s="6" t="n">
        <v>9.776199999999999</v>
      </c>
    </row>
    <row r="16">
      <c r="A16" s="8" t="n">
        <v>1882</v>
      </c>
      <c r="B16" s="6" t="n">
        <v>10.3074</v>
      </c>
    </row>
    <row r="17">
      <c r="A17" s="8" t="n">
        <v>1883</v>
      </c>
      <c r="B17" s="6" t="n">
        <v>9.562099999999999</v>
      </c>
    </row>
    <row r="18">
      <c r="A18" s="8" t="n">
        <v>1884</v>
      </c>
      <c r="B18" s="6" t="n">
        <v>8.816800000000001</v>
      </c>
    </row>
    <row r="19">
      <c r="A19" s="8" t="n">
        <v>1885</v>
      </c>
      <c r="B19" s="6" t="n">
        <v>8.087400000000001</v>
      </c>
    </row>
    <row r="20">
      <c r="A20" s="8" t="n">
        <v>1886</v>
      </c>
      <c r="B20" s="6" t="n">
        <v>7.7544</v>
      </c>
    </row>
    <row r="21">
      <c r="A21" s="8" t="n">
        <v>1887</v>
      </c>
      <c r="B21" s="6" t="n">
        <v>8.0398</v>
      </c>
    </row>
    <row r="22">
      <c r="A22" s="8" t="n">
        <v>1888</v>
      </c>
      <c r="B22" s="6" t="n">
        <v>8.182499999999999</v>
      </c>
    </row>
    <row r="23">
      <c r="A23" s="8" t="n">
        <v>1889</v>
      </c>
      <c r="B23" s="6" t="n">
        <v>7.7385</v>
      </c>
    </row>
    <row r="24">
      <c r="A24" s="8" t="n">
        <v>1890</v>
      </c>
      <c r="B24" s="6" t="n">
        <v>7.794</v>
      </c>
    </row>
    <row r="25">
      <c r="A25" s="8" t="n">
        <v>1891</v>
      </c>
      <c r="B25" s="6" t="n">
        <v>7.7702</v>
      </c>
    </row>
    <row r="26">
      <c r="A26" s="8" t="n">
        <v>1892</v>
      </c>
      <c r="B26" s="6" t="n">
        <v>7.2707</v>
      </c>
    </row>
    <row r="27">
      <c r="A27" s="8" t="n">
        <v>1893</v>
      </c>
      <c r="B27" s="6" t="n">
        <v>7.4451</v>
      </c>
    </row>
    <row r="28">
      <c r="A28" s="8" t="n">
        <v>1894</v>
      </c>
      <c r="B28" s="6" t="n">
        <v>6.6602</v>
      </c>
    </row>
    <row r="29">
      <c r="A29" s="8" t="n">
        <v>1895</v>
      </c>
      <c r="B29" s="6" t="n">
        <v>6.8029</v>
      </c>
    </row>
    <row r="30">
      <c r="A30" s="8" t="n">
        <v>1896</v>
      </c>
      <c r="B30" s="6" t="n">
        <v>6.462</v>
      </c>
    </row>
    <row r="31">
      <c r="A31" s="8" t="n">
        <v>1897</v>
      </c>
      <c r="B31" s="6" t="n">
        <v>6.4937</v>
      </c>
    </row>
    <row r="32">
      <c r="A32" s="8" t="n">
        <v>1898</v>
      </c>
      <c r="B32" s="6" t="n">
        <v>6.7474</v>
      </c>
    </row>
    <row r="33">
      <c r="A33" s="8" t="n">
        <v>1899</v>
      </c>
      <c r="B33" s="6" t="n">
        <v>7.2866</v>
      </c>
    </row>
    <row r="34">
      <c r="A34" s="8" t="n">
        <v>1900</v>
      </c>
      <c r="B34" s="6" t="n">
        <v>7.8099</v>
      </c>
    </row>
    <row r="35">
      <c r="A35" s="8" t="n">
        <v>1901</v>
      </c>
      <c r="B35" s="6" t="n">
        <v>7.6909</v>
      </c>
    </row>
    <row r="36">
      <c r="A36" s="8" t="n">
        <v>1902</v>
      </c>
      <c r="B36" s="6" t="n">
        <v>8.182499999999999</v>
      </c>
    </row>
    <row r="37">
      <c r="A37" s="8" t="n">
        <v>1903</v>
      </c>
      <c r="B37" s="6" t="n">
        <v>8.285600000000001</v>
      </c>
    </row>
    <row r="38">
      <c r="A38" s="8" t="n">
        <v>1904</v>
      </c>
      <c r="B38" s="6" t="n">
        <v>8.277699999999999</v>
      </c>
    </row>
    <row r="39">
      <c r="A39" s="8" t="n">
        <v>1905</v>
      </c>
      <c r="B39" s="6" t="n">
        <v>8.356999999999999</v>
      </c>
    </row>
    <row r="40">
      <c r="A40" s="8" t="n">
        <v>1906</v>
      </c>
      <c r="B40" s="6" t="n">
        <v>8.571</v>
      </c>
    </row>
    <row r="41">
      <c r="A41" s="8" t="n">
        <v>1907</v>
      </c>
      <c r="B41" s="6" t="n">
        <v>9.070499999999999</v>
      </c>
    </row>
    <row r="42">
      <c r="A42" s="8" t="n">
        <v>1908</v>
      </c>
      <c r="B42" s="6" t="n">
        <v>8.737500000000001</v>
      </c>
    </row>
    <row r="43">
      <c r="A43" s="8" t="n">
        <v>1909</v>
      </c>
      <c r="B43" s="6" t="n">
        <v>9.4353</v>
      </c>
    </row>
    <row r="44">
      <c r="A44" s="8" t="n">
        <v>1910</v>
      </c>
      <c r="B44" s="6" t="n">
        <v>9.7683</v>
      </c>
    </row>
    <row r="45">
      <c r="A45" s="8" t="n">
        <v>1911</v>
      </c>
      <c r="B45" s="6" t="n">
        <v>9.007099999999999</v>
      </c>
    </row>
    <row r="46">
      <c r="A46" s="8" t="n">
        <v>1912</v>
      </c>
      <c r="B46" s="6" t="n">
        <v>9.601800000000001</v>
      </c>
    </row>
    <row r="47">
      <c r="A47" s="8" t="n">
        <v>1913</v>
      </c>
      <c r="B47" s="6" t="n">
        <v>9.8833</v>
      </c>
    </row>
    <row r="48">
      <c r="A48" s="8" t="n">
        <v>1914</v>
      </c>
      <c r="B48" s="6" t="n">
        <v>10.0167</v>
      </c>
    </row>
    <row r="49">
      <c r="A49" s="8" t="n">
        <v>1915</v>
      </c>
      <c r="B49" s="6" t="n">
        <v>10.1083</v>
      </c>
    </row>
    <row r="50">
      <c r="A50" s="8" t="n">
        <v>1916</v>
      </c>
      <c r="B50" s="6" t="n">
        <v>10.8833</v>
      </c>
    </row>
    <row r="51">
      <c r="A51" s="8" t="n">
        <v>1917</v>
      </c>
      <c r="B51" s="6" t="n">
        <v>12.825</v>
      </c>
    </row>
    <row r="52">
      <c r="A52" s="8" t="n">
        <v>1918</v>
      </c>
      <c r="B52" s="6" t="n">
        <v>15.0417</v>
      </c>
    </row>
    <row r="53">
      <c r="A53" s="8" t="n">
        <v>1919</v>
      </c>
      <c r="B53" s="6" t="n">
        <v>17.3333</v>
      </c>
    </row>
    <row r="54">
      <c r="A54" s="8" t="n">
        <v>1920</v>
      </c>
      <c r="B54" s="6" t="n">
        <v>20.0417</v>
      </c>
    </row>
    <row r="55">
      <c r="A55" s="8" t="n">
        <v>1921</v>
      </c>
      <c r="B55" s="6" t="n">
        <v>17.85</v>
      </c>
    </row>
    <row r="56">
      <c r="A56" s="8" t="n">
        <v>1922</v>
      </c>
      <c r="B56" s="6" t="n">
        <v>16.75</v>
      </c>
    </row>
    <row r="57">
      <c r="A57" s="8" t="n">
        <v>1923</v>
      </c>
      <c r="B57" s="6" t="n">
        <v>17.05</v>
      </c>
    </row>
    <row r="58">
      <c r="A58" s="8" t="n">
        <v>1924</v>
      </c>
      <c r="B58" s="6" t="n">
        <v>17.125</v>
      </c>
    </row>
    <row r="59">
      <c r="A59" s="8" t="n">
        <v>1925</v>
      </c>
      <c r="B59" s="6" t="n">
        <v>17.5417</v>
      </c>
    </row>
    <row r="60">
      <c r="A60" s="8" t="n">
        <v>1926</v>
      </c>
      <c r="B60" s="6" t="n">
        <v>17.7</v>
      </c>
    </row>
    <row r="61">
      <c r="A61" s="8" t="n">
        <v>1927</v>
      </c>
      <c r="B61" s="6" t="n">
        <v>17.3583</v>
      </c>
    </row>
    <row r="62">
      <c r="A62" s="8" t="n">
        <v>1928</v>
      </c>
      <c r="B62" s="6" t="n">
        <v>17.1583</v>
      </c>
    </row>
    <row r="63">
      <c r="A63" s="8" t="n">
        <v>1929</v>
      </c>
      <c r="B63" s="6" t="n">
        <v>17.1583</v>
      </c>
    </row>
    <row r="64">
      <c r="A64" s="8" t="n">
        <v>1930</v>
      </c>
      <c r="B64" s="6" t="n">
        <v>16.7</v>
      </c>
    </row>
    <row r="65">
      <c r="A65" s="8" t="n">
        <v>1931</v>
      </c>
      <c r="B65" s="6" t="n">
        <v>15.2083</v>
      </c>
    </row>
    <row r="66">
      <c r="A66" s="8" t="n">
        <v>1932</v>
      </c>
      <c r="B66" s="6" t="n">
        <v>13.6417</v>
      </c>
    </row>
    <row r="67">
      <c r="A67" s="8" t="n">
        <v>1933</v>
      </c>
      <c r="B67" s="6" t="n">
        <v>12.9333</v>
      </c>
    </row>
    <row r="68">
      <c r="A68" s="8" t="n">
        <v>1934</v>
      </c>
      <c r="B68" s="6" t="n">
        <v>13.3833</v>
      </c>
    </row>
    <row r="69">
      <c r="A69" s="8" t="n">
        <v>1935</v>
      </c>
      <c r="B69" s="6" t="n">
        <v>13.725</v>
      </c>
    </row>
    <row r="70">
      <c r="A70" s="8" t="n">
        <v>1936</v>
      </c>
      <c r="B70" s="6" t="n">
        <v>13.8667</v>
      </c>
    </row>
    <row r="71">
      <c r="A71" s="8" t="n">
        <v>1937</v>
      </c>
      <c r="B71" s="6" t="n">
        <v>14.3833</v>
      </c>
    </row>
    <row r="72">
      <c r="A72" s="8" t="n">
        <v>1938</v>
      </c>
      <c r="B72" s="6" t="n">
        <v>14.0917</v>
      </c>
    </row>
    <row r="73">
      <c r="A73" s="8" t="n">
        <v>1939</v>
      </c>
      <c r="B73" s="6" t="n">
        <v>13.9083</v>
      </c>
    </row>
    <row r="74">
      <c r="A74" s="8" t="n">
        <v>1940</v>
      </c>
      <c r="B74" s="6" t="n">
        <v>14.0083</v>
      </c>
    </row>
    <row r="75">
      <c r="A75" s="8" t="n">
        <v>1941</v>
      </c>
      <c r="B75" s="6" t="n">
        <v>14.725</v>
      </c>
    </row>
    <row r="76">
      <c r="A76" s="8" t="n">
        <v>1942</v>
      </c>
      <c r="B76" s="6" t="n">
        <v>16.3333</v>
      </c>
    </row>
    <row r="77">
      <c r="A77" s="8" t="n">
        <v>1943</v>
      </c>
      <c r="B77" s="6" t="n">
        <v>17.3083</v>
      </c>
    </row>
    <row r="78">
      <c r="A78" s="8" t="n">
        <v>1944</v>
      </c>
      <c r="B78" s="6" t="n">
        <v>17.5917</v>
      </c>
    </row>
    <row r="79">
      <c r="A79" s="8" t="n">
        <v>1945</v>
      </c>
      <c r="B79" s="6" t="n">
        <v>17.9917</v>
      </c>
    </row>
    <row r="80">
      <c r="A80" s="8" t="n">
        <v>1946</v>
      </c>
      <c r="B80" s="6" t="n">
        <v>19.5167</v>
      </c>
    </row>
    <row r="81">
      <c r="A81" s="8" t="n">
        <v>1947</v>
      </c>
      <c r="B81" s="6" t="n">
        <v>22.325</v>
      </c>
    </row>
    <row r="82">
      <c r="A82" s="8" t="n">
        <v>1948</v>
      </c>
      <c r="B82" s="6" t="n">
        <v>24.0417</v>
      </c>
    </row>
    <row r="83">
      <c r="A83" s="8" t="n">
        <v>1949</v>
      </c>
      <c r="B83" s="6" t="n">
        <v>23.8083</v>
      </c>
    </row>
    <row r="84">
      <c r="A84" s="8" t="n">
        <v>1950</v>
      </c>
      <c r="B84" s="6" t="n">
        <v>24.0667</v>
      </c>
    </row>
    <row r="85">
      <c r="A85" s="8" t="n">
        <v>1951</v>
      </c>
      <c r="B85" s="6" t="n">
        <v>25.9583</v>
      </c>
    </row>
    <row r="86">
      <c r="A86" s="8" t="n">
        <v>1952</v>
      </c>
      <c r="B86" s="6" t="n">
        <v>26.55</v>
      </c>
    </row>
    <row r="87">
      <c r="A87" s="8" t="n">
        <v>1953</v>
      </c>
      <c r="B87" s="6" t="n">
        <v>26.7667</v>
      </c>
    </row>
    <row r="88">
      <c r="A88" s="8" t="n">
        <v>1954</v>
      </c>
      <c r="B88" s="6" t="n">
        <v>26.85</v>
      </c>
    </row>
    <row r="89">
      <c r="A89" s="8" t="n">
        <v>1955</v>
      </c>
      <c r="B89" s="6" t="n">
        <v>26.775</v>
      </c>
    </row>
    <row r="90">
      <c r="A90" s="8" t="n">
        <v>1956</v>
      </c>
      <c r="B90" s="6" t="n">
        <v>27.1833</v>
      </c>
    </row>
    <row r="91">
      <c r="A91" s="8" t="n">
        <v>1957</v>
      </c>
      <c r="B91" s="6" t="n">
        <v>28.0917</v>
      </c>
    </row>
    <row r="92">
      <c r="A92" s="8" t="n">
        <v>1958</v>
      </c>
      <c r="B92" s="6" t="n">
        <v>28.8583</v>
      </c>
    </row>
    <row r="93">
      <c r="A93" s="8" t="n">
        <v>1959</v>
      </c>
      <c r="B93" s="6" t="n">
        <v>29.15</v>
      </c>
    </row>
    <row r="94">
      <c r="A94" s="8" t="n">
        <v>1960</v>
      </c>
      <c r="B94" s="6" t="n">
        <v>29.575</v>
      </c>
    </row>
    <row r="95">
      <c r="A95" s="8" t="n">
        <v>1961</v>
      </c>
      <c r="B95" s="6" t="n">
        <v>29.8917</v>
      </c>
    </row>
    <row r="96">
      <c r="A96" s="8" t="n">
        <v>1962</v>
      </c>
      <c r="B96" s="6" t="n">
        <v>30.25</v>
      </c>
    </row>
    <row r="97">
      <c r="A97" s="8" t="n">
        <v>1963</v>
      </c>
      <c r="B97" s="6" t="n">
        <v>30.625</v>
      </c>
    </row>
    <row r="98">
      <c r="A98" s="8" t="n">
        <v>1964</v>
      </c>
      <c r="B98" s="6" t="n">
        <v>31.0167</v>
      </c>
    </row>
    <row r="99">
      <c r="A99" s="8" t="n">
        <v>1965</v>
      </c>
      <c r="B99" s="6" t="n">
        <v>31.5083</v>
      </c>
    </row>
    <row r="100">
      <c r="A100" s="8" t="n">
        <v>1966</v>
      </c>
      <c r="B100" s="6" t="n">
        <v>32.4583</v>
      </c>
    </row>
    <row r="101">
      <c r="A101" s="8" t="n">
        <v>1967</v>
      </c>
      <c r="B101" s="6" t="n">
        <v>33.3583</v>
      </c>
    </row>
    <row r="102">
      <c r="A102" s="8" t="n">
        <v>1968</v>
      </c>
      <c r="B102" s="6" t="n">
        <v>34.7833</v>
      </c>
    </row>
    <row r="103">
      <c r="A103" s="8" t="n">
        <v>1969</v>
      </c>
      <c r="B103" s="6" t="n">
        <v>36.6833</v>
      </c>
    </row>
    <row r="104">
      <c r="A104" s="8" t="n">
        <v>1970</v>
      </c>
      <c r="B104" s="6" t="n">
        <v>38.825</v>
      </c>
    </row>
    <row r="105">
      <c r="A105" s="8" t="n">
        <v>1971</v>
      </c>
      <c r="B105" s="6" t="n">
        <v>40.4917</v>
      </c>
    </row>
    <row r="106">
      <c r="A106" s="8" t="n">
        <v>1972</v>
      </c>
      <c r="B106" s="6" t="n">
        <v>41.8167</v>
      </c>
    </row>
    <row r="107">
      <c r="A107" s="8" t="n">
        <v>1973</v>
      </c>
      <c r="B107" s="6" t="n">
        <v>44.4</v>
      </c>
    </row>
    <row r="108">
      <c r="A108" s="8" t="n">
        <v>1974</v>
      </c>
      <c r="B108" s="6" t="n">
        <v>49.3083</v>
      </c>
    </row>
    <row r="109">
      <c r="A109" s="8" t="n">
        <v>1975</v>
      </c>
      <c r="B109" s="6" t="n">
        <v>53.8167</v>
      </c>
    </row>
    <row r="110">
      <c r="A110" s="8" t="n">
        <v>1976</v>
      </c>
      <c r="B110" s="6" t="n">
        <v>56.9083</v>
      </c>
    </row>
    <row r="111">
      <c r="A111" s="8" t="n">
        <v>1977</v>
      </c>
      <c r="B111" s="6" t="n">
        <v>60.6083</v>
      </c>
    </row>
    <row r="112">
      <c r="A112" s="8" t="n">
        <v>1978</v>
      </c>
      <c r="B112" s="6" t="n">
        <v>65.2333</v>
      </c>
    </row>
    <row r="113">
      <c r="A113" s="8" t="n">
        <v>1979</v>
      </c>
      <c r="B113" s="6" t="n">
        <v>72.575</v>
      </c>
    </row>
    <row r="114">
      <c r="A114" s="8" t="n">
        <v>1980</v>
      </c>
      <c r="B114" s="6" t="n">
        <v>82.4083</v>
      </c>
    </row>
    <row r="115">
      <c r="A115" s="8" t="n">
        <v>1981</v>
      </c>
      <c r="B115" s="6" t="n">
        <v>90.925</v>
      </c>
    </row>
    <row r="116">
      <c r="A116" s="8" t="n">
        <v>1982</v>
      </c>
      <c r="B116" s="6" t="n">
        <v>96.5</v>
      </c>
    </row>
    <row r="117">
      <c r="A117" s="8" t="n">
        <v>1983</v>
      </c>
      <c r="B117" s="6" t="n">
        <v>99.59999999999999</v>
      </c>
    </row>
    <row r="118">
      <c r="A118" s="8" t="n">
        <v>1984</v>
      </c>
      <c r="B118" s="6" t="n">
        <v>103.8833</v>
      </c>
    </row>
    <row r="119">
      <c r="A119" s="8" t="n">
        <v>1985</v>
      </c>
      <c r="B119" s="6" t="n">
        <v>107.5667</v>
      </c>
    </row>
    <row r="120">
      <c r="A120" s="8" t="n">
        <v>1986</v>
      </c>
      <c r="B120" s="6" t="n">
        <v>109.6083</v>
      </c>
    </row>
    <row r="121">
      <c r="A121" s="8" t="n">
        <v>1987</v>
      </c>
      <c r="B121" s="6" t="n">
        <v>113.625</v>
      </c>
    </row>
    <row r="122">
      <c r="A122" s="8" t="n">
        <v>1988</v>
      </c>
      <c r="B122" s="6" t="n">
        <v>118.2583</v>
      </c>
    </row>
    <row r="123">
      <c r="A123" s="8" t="n">
        <v>1989</v>
      </c>
      <c r="B123" s="6" t="n">
        <v>123.9667</v>
      </c>
    </row>
    <row r="124">
      <c r="A124" s="8" t="n">
        <v>1990</v>
      </c>
      <c r="B124" s="6" t="n">
        <v>130.6583</v>
      </c>
    </row>
    <row r="125">
      <c r="A125" s="8" t="n">
        <v>1991</v>
      </c>
      <c r="B125" s="6" t="n">
        <v>136.1917</v>
      </c>
    </row>
    <row r="126">
      <c r="A126" s="8" t="n">
        <v>1992</v>
      </c>
      <c r="B126" s="6" t="n">
        <v>140.3167</v>
      </c>
    </row>
    <row r="127">
      <c r="A127" s="8" t="n">
        <v>1993</v>
      </c>
      <c r="B127" s="6" t="n">
        <v>144.4583</v>
      </c>
    </row>
    <row r="128">
      <c r="A128" s="8" t="n">
        <v>1994</v>
      </c>
      <c r="B128" s="6" t="n">
        <v>148.225</v>
      </c>
    </row>
    <row r="129">
      <c r="A129" s="8" t="n">
        <v>1995</v>
      </c>
      <c r="B129" s="6" t="n">
        <v>152.3833</v>
      </c>
    </row>
    <row r="130">
      <c r="A130" s="8" t="n">
        <v>1996</v>
      </c>
      <c r="B130" s="6" t="n">
        <v>156.85</v>
      </c>
    </row>
    <row r="131">
      <c r="A131" s="8" t="n">
        <v>1997</v>
      </c>
      <c r="B131" s="6" t="n">
        <v>160.5167</v>
      </c>
    </row>
    <row r="132">
      <c r="A132" s="8" t="n">
        <v>1998</v>
      </c>
      <c r="B132" s="6" t="n">
        <v>163.0083</v>
      </c>
    </row>
    <row r="133">
      <c r="A133" s="8" t="n">
        <v>1999</v>
      </c>
      <c r="B133" s="6" t="n">
        <v>166.575</v>
      </c>
    </row>
    <row r="134">
      <c r="A134" s="8" t="n">
        <v>2000</v>
      </c>
      <c r="B134" s="6" t="n">
        <v>172.2</v>
      </c>
    </row>
    <row r="135">
      <c r="A135" s="8" t="n">
        <v>2001</v>
      </c>
      <c r="B135" s="6" t="n">
        <v>177.0667</v>
      </c>
    </row>
    <row r="136">
      <c r="A136" s="8" t="n">
        <v>2002</v>
      </c>
      <c r="B136" s="6" t="n">
        <v>179.875</v>
      </c>
    </row>
    <row r="137">
      <c r="A137" s="8" t="n">
        <v>2003</v>
      </c>
      <c r="B137" s="6" t="n">
        <v>183.9583</v>
      </c>
    </row>
    <row r="138">
      <c r="A138" s="8" t="n">
        <v>2004</v>
      </c>
      <c r="B138" s="6" t="n">
        <v>188.8833</v>
      </c>
    </row>
    <row r="139">
      <c r="A139" s="8" t="n">
        <v>2005</v>
      </c>
      <c r="B139" s="6" t="n">
        <v>195.2917</v>
      </c>
    </row>
    <row r="140">
      <c r="A140" s="8" t="n">
        <v>2006</v>
      </c>
      <c r="B140" s="6" t="n">
        <v>201.5917</v>
      </c>
    </row>
    <row r="141">
      <c r="A141" s="8" t="n">
        <v>2007</v>
      </c>
      <c r="B141" s="6" t="n">
        <v>207.3424</v>
      </c>
    </row>
    <row r="142">
      <c r="A142" s="8" t="n">
        <v>2008</v>
      </c>
      <c r="B142" s="6" t="n">
        <v>215.3025</v>
      </c>
    </row>
    <row r="143">
      <c r="A143" s="8" t="n">
        <v>2009</v>
      </c>
      <c r="B143" s="6" t="n">
        <v>214.537</v>
      </c>
    </row>
    <row r="144">
      <c r="A144" s="8" t="n">
        <v>2010</v>
      </c>
      <c r="B144" s="6" t="n">
        <v>218.0555</v>
      </c>
    </row>
    <row r="145">
      <c r="A145" s="8" t="n">
        <v>2011</v>
      </c>
      <c r="B145" s="6" t="n">
        <v>224.9392</v>
      </c>
    </row>
    <row r="146">
      <c r="A146" s="8" t="n">
        <v>2012</v>
      </c>
      <c r="B146" s="6" t="n">
        <v>229.5939</v>
      </c>
    </row>
    <row r="147">
      <c r="A147" s="8" t="n">
        <v>2013</v>
      </c>
      <c r="B147" s="6" t="n">
        <v>232.9571</v>
      </c>
    </row>
    <row r="148">
      <c r="A148" s="8" t="n">
        <v>2014</v>
      </c>
      <c r="B148" s="6" t="n">
        <v>236.7362</v>
      </c>
    </row>
    <row r="149">
      <c r="A149" s="8" t="n">
        <v>2015</v>
      </c>
      <c r="B149" s="6" t="n">
        <v>237.017</v>
      </c>
    </row>
    <row r="150">
      <c r="A150" s="8" t="n">
        <v>2016</v>
      </c>
      <c r="B150" s="6" t="n">
        <v>240.0072</v>
      </c>
    </row>
    <row r="151">
      <c r="A151" s="8" t="n">
        <v>2017</v>
      </c>
      <c r="B151" s="6" t="n">
        <v>245.1196</v>
      </c>
    </row>
    <row r="152">
      <c r="A152" s="8" t="n">
        <v>2018</v>
      </c>
      <c r="B152" s="6" t="n">
        <v>251.1068</v>
      </c>
    </row>
    <row r="153">
      <c r="A153" s="8" t="n">
        <v>2019</v>
      </c>
      <c r="B153" s="6" t="n">
        <v>255.6574</v>
      </c>
    </row>
    <row r="154">
      <c r="A154" s="8" t="n">
        <v>2020</v>
      </c>
      <c r="B154" s="6" t="n">
        <v>258.8112</v>
      </c>
    </row>
    <row r="155">
      <c r="A155" s="8" t="n">
        <v>2021</v>
      </c>
      <c r="B155" s="6" t="n">
        <v>270.9698</v>
      </c>
    </row>
    <row r="156">
      <c r="A156" s="8" t="n">
        <v>2022</v>
      </c>
      <c r="B156" s="6" t="n">
        <v>292.6549</v>
      </c>
    </row>
    <row r="157">
      <c r="A157" s="8" t="n">
        <v>2023</v>
      </c>
      <c r="B157" s="6" t="n">
        <v>304.7016</v>
      </c>
    </row>
    <row r="158">
      <c r="A158" s="8" t="n">
        <v>2024</v>
      </c>
      <c r="B158" s="6" t="n">
        <v>312.9937</v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1" customWidth="1" min="5" max="5"/>
    <col width="11" customWidth="1" min="6" max="6"/>
    <col width="13" customWidth="1" min="8" max="8"/>
    <col width="12" customWidth="1" min="9" max="9"/>
  </cols>
  <sheetData>
    <row r="1">
      <c r="A1" s="1" t="inlineStr">
        <is>
          <t>Small-cap: Ken French Lo-30 size (VW TR)  vs  Russell 2000 (IWM)</t>
        </is>
      </c>
    </row>
    <row r="2">
      <c r="A2" s="2" t="inlineStr">
        <is>
          <t>Why a proxy: Russell 2000 starts 1979 / S&amp;P 600 1994 — too late for long windows; Ken French reaches 1926.  Fit measured on overlapping annual total returns.</t>
        </is>
      </c>
      <c r="H2" t="inlineStr">
        <is>
          <t>Pearson r =</t>
        </is>
      </c>
      <c r="I2" s="8">
        <f>CORREL(B5:B30,C5:C30)</f>
        <v/>
      </c>
    </row>
    <row r="3">
      <c r="H3" t="inlineStr">
        <is>
          <t>Tracking err =</t>
        </is>
      </c>
      <c r="I3" s="8">
        <f>STDEV(D5:D30)</f>
        <v/>
      </c>
    </row>
    <row r="4">
      <c r="A4" s="7" t="inlineStr">
        <is>
          <t>Year</t>
        </is>
      </c>
      <c r="B4" s="7" t="inlineStr">
        <is>
          <t>Proxy return</t>
        </is>
      </c>
      <c r="C4" s="7" t="inlineStr">
        <is>
          <t>Russell 2000 (IWM) return</t>
        </is>
      </c>
      <c r="D4" s="7" t="inlineStr">
        <is>
          <t>Difference (=B-C)</t>
        </is>
      </c>
      <c r="E4" s="7" t="inlineStr">
        <is>
          <t>1+Proxy</t>
        </is>
      </c>
      <c r="F4" s="7" t="inlineStr">
        <is>
          <t>1+Index</t>
        </is>
      </c>
      <c r="H4" t="inlineStr">
        <is>
          <t>CAGR proxy =</t>
        </is>
      </c>
      <c r="I4" s="8">
        <f>GEOMEAN(E5:E30)-1</f>
        <v/>
      </c>
    </row>
    <row r="5">
      <c r="A5" s="8" t="n">
        <v>2001</v>
      </c>
      <c r="B5" s="6" t="n">
        <v>0.01863</v>
      </c>
      <c r="C5" s="6" t="n">
        <v>-0.050554</v>
      </c>
      <c r="D5" s="8">
        <f>B5-C5</f>
        <v/>
      </c>
      <c r="E5" s="8">
        <f>1+B5</f>
        <v/>
      </c>
      <c r="F5" s="8">
        <f>1+C5</f>
        <v/>
      </c>
      <c r="H5" t="inlineStr">
        <is>
          <t>CAGR index =</t>
        </is>
      </c>
      <c r="I5" s="8">
        <f>GEOMEAN(F5:F30)-1</f>
        <v/>
      </c>
    </row>
    <row r="6">
      <c r="A6" s="8" t="n">
        <v>2002</v>
      </c>
      <c r="B6" s="6" t="n">
        <v>0.00506</v>
      </c>
      <c r="C6" s="6" t="n">
        <v>-0.068985</v>
      </c>
      <c r="D6" s="8">
        <f>B6-C6</f>
        <v/>
      </c>
      <c r="E6" s="8">
        <f>1+B6</f>
        <v/>
      </c>
      <c r="F6" s="8">
        <f>1+C6</f>
        <v/>
      </c>
      <c r="H6" t="inlineStr">
        <is>
          <t>CAGR gap =</t>
        </is>
      </c>
      <c r="I6" s="8">
        <f>I4-I5</f>
        <v/>
      </c>
    </row>
    <row r="7">
      <c r="A7" s="8" t="n">
        <v>2003</v>
      </c>
      <c r="B7" s="6" t="n">
        <v>0.17709</v>
      </c>
      <c r="C7" s="6" t="n">
        <v>0.06551700000000001</v>
      </c>
      <c r="D7" s="8">
        <f>B7-C7</f>
        <v/>
      </c>
      <c r="E7" s="8">
        <f>1+B7</f>
        <v/>
      </c>
      <c r="F7" s="8">
        <f>1+C7</f>
        <v/>
      </c>
    </row>
    <row r="8">
      <c r="A8" s="8" t="n">
        <v>2004</v>
      </c>
      <c r="B8" s="6" t="n">
        <v>0.34731</v>
      </c>
      <c r="C8" s="6" t="n">
        <v>0.295562</v>
      </c>
      <c r="D8" s="8">
        <f>B8-C8</f>
        <v/>
      </c>
      <c r="E8" s="8">
        <f>1+B8</f>
        <v/>
      </c>
      <c r="F8" s="8">
        <f>1+C8</f>
        <v/>
      </c>
    </row>
    <row r="9">
      <c r="A9" s="8" t="n">
        <v>2005</v>
      </c>
      <c r="B9" s="6" t="n">
        <v>0.10832</v>
      </c>
      <c r="C9" s="6" t="n">
        <v>0.112284</v>
      </c>
      <c r="D9" s="8">
        <f>B9-C9</f>
        <v/>
      </c>
      <c r="E9" s="8">
        <f>1+B9</f>
        <v/>
      </c>
      <c r="F9" s="8">
        <f>1+C9</f>
        <v/>
      </c>
    </row>
    <row r="10">
      <c r="A10" s="8" t="n">
        <v>2006</v>
      </c>
      <c r="B10" s="6" t="n">
        <v>0.18397</v>
      </c>
      <c r="C10" s="6" t="n">
        <v>0.168131</v>
      </c>
      <c r="D10" s="8">
        <f>B10-C10</f>
        <v/>
      </c>
      <c r="E10" s="8">
        <f>1+B10</f>
        <v/>
      </c>
      <c r="F10" s="8">
        <f>1+C10</f>
        <v/>
      </c>
    </row>
    <row r="11">
      <c r="A11" s="8" t="n">
        <v>2007</v>
      </c>
      <c r="B11" s="6" t="n">
        <v>0.07398</v>
      </c>
      <c r="C11" s="6" t="n">
        <v>0.090569</v>
      </c>
      <c r="D11" s="8">
        <f>B11-C11</f>
        <v/>
      </c>
      <c r="E11" s="8">
        <f>1+B11</f>
        <v/>
      </c>
      <c r="F11" s="8">
        <f>1+C11</f>
        <v/>
      </c>
    </row>
    <row r="12">
      <c r="A12" s="8" t="n">
        <v>2008</v>
      </c>
      <c r="B12" s="6" t="n">
        <v>-0.2283</v>
      </c>
      <c r="C12" s="6" t="n">
        <v>-0.16935</v>
      </c>
      <c r="D12" s="8">
        <f>B12-C12</f>
        <v/>
      </c>
      <c r="E12" s="8">
        <f>1+B12</f>
        <v/>
      </c>
      <c r="F12" s="8">
        <f>1+C12</f>
        <v/>
      </c>
    </row>
    <row r="13">
      <c r="A13" s="8" t="n">
        <v>2009</v>
      </c>
      <c r="B13" s="6" t="n">
        <v>-0.17755</v>
      </c>
      <c r="C13" s="6" t="n">
        <v>-0.19155</v>
      </c>
      <c r="D13" s="8">
        <f>B13-C13</f>
        <v/>
      </c>
      <c r="E13" s="8">
        <f>1+B13</f>
        <v/>
      </c>
      <c r="F13" s="8">
        <f>1+C13</f>
        <v/>
      </c>
    </row>
    <row r="14">
      <c r="A14" s="8" t="n">
        <v>2010</v>
      </c>
      <c r="B14" s="6" t="n">
        <v>0.34642</v>
      </c>
      <c r="C14" s="6" t="n">
        <v>0.301144</v>
      </c>
      <c r="D14" s="8">
        <f>B14-C14</f>
        <v/>
      </c>
      <c r="E14" s="8">
        <f>1+B14</f>
        <v/>
      </c>
      <c r="F14" s="8">
        <f>1+C14</f>
        <v/>
      </c>
    </row>
    <row r="15">
      <c r="A15" s="8" t="n">
        <v>2011</v>
      </c>
      <c r="B15" s="6" t="n">
        <v>0.15274</v>
      </c>
      <c r="C15" s="6" t="n">
        <v>0.17986</v>
      </c>
      <c r="D15" s="8">
        <f>B15-C15</f>
        <v/>
      </c>
      <c r="E15" s="8">
        <f>1+B15</f>
        <v/>
      </c>
      <c r="F15" s="8">
        <f>1+C15</f>
        <v/>
      </c>
    </row>
    <row r="16">
      <c r="A16" s="8" t="n">
        <v>2012</v>
      </c>
      <c r="B16" s="6" t="n">
        <v>0.03441</v>
      </c>
      <c r="C16" s="6" t="n">
        <v>0.053424</v>
      </c>
      <c r="D16" s="8">
        <f>B16-C16</f>
        <v/>
      </c>
      <c r="E16" s="8">
        <f>1+B16</f>
        <v/>
      </c>
      <c r="F16" s="8">
        <f>1+C16</f>
        <v/>
      </c>
    </row>
    <row r="17">
      <c r="A17" s="8" t="n">
        <v>2013</v>
      </c>
      <c r="B17" s="6" t="n">
        <v>0.31387</v>
      </c>
      <c r="C17" s="6" t="n">
        <v>0.273077</v>
      </c>
      <c r="D17" s="8">
        <f>B17-C17</f>
        <v/>
      </c>
      <c r="E17" s="8">
        <f>1+B17</f>
        <v/>
      </c>
      <c r="F17" s="8">
        <f>1+C17</f>
        <v/>
      </c>
    </row>
    <row r="18">
      <c r="A18" s="8" t="n">
        <v>2014</v>
      </c>
      <c r="B18" s="6" t="n">
        <v>0.17493</v>
      </c>
      <c r="C18" s="6" t="n">
        <v>0.153164</v>
      </c>
      <c r="D18" s="8">
        <f>B18-C18</f>
        <v/>
      </c>
      <c r="E18" s="8">
        <f>1+B18</f>
        <v/>
      </c>
      <c r="F18" s="8">
        <f>1+C18</f>
        <v/>
      </c>
    </row>
    <row r="19">
      <c r="A19" s="8" t="n">
        <v>2015</v>
      </c>
      <c r="B19" s="6" t="n">
        <v>0.03707</v>
      </c>
      <c r="C19" s="6" t="n">
        <v>0.048175</v>
      </c>
      <c r="D19" s="8">
        <f>B19-C19</f>
        <v/>
      </c>
      <c r="E19" s="8">
        <f>1+B19</f>
        <v/>
      </c>
      <c r="F19" s="8">
        <f>1+C19</f>
        <v/>
      </c>
    </row>
    <row r="20">
      <c r="A20" s="8" t="n">
        <v>2016</v>
      </c>
      <c r="B20" s="6" t="n">
        <v>-0.00748</v>
      </c>
      <c r="C20" s="6" t="n">
        <v>0.004968</v>
      </c>
      <c r="D20" s="8">
        <f>B20-C20</f>
        <v/>
      </c>
      <c r="E20" s="8">
        <f>1+B20</f>
        <v/>
      </c>
      <c r="F20" s="8">
        <f>1+C20</f>
        <v/>
      </c>
    </row>
    <row r="21">
      <c r="A21" s="8" t="n">
        <v>2017</v>
      </c>
      <c r="B21" s="6" t="n">
        <v>0.25709</v>
      </c>
      <c r="C21" s="6" t="n">
        <v>0.229719</v>
      </c>
      <c r="D21" s="8">
        <f>B21-C21</f>
        <v/>
      </c>
      <c r="E21" s="8">
        <f>1+B21</f>
        <v/>
      </c>
      <c r="F21" s="8">
        <f>1+C21</f>
        <v/>
      </c>
    </row>
    <row r="22">
      <c r="A22" s="8" t="n">
        <v>2018</v>
      </c>
      <c r="B22" s="6" t="n">
        <v>0.13842</v>
      </c>
      <c r="C22" s="6" t="n">
        <v>0.113632</v>
      </c>
      <c r="D22" s="8">
        <f>B22-C22</f>
        <v/>
      </c>
      <c r="E22" s="8">
        <f>1+B22</f>
        <v/>
      </c>
      <c r="F22" s="8">
        <f>1+C22</f>
        <v/>
      </c>
    </row>
    <row r="23">
      <c r="A23" s="8" t="n">
        <v>2019</v>
      </c>
      <c r="B23" s="6" t="n">
        <v>-0.04581</v>
      </c>
      <c r="C23" s="6" t="n">
        <v>-0.000172</v>
      </c>
      <c r="D23" s="8">
        <f>B23-C23</f>
        <v/>
      </c>
      <c r="E23" s="8">
        <f>1+B23</f>
        <v/>
      </c>
      <c r="F23" s="8">
        <f>1+C23</f>
        <v/>
      </c>
    </row>
    <row r="24">
      <c r="A24" s="8" t="n">
        <v>2020</v>
      </c>
      <c r="B24" s="6" t="n">
        <v>-0.01828</v>
      </c>
      <c r="C24" s="6" t="n">
        <v>-0.008132</v>
      </c>
      <c r="D24" s="8">
        <f>B24-C24</f>
        <v/>
      </c>
      <c r="E24" s="8">
        <f>1+B24</f>
        <v/>
      </c>
      <c r="F24" s="8">
        <f>1+C24</f>
        <v/>
      </c>
    </row>
    <row r="25">
      <c r="A25" s="8" t="n">
        <v>2021</v>
      </c>
      <c r="B25" s="6" t="n">
        <v>0.67253</v>
      </c>
      <c r="C25" s="6" t="n">
        <v>0.48028</v>
      </c>
      <c r="D25" s="8">
        <f>B25-C25</f>
        <v/>
      </c>
      <c r="E25" s="8">
        <f>1+B25</f>
        <v/>
      </c>
      <c r="F25" s="8">
        <f>1+C25</f>
        <v/>
      </c>
    </row>
    <row r="26">
      <c r="A26" s="8" t="n">
        <v>2022</v>
      </c>
      <c r="B26" s="6" t="n">
        <v>-0.15835</v>
      </c>
      <c r="C26" s="6" t="n">
        <v>-0.152433</v>
      </c>
      <c r="D26" s="8">
        <f>B26-C26</f>
        <v/>
      </c>
      <c r="E26" s="8">
        <f>1+B26</f>
        <v/>
      </c>
      <c r="F26" s="8">
        <f>1+C26</f>
        <v/>
      </c>
    </row>
    <row r="27">
      <c r="A27" s="8" t="n">
        <v>2023</v>
      </c>
      <c r="B27" s="6" t="n">
        <v>-0.02751</v>
      </c>
      <c r="C27" s="6" t="n">
        <v>0.003554</v>
      </c>
      <c r="D27" s="8">
        <f>B27-C27</f>
        <v/>
      </c>
      <c r="E27" s="8">
        <f>1+B27</f>
        <v/>
      </c>
      <c r="F27" s="8">
        <f>1+C27</f>
        <v/>
      </c>
    </row>
    <row r="28">
      <c r="A28" s="8" t="n">
        <v>2024</v>
      </c>
      <c r="B28" s="6" t="n">
        <v>0.11834</v>
      </c>
      <c r="C28" s="6" t="n">
        <v>0.176629</v>
      </c>
      <c r="D28" s="8">
        <f>B28-C28</f>
        <v/>
      </c>
      <c r="E28" s="8">
        <f>1+B28</f>
        <v/>
      </c>
      <c r="F28" s="8">
        <f>1+C28</f>
        <v/>
      </c>
    </row>
    <row r="29">
      <c r="A29" s="8" t="n">
        <v>2025</v>
      </c>
      <c r="B29" s="6" t="n">
        <v>0.06245</v>
      </c>
      <c r="C29" s="6" t="n">
        <v>0.065648</v>
      </c>
      <c r="D29" s="8">
        <f>B29-C29</f>
        <v/>
      </c>
      <c r="E29" s="8">
        <f>1+B29</f>
        <v/>
      </c>
      <c r="F29" s="8">
        <f>1+C29</f>
        <v/>
      </c>
    </row>
    <row r="30">
      <c r="A30" s="8" t="n">
        <v>2026</v>
      </c>
      <c r="B30" s="6" t="n">
        <v>0.22243</v>
      </c>
      <c r="C30" s="6" t="n">
        <v>0.235563</v>
      </c>
      <c r="D30" s="8">
        <f>B30-C30</f>
        <v/>
      </c>
      <c r="E30" s="8">
        <f>1+B30</f>
        <v/>
      </c>
      <c r="F30" s="8">
        <f>1+C30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1" customWidth="1" min="5" max="5"/>
    <col width="11" customWidth="1" min="6" max="6"/>
    <col width="13" customWidth="1" min="8" max="8"/>
    <col width="12" customWidth="1" min="9" max="9"/>
  </cols>
  <sheetData>
    <row r="1">
      <c r="A1" s="1" t="inlineStr">
        <is>
          <t>Value: Ken French Hi-30 book/market (VW TR)  vs  Russell 1000 Value (IWD)</t>
        </is>
      </c>
    </row>
    <row r="2">
      <c r="A2" s="2" t="inlineStr">
        <is>
          <t>Why a proxy: Russell 1000 Value starts 1979; Ken French value reaches 1926.  Fit measured on overlapping annual total returns.</t>
        </is>
      </c>
      <c r="H2" t="inlineStr">
        <is>
          <t>Pearson r =</t>
        </is>
      </c>
      <c r="I2" s="8">
        <f>CORREL(B5:B30,C5:C30)</f>
        <v/>
      </c>
    </row>
    <row r="3">
      <c r="H3" t="inlineStr">
        <is>
          <t>Tracking err =</t>
        </is>
      </c>
      <c r="I3" s="8">
        <f>STDEV(D5:D30)</f>
        <v/>
      </c>
    </row>
    <row r="4">
      <c r="A4" s="7" t="inlineStr">
        <is>
          <t>Year</t>
        </is>
      </c>
      <c r="B4" s="7" t="inlineStr">
        <is>
          <t>Proxy return</t>
        </is>
      </c>
      <c r="C4" s="7" t="inlineStr">
        <is>
          <t>Russell 1000 Value (IWD) return</t>
        </is>
      </c>
      <c r="D4" s="7" t="inlineStr">
        <is>
          <t>Difference (=B-C)</t>
        </is>
      </c>
      <c r="E4" s="7" t="inlineStr">
        <is>
          <t>1+Proxy</t>
        </is>
      </c>
      <c r="F4" s="7" t="inlineStr">
        <is>
          <t>1+Index</t>
        </is>
      </c>
      <c r="H4" t="inlineStr">
        <is>
          <t>CAGR proxy =</t>
        </is>
      </c>
      <c r="I4" s="8">
        <f>GEOMEAN(E5:E30)-1</f>
        <v/>
      </c>
    </row>
    <row r="5">
      <c r="A5" s="8" t="n">
        <v>2001</v>
      </c>
      <c r="B5" s="6" t="n">
        <v>0.2104</v>
      </c>
      <c r="C5" s="6" t="n">
        <v>-0.003086</v>
      </c>
      <c r="D5" s="8">
        <f>B5-C5</f>
        <v/>
      </c>
      <c r="E5" s="8">
        <f>1+B5</f>
        <v/>
      </c>
      <c r="F5" s="8">
        <f>1+C5</f>
        <v/>
      </c>
      <c r="H5" t="inlineStr">
        <is>
          <t>CAGR index =</t>
        </is>
      </c>
      <c r="I5" s="8">
        <f>GEOMEAN(F5:F30)-1</f>
        <v/>
      </c>
    </row>
    <row r="6">
      <c r="A6" s="8" t="n">
        <v>2002</v>
      </c>
      <c r="B6" s="6" t="n">
        <v>-0.10195</v>
      </c>
      <c r="C6" s="6" t="n">
        <v>-0.090114</v>
      </c>
      <c r="D6" s="8">
        <f>B6-C6</f>
        <v/>
      </c>
      <c r="E6" s="8">
        <f>1+B6</f>
        <v/>
      </c>
      <c r="F6" s="8">
        <f>1+C6</f>
        <v/>
      </c>
      <c r="H6" t="inlineStr">
        <is>
          <t>CAGR gap =</t>
        </is>
      </c>
      <c r="I6" s="8">
        <f>I4-I5</f>
        <v/>
      </c>
    </row>
    <row r="7">
      <c r="A7" s="8" t="n">
        <v>2003</v>
      </c>
      <c r="B7" s="6" t="n">
        <v>0.00242</v>
      </c>
      <c r="C7" s="6" t="n">
        <v>0.01233</v>
      </c>
      <c r="D7" s="8">
        <f>B7-C7</f>
        <v/>
      </c>
      <c r="E7" s="8">
        <f>1+B7</f>
        <v/>
      </c>
      <c r="F7" s="8">
        <f>1+C7</f>
        <v/>
      </c>
    </row>
    <row r="8">
      <c r="A8" s="8" t="n">
        <v>2004</v>
      </c>
      <c r="B8" s="6" t="n">
        <v>0.30115</v>
      </c>
      <c r="C8" s="6" t="n">
        <v>0.240672</v>
      </c>
      <c r="D8" s="8">
        <f>B8-C8</f>
        <v/>
      </c>
      <c r="E8" s="8">
        <f>1+B8</f>
        <v/>
      </c>
      <c r="F8" s="8">
        <f>1+C8</f>
        <v/>
      </c>
    </row>
    <row r="9">
      <c r="A9" s="8" t="n">
        <v>2005</v>
      </c>
      <c r="B9" s="6" t="n">
        <v>0.19452</v>
      </c>
      <c r="C9" s="6" t="n">
        <v>0.132773</v>
      </c>
      <c r="D9" s="8">
        <f>B9-C9</f>
        <v/>
      </c>
      <c r="E9" s="8">
        <f>1+B9</f>
        <v/>
      </c>
      <c r="F9" s="8">
        <f>1+C9</f>
        <v/>
      </c>
    </row>
    <row r="10">
      <c r="A10" s="8" t="n">
        <v>2006</v>
      </c>
      <c r="B10" s="6" t="n">
        <v>0.17465</v>
      </c>
      <c r="C10" s="6" t="n">
        <v>0.152719</v>
      </c>
      <c r="D10" s="8">
        <f>B10-C10</f>
        <v/>
      </c>
      <c r="E10" s="8">
        <f>1+B10</f>
        <v/>
      </c>
      <c r="F10" s="8">
        <f>1+C10</f>
        <v/>
      </c>
    </row>
    <row r="11">
      <c r="A11" s="8" t="n">
        <v>2007</v>
      </c>
      <c r="B11" s="6" t="n">
        <v>0.11623</v>
      </c>
      <c r="C11" s="6" t="n">
        <v>0.138165</v>
      </c>
      <c r="D11" s="8">
        <f>B11-C11</f>
        <v/>
      </c>
      <c r="E11" s="8">
        <f>1+B11</f>
        <v/>
      </c>
      <c r="F11" s="8">
        <f>1+C11</f>
        <v/>
      </c>
    </row>
    <row r="12">
      <c r="A12" s="8" t="n">
        <v>2008</v>
      </c>
      <c r="B12" s="6" t="n">
        <v>-0.17345</v>
      </c>
      <c r="C12" s="6" t="n">
        <v>-0.191051</v>
      </c>
      <c r="D12" s="8">
        <f>B12-C12</f>
        <v/>
      </c>
      <c r="E12" s="8">
        <f>1+B12</f>
        <v/>
      </c>
      <c r="F12" s="8">
        <f>1+C12</f>
        <v/>
      </c>
    </row>
    <row r="13">
      <c r="A13" s="8" t="n">
        <v>2009</v>
      </c>
      <c r="B13" s="6" t="n">
        <v>-0.27114</v>
      </c>
      <c r="C13" s="6" t="n">
        <v>-0.235948</v>
      </c>
      <c r="D13" s="8">
        <f>B13-C13</f>
        <v/>
      </c>
      <c r="E13" s="8">
        <f>1+B13</f>
        <v/>
      </c>
      <c r="F13" s="8">
        <f>1+C13</f>
        <v/>
      </c>
    </row>
    <row r="14">
      <c r="A14" s="8" t="n">
        <v>2010</v>
      </c>
      <c r="B14" s="6" t="n">
        <v>0.22822</v>
      </c>
      <c r="C14" s="6" t="n">
        <v>0.221827</v>
      </c>
      <c r="D14" s="8">
        <f>B14-C14</f>
        <v/>
      </c>
      <c r="E14" s="8">
        <f>1+B14</f>
        <v/>
      </c>
      <c r="F14" s="8">
        <f>1+C14</f>
        <v/>
      </c>
    </row>
    <row r="15">
      <c r="A15" s="8" t="n">
        <v>2011</v>
      </c>
      <c r="B15" s="6" t="n">
        <v>0.05593</v>
      </c>
      <c r="C15" s="6" t="n">
        <v>0.135144</v>
      </c>
      <c r="D15" s="8">
        <f>B15-C15</f>
        <v/>
      </c>
      <c r="E15" s="8">
        <f>1+B15</f>
        <v/>
      </c>
      <c r="F15" s="8">
        <f>1+C15</f>
        <v/>
      </c>
    </row>
    <row r="16">
      <c r="A16" s="8" t="n">
        <v>2012</v>
      </c>
      <c r="B16" s="6" t="n">
        <v>0.06710000000000001</v>
      </c>
      <c r="C16" s="6" t="n">
        <v>0.08976199999999999</v>
      </c>
      <c r="D16" s="8">
        <f>B16-C16</f>
        <v/>
      </c>
      <c r="E16" s="8">
        <f>1+B16</f>
        <v/>
      </c>
      <c r="F16" s="8">
        <f>1+C16</f>
        <v/>
      </c>
    </row>
    <row r="17">
      <c r="A17" s="8" t="n">
        <v>2013</v>
      </c>
      <c r="B17" s="6" t="n">
        <v>0.35963</v>
      </c>
      <c r="C17" s="6" t="n">
        <v>0.253199</v>
      </c>
      <c r="D17" s="8">
        <f>B17-C17</f>
        <v/>
      </c>
      <c r="E17" s="8">
        <f>1+B17</f>
        <v/>
      </c>
      <c r="F17" s="8">
        <f>1+C17</f>
        <v/>
      </c>
    </row>
    <row r="18">
      <c r="A18" s="8" t="n">
        <v>2014</v>
      </c>
      <c r="B18" s="6" t="n">
        <v>0.19369</v>
      </c>
      <c r="C18" s="6" t="n">
        <v>0.190222</v>
      </c>
      <c r="D18" s="8">
        <f>B18-C18</f>
        <v/>
      </c>
      <c r="E18" s="8">
        <f>1+B18</f>
        <v/>
      </c>
      <c r="F18" s="8">
        <f>1+C18</f>
        <v/>
      </c>
    </row>
    <row r="19">
      <c r="A19" s="8" t="n">
        <v>2015</v>
      </c>
      <c r="B19" s="6" t="n">
        <v>0.00603</v>
      </c>
      <c r="C19" s="6" t="n">
        <v>0.039078</v>
      </c>
      <c r="D19" s="8">
        <f>B19-C19</f>
        <v/>
      </c>
      <c r="E19" s="8">
        <f>1+B19</f>
        <v/>
      </c>
      <c r="F19" s="8">
        <f>1+C19</f>
        <v/>
      </c>
    </row>
    <row r="20">
      <c r="A20" s="8" t="n">
        <v>2016</v>
      </c>
      <c r="B20" s="6" t="n">
        <v>0.01175</v>
      </c>
      <c r="C20" s="6" t="n">
        <v>0.043517</v>
      </c>
      <c r="D20" s="8">
        <f>B20-C20</f>
        <v/>
      </c>
      <c r="E20" s="8">
        <f>1+B20</f>
        <v/>
      </c>
      <c r="F20" s="8">
        <f>1+C20</f>
        <v/>
      </c>
    </row>
    <row r="21">
      <c r="A21" s="8" t="n">
        <v>2017</v>
      </c>
      <c r="B21" s="6" t="n">
        <v>0.27527</v>
      </c>
      <c r="C21" s="6" t="n">
        <v>0.167727</v>
      </c>
      <c r="D21" s="8">
        <f>B21-C21</f>
        <v/>
      </c>
      <c r="E21" s="8">
        <f>1+B21</f>
        <v/>
      </c>
      <c r="F21" s="8">
        <f>1+C21</f>
        <v/>
      </c>
    </row>
    <row r="22">
      <c r="A22" s="8" t="n">
        <v>2018</v>
      </c>
      <c r="B22" s="6" t="n">
        <v>0.09031</v>
      </c>
      <c r="C22" s="6" t="n">
        <v>0.065904</v>
      </c>
      <c r="D22" s="8">
        <f>B22-C22</f>
        <v/>
      </c>
      <c r="E22" s="8">
        <f>1+B22</f>
        <v/>
      </c>
      <c r="F22" s="8">
        <f>1+C22</f>
        <v/>
      </c>
    </row>
    <row r="23">
      <c r="A23" s="8" t="n">
        <v>2019</v>
      </c>
      <c r="B23" s="6" t="n">
        <v>-0.00942</v>
      </c>
      <c r="C23" s="6" t="n">
        <v>0.063787</v>
      </c>
      <c r="D23" s="8">
        <f>B23-C23</f>
        <v/>
      </c>
      <c r="E23" s="8">
        <f>1+B23</f>
        <v/>
      </c>
      <c r="F23" s="8">
        <f>1+C23</f>
        <v/>
      </c>
    </row>
    <row r="24">
      <c r="A24" s="8" t="n">
        <v>2020</v>
      </c>
      <c r="B24" s="6" t="n">
        <v>-0.11802</v>
      </c>
      <c r="C24" s="6" t="n">
        <v>-0.031172</v>
      </c>
      <c r="D24" s="8">
        <f>B24-C24</f>
        <v/>
      </c>
      <c r="E24" s="8">
        <f>1+B24</f>
        <v/>
      </c>
      <c r="F24" s="8">
        <f>1+C24</f>
        <v/>
      </c>
    </row>
    <row r="25">
      <c r="A25" s="8" t="n">
        <v>2021</v>
      </c>
      <c r="B25" s="6" t="n">
        <v>0.54694</v>
      </c>
      <c r="C25" s="6" t="n">
        <v>0.336951</v>
      </c>
      <c r="D25" s="8">
        <f>B25-C25</f>
        <v/>
      </c>
      <c r="E25" s="8">
        <f>1+B25</f>
        <v/>
      </c>
      <c r="F25" s="8">
        <f>1+C25</f>
        <v/>
      </c>
    </row>
    <row r="26">
      <c r="A26" s="8" t="n">
        <v>2022</v>
      </c>
      <c r="B26" s="6" t="n">
        <v>0.10892</v>
      </c>
      <c r="C26" s="6" t="n">
        <v>0.004273</v>
      </c>
      <c r="D26" s="8">
        <f>B26-C26</f>
        <v/>
      </c>
      <c r="E26" s="8">
        <f>1+B26</f>
        <v/>
      </c>
      <c r="F26" s="8">
        <f>1+C26</f>
        <v/>
      </c>
    </row>
    <row r="27">
      <c r="A27" s="8" t="n">
        <v>2023</v>
      </c>
      <c r="B27" s="6" t="n">
        <v>0.00522</v>
      </c>
      <c r="C27" s="6" t="n">
        <v>0.031338</v>
      </c>
      <c r="D27" s="8">
        <f>B27-C27</f>
        <v/>
      </c>
      <c r="E27" s="8">
        <f>1+B27</f>
        <v/>
      </c>
      <c r="F27" s="8">
        <f>1+C27</f>
        <v/>
      </c>
    </row>
    <row r="28">
      <c r="A28" s="8" t="n">
        <v>2024</v>
      </c>
      <c r="B28" s="6" t="n">
        <v>0.24964</v>
      </c>
      <c r="C28" s="6" t="n">
        <v>0.186437</v>
      </c>
      <c r="D28" s="8">
        <f>B28-C28</f>
        <v/>
      </c>
      <c r="E28" s="8">
        <f>1+B28</f>
        <v/>
      </c>
      <c r="F28" s="8">
        <f>1+C28</f>
        <v/>
      </c>
    </row>
    <row r="29">
      <c r="A29" s="8" t="n">
        <v>2025</v>
      </c>
      <c r="B29" s="6" t="n">
        <v>0.21187</v>
      </c>
      <c r="C29" s="6" t="n">
        <v>0.109791</v>
      </c>
      <c r="D29" s="8">
        <f>B29-C29</f>
        <v/>
      </c>
      <c r="E29" s="8">
        <f>1+B29</f>
        <v/>
      </c>
      <c r="F29" s="8">
        <f>1+C29</f>
        <v/>
      </c>
    </row>
    <row r="30">
      <c r="A30" s="8" t="n">
        <v>2026</v>
      </c>
      <c r="B30" s="6" t="n">
        <v>0.1997</v>
      </c>
      <c r="C30" s="6" t="n">
        <v>0.18651</v>
      </c>
      <c r="D30" s="8">
        <f>B30-C30</f>
        <v/>
      </c>
      <c r="E30" s="8">
        <f>1+B30</f>
        <v/>
      </c>
      <c r="F30" s="8">
        <f>1+C30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1" customWidth="1" min="5" max="5"/>
    <col width="11" customWidth="1" min="6" max="6"/>
    <col width="13" customWidth="1" min="8" max="8"/>
    <col width="12" customWidth="1" min="9" max="9"/>
  </cols>
  <sheetData>
    <row r="1">
      <c r="A1" s="1" t="inlineStr">
        <is>
          <t>Agg Bond: Synthetic 70% 5y-Tsy + 30% 7y-Baa blend  vs  Vanguard VBMFX</t>
        </is>
      </c>
    </row>
    <row r="2">
      <c r="A2" s="2" t="inlineStr">
        <is>
          <t>Why a proxy: The Bloomberg US Agg / VBMFX starts 1986; the synthetic extends it to 1954.  Fit measured on overlapping annual total returns.</t>
        </is>
      </c>
      <c r="H2" t="inlineStr">
        <is>
          <t>Pearson r =</t>
        </is>
      </c>
      <c r="I2" s="8">
        <f>CORREL(B5:B44,C5:C44)</f>
        <v/>
      </c>
    </row>
    <row r="3">
      <c r="H3" t="inlineStr">
        <is>
          <t>Tracking err =</t>
        </is>
      </c>
      <c r="I3" s="8">
        <f>STDEV(D5:D44)</f>
        <v/>
      </c>
    </row>
    <row r="4">
      <c r="A4" s="7" t="inlineStr">
        <is>
          <t>Year</t>
        </is>
      </c>
      <c r="B4" s="7" t="inlineStr">
        <is>
          <t>Proxy return</t>
        </is>
      </c>
      <c r="C4" s="7" t="inlineStr">
        <is>
          <t>Vanguard VBMFX return</t>
        </is>
      </c>
      <c r="D4" s="7" t="inlineStr">
        <is>
          <t>Difference (=B-C)</t>
        </is>
      </c>
      <c r="E4" s="7" t="inlineStr">
        <is>
          <t>1+Proxy</t>
        </is>
      </c>
      <c r="F4" s="7" t="inlineStr">
        <is>
          <t>1+Index</t>
        </is>
      </c>
      <c r="H4" t="inlineStr">
        <is>
          <t>CAGR proxy =</t>
        </is>
      </c>
      <c r="I4" s="8">
        <f>GEOMEAN(E5:E44)-1</f>
        <v/>
      </c>
    </row>
    <row r="5">
      <c r="A5" s="8" t="n">
        <v>1987</v>
      </c>
      <c r="B5" s="6" t="n">
        <v>0.061664</v>
      </c>
      <c r="C5" s="6" t="n">
        <v>-0.013823</v>
      </c>
      <c r="D5" s="8">
        <f>B5-C5</f>
        <v/>
      </c>
      <c r="E5" s="8">
        <f>1+B5</f>
        <v/>
      </c>
      <c r="F5" s="8">
        <f>1+C5</f>
        <v/>
      </c>
      <c r="H5" t="inlineStr">
        <is>
          <t>CAGR index =</t>
        </is>
      </c>
      <c r="I5" s="8">
        <f>GEOMEAN(F5:F44)-1</f>
        <v/>
      </c>
    </row>
    <row r="6">
      <c r="A6" s="8" t="n">
        <v>1988</v>
      </c>
      <c r="B6" s="6" t="n">
        <v>0.07396800000000001</v>
      </c>
      <c r="C6" s="6" t="n">
        <v>0.069953</v>
      </c>
      <c r="D6" s="8">
        <f>B6-C6</f>
        <v/>
      </c>
      <c r="E6" s="8">
        <f>1+B6</f>
        <v/>
      </c>
      <c r="F6" s="8">
        <f>1+C6</f>
        <v/>
      </c>
      <c r="H6" t="inlineStr">
        <is>
          <t>CAGR gap =</t>
        </is>
      </c>
      <c r="I6" s="8">
        <f>I4-I5</f>
        <v/>
      </c>
    </row>
    <row r="7">
      <c r="A7" s="8" t="n">
        <v>1989</v>
      </c>
      <c r="B7" s="6" t="n">
        <v>0.107364</v>
      </c>
      <c r="C7" s="6" t="n">
        <v>0.09964099999999999</v>
      </c>
      <c r="D7" s="8">
        <f>B7-C7</f>
        <v/>
      </c>
      <c r="E7" s="8">
        <f>1+B7</f>
        <v/>
      </c>
      <c r="F7" s="8">
        <f>1+C7</f>
        <v/>
      </c>
    </row>
    <row r="8">
      <c r="A8" s="8" t="n">
        <v>1990</v>
      </c>
      <c r="B8" s="6" t="n">
        <v>0.092389</v>
      </c>
      <c r="C8" s="6" t="n">
        <v>0.086349</v>
      </c>
      <c r="D8" s="8">
        <f>B8-C8</f>
        <v/>
      </c>
      <c r="E8" s="8">
        <f>1+B8</f>
        <v/>
      </c>
      <c r="F8" s="8">
        <f>1+C8</f>
        <v/>
      </c>
    </row>
    <row r="9">
      <c r="A9" s="8" t="n">
        <v>1991</v>
      </c>
      <c r="B9" s="6" t="n">
        <v>0.13046</v>
      </c>
      <c r="C9" s="6" t="n">
        <v>0.133893</v>
      </c>
      <c r="D9" s="8">
        <f>B9-C9</f>
        <v/>
      </c>
      <c r="E9" s="8">
        <f>1+B9</f>
        <v/>
      </c>
      <c r="F9" s="8">
        <f>1+C9</f>
        <v/>
      </c>
    </row>
    <row r="10">
      <c r="A10" s="8" t="n">
        <v>1992</v>
      </c>
      <c r="B10" s="6" t="n">
        <v>0.128859</v>
      </c>
      <c r="C10" s="6" t="n">
        <v>0.11417</v>
      </c>
      <c r="D10" s="8">
        <f>B10-C10</f>
        <v/>
      </c>
      <c r="E10" s="8">
        <f>1+B10</f>
        <v/>
      </c>
      <c r="F10" s="8">
        <f>1+C10</f>
        <v/>
      </c>
    </row>
    <row r="11">
      <c r="A11" s="8" t="n">
        <v>1993</v>
      </c>
      <c r="B11" s="6" t="n">
        <v>0.118129</v>
      </c>
      <c r="C11" s="6" t="n">
        <v>0.113974</v>
      </c>
      <c r="D11" s="8">
        <f>B11-C11</f>
        <v/>
      </c>
      <c r="E11" s="8">
        <f>1+B11</f>
        <v/>
      </c>
      <c r="F11" s="8">
        <f>1+C11</f>
        <v/>
      </c>
    </row>
    <row r="12">
      <c r="A12" s="8" t="n">
        <v>1994</v>
      </c>
      <c r="B12" s="6" t="n">
        <v>0.006706</v>
      </c>
      <c r="C12" s="6" t="n">
        <v>0.002618</v>
      </c>
      <c r="D12" s="8">
        <f>B12-C12</f>
        <v/>
      </c>
      <c r="E12" s="8">
        <f>1+B12</f>
        <v/>
      </c>
      <c r="F12" s="8">
        <f>1+C12</f>
        <v/>
      </c>
    </row>
    <row r="13">
      <c r="A13" s="8" t="n">
        <v>1995</v>
      </c>
      <c r="B13" s="6" t="n">
        <v>0.094301</v>
      </c>
      <c r="C13" s="6" t="n">
        <v>0.101174</v>
      </c>
      <c r="D13" s="8">
        <f>B13-C13</f>
        <v/>
      </c>
      <c r="E13" s="8">
        <f>1+B13</f>
        <v/>
      </c>
      <c r="F13" s="8">
        <f>1+C13</f>
        <v/>
      </c>
    </row>
    <row r="14">
      <c r="A14" s="8" t="n">
        <v>1996</v>
      </c>
      <c r="B14" s="6" t="n">
        <v>0.076115</v>
      </c>
      <c r="C14" s="6" t="n">
        <v>0.071816</v>
      </c>
      <c r="D14" s="8">
        <f>B14-C14</f>
        <v/>
      </c>
      <c r="E14" s="8">
        <f>1+B14</f>
        <v/>
      </c>
      <c r="F14" s="8">
        <f>1+C14</f>
        <v/>
      </c>
    </row>
    <row r="15">
      <c r="A15" s="8" t="n">
        <v>1997</v>
      </c>
      <c r="B15" s="6" t="n">
        <v>0.072437</v>
      </c>
      <c r="C15" s="6" t="n">
        <v>0.077733</v>
      </c>
      <c r="D15" s="8">
        <f>B15-C15</f>
        <v/>
      </c>
      <c r="E15" s="8">
        <f>1+B15</f>
        <v/>
      </c>
      <c r="F15" s="8">
        <f>1+C15</f>
        <v/>
      </c>
    </row>
    <row r="16">
      <c r="A16" s="8" t="n">
        <v>1998</v>
      </c>
      <c r="B16" s="6" t="n">
        <v>0.110339</v>
      </c>
      <c r="C16" s="6" t="n">
        <v>0.101717</v>
      </c>
      <c r="D16" s="8">
        <f>B16-C16</f>
        <v/>
      </c>
      <c r="E16" s="8">
        <f>1+B16</f>
        <v/>
      </c>
      <c r="F16" s="8">
        <f>1+C16</f>
        <v/>
      </c>
    </row>
    <row r="17">
      <c r="A17" s="8" t="n">
        <v>1999</v>
      </c>
      <c r="B17" s="6" t="n">
        <v>0.035728</v>
      </c>
      <c r="C17" s="6" t="n">
        <v>0.030336</v>
      </c>
      <c r="D17" s="8">
        <f>B17-C17</f>
        <v/>
      </c>
      <c r="E17" s="8">
        <f>1+B17</f>
        <v/>
      </c>
      <c r="F17" s="8">
        <f>1+C17</f>
        <v/>
      </c>
    </row>
    <row r="18">
      <c r="A18" s="8" t="n">
        <v>2000</v>
      </c>
      <c r="B18" s="6" t="n">
        <v>0.042484</v>
      </c>
      <c r="C18" s="6" t="n">
        <v>0.047857</v>
      </c>
      <c r="D18" s="8">
        <f>B18-C18</f>
        <v/>
      </c>
      <c r="E18" s="8">
        <f>1+B18</f>
        <v/>
      </c>
      <c r="F18" s="8">
        <f>1+C18</f>
        <v/>
      </c>
    </row>
    <row r="19">
      <c r="A19" s="8" t="n">
        <v>2001</v>
      </c>
      <c r="B19" s="6" t="n">
        <v>0.122822</v>
      </c>
      <c r="C19" s="6" t="n">
        <v>0.124466</v>
      </c>
      <c r="D19" s="8">
        <f>B19-C19</f>
        <v/>
      </c>
      <c r="E19" s="8">
        <f>1+B19</f>
        <v/>
      </c>
      <c r="F19" s="8">
        <f>1+C19</f>
        <v/>
      </c>
    </row>
    <row r="20">
      <c r="A20" s="8" t="n">
        <v>2002</v>
      </c>
      <c r="B20" s="6" t="n">
        <v>0.082496</v>
      </c>
      <c r="C20" s="6" t="n">
        <v>0.065193</v>
      </c>
      <c r="D20" s="8">
        <f>B20-C20</f>
        <v/>
      </c>
      <c r="E20" s="8">
        <f>1+B20</f>
        <v/>
      </c>
      <c r="F20" s="8">
        <f>1+C20</f>
        <v/>
      </c>
    </row>
    <row r="21">
      <c r="A21" s="8" t="n">
        <v>2003</v>
      </c>
      <c r="B21" s="6" t="n">
        <v>0.09038400000000001</v>
      </c>
      <c r="C21" s="6" t="n">
        <v>0.069503</v>
      </c>
      <c r="D21" s="8">
        <f>B21-C21</f>
        <v/>
      </c>
      <c r="E21" s="8">
        <f>1+B21</f>
        <v/>
      </c>
      <c r="F21" s="8">
        <f>1+C21</f>
        <v/>
      </c>
    </row>
    <row r="22">
      <c r="A22" s="8" t="n">
        <v>2004</v>
      </c>
      <c r="B22" s="6" t="n">
        <v>0.033566</v>
      </c>
      <c r="C22" s="6" t="n">
        <v>0.03605</v>
      </c>
      <c r="D22" s="8">
        <f>B22-C22</f>
        <v/>
      </c>
      <c r="E22" s="8">
        <f>1+B22</f>
        <v/>
      </c>
      <c r="F22" s="8">
        <f>1+C22</f>
        <v/>
      </c>
    </row>
    <row r="23">
      <c r="A23" s="8" t="n">
        <v>2005</v>
      </c>
      <c r="B23" s="6" t="n">
        <v>0.030766</v>
      </c>
      <c r="C23" s="6" t="n">
        <v>0.035952</v>
      </c>
      <c r="D23" s="8">
        <f>B23-C23</f>
        <v/>
      </c>
      <c r="E23" s="8">
        <f>1+B23</f>
        <v/>
      </c>
      <c r="F23" s="8">
        <f>1+C23</f>
        <v/>
      </c>
    </row>
    <row r="24">
      <c r="A24" s="8" t="n">
        <v>2006</v>
      </c>
      <c r="B24" s="6" t="n">
        <v>0.021704</v>
      </c>
      <c r="C24" s="6" t="n">
        <v>0.022388</v>
      </c>
      <c r="D24" s="8">
        <f>B24-C24</f>
        <v/>
      </c>
      <c r="E24" s="8">
        <f>1+B24</f>
        <v/>
      </c>
      <c r="F24" s="8">
        <f>1+C24</f>
        <v/>
      </c>
    </row>
    <row r="25">
      <c r="A25" s="8" t="n">
        <v>2007</v>
      </c>
      <c r="B25" s="6" t="n">
        <v>0.063898</v>
      </c>
      <c r="C25" s="6" t="n">
        <v>0.059014</v>
      </c>
      <c r="D25" s="8">
        <f>B25-C25</f>
        <v/>
      </c>
      <c r="E25" s="8">
        <f>1+B25</f>
        <v/>
      </c>
      <c r="F25" s="8">
        <f>1+C25</f>
        <v/>
      </c>
    </row>
    <row r="26">
      <c r="A26" s="8" t="n">
        <v>2008</v>
      </c>
      <c r="B26" s="6" t="n">
        <v>0.084637</v>
      </c>
      <c r="C26" s="6" t="n">
        <v>0.056764</v>
      </c>
      <c r="D26" s="8">
        <f>B26-C26</f>
        <v/>
      </c>
      <c r="E26" s="8">
        <f>1+B26</f>
        <v/>
      </c>
      <c r="F26" s="8">
        <f>1+C26</f>
        <v/>
      </c>
    </row>
    <row r="27">
      <c r="A27" s="8" t="n">
        <v>2009</v>
      </c>
      <c r="B27" s="6" t="n">
        <v>0.064549</v>
      </c>
      <c r="C27" s="6" t="n">
        <v>0.067533</v>
      </c>
      <c r="D27" s="8">
        <f>B27-C27</f>
        <v/>
      </c>
      <c r="E27" s="8">
        <f>1+B27</f>
        <v/>
      </c>
      <c r="F27" s="8">
        <f>1+C27</f>
        <v/>
      </c>
    </row>
    <row r="28">
      <c r="A28" s="8" t="n">
        <v>2010</v>
      </c>
      <c r="B28" s="6" t="n">
        <v>0.066721</v>
      </c>
      <c r="C28" s="6" t="n">
        <v>0.07974100000000001</v>
      </c>
      <c r="D28" s="8">
        <f>B28-C28</f>
        <v/>
      </c>
      <c r="E28" s="8">
        <f>1+B28</f>
        <v/>
      </c>
      <c r="F28" s="8">
        <f>1+C28</f>
        <v/>
      </c>
    </row>
    <row r="29">
      <c r="A29" s="8" t="n">
        <v>2011</v>
      </c>
      <c r="B29" s="6" t="n">
        <v>0.05101</v>
      </c>
      <c r="C29" s="6" t="n">
        <v>0.050089</v>
      </c>
      <c r="D29" s="8">
        <f>B29-C29</f>
        <v/>
      </c>
      <c r="E29" s="8">
        <f>1+B29</f>
        <v/>
      </c>
      <c r="F29" s="8">
        <f>1+C29</f>
        <v/>
      </c>
    </row>
    <row r="30">
      <c r="A30" s="8" t="n">
        <v>2012</v>
      </c>
      <c r="B30" s="6" t="n">
        <v>0.062692</v>
      </c>
      <c r="C30" s="6" t="n">
        <v>0.065469</v>
      </c>
      <c r="D30" s="8">
        <f>B30-C30</f>
        <v/>
      </c>
      <c r="E30" s="8">
        <f>1+B30</f>
        <v/>
      </c>
      <c r="F30" s="8">
        <f>1+C30</f>
        <v/>
      </c>
    </row>
    <row r="31">
      <c r="A31" s="8" t="n">
        <v>2013</v>
      </c>
      <c r="B31" s="6" t="n">
        <v>0.003609</v>
      </c>
      <c r="C31" s="6" t="n">
        <v>0.000449</v>
      </c>
      <c r="D31" s="8">
        <f>B31-C31</f>
        <v/>
      </c>
      <c r="E31" s="8">
        <f>1+B31</f>
        <v/>
      </c>
      <c r="F31" s="8">
        <f>1+C31</f>
        <v/>
      </c>
    </row>
    <row r="32">
      <c r="A32" s="8" t="n">
        <v>2014</v>
      </c>
      <c r="B32" s="6" t="n">
        <v>0.014094</v>
      </c>
      <c r="C32" s="6" t="n">
        <v>0.02747</v>
      </c>
      <c r="D32" s="8">
        <f>B32-C32</f>
        <v/>
      </c>
      <c r="E32" s="8">
        <f>1+B32</f>
        <v/>
      </c>
      <c r="F32" s="8">
        <f>1+C32</f>
        <v/>
      </c>
    </row>
    <row r="33">
      <c r="A33" s="8" t="n">
        <v>2015</v>
      </c>
      <c r="B33" s="6" t="n">
        <v>0.026789</v>
      </c>
      <c r="C33" s="6" t="n">
        <v>0.029037</v>
      </c>
      <c r="D33" s="8">
        <f>B33-C33</f>
        <v/>
      </c>
      <c r="E33" s="8">
        <f>1+B33</f>
        <v/>
      </c>
      <c r="F33" s="8">
        <f>1+C33</f>
        <v/>
      </c>
    </row>
    <row r="34">
      <c r="A34" s="8" t="n">
        <v>2016</v>
      </c>
      <c r="B34" s="6" t="n">
        <v>0.03723</v>
      </c>
      <c r="C34" s="6" t="n">
        <v>0.033041</v>
      </c>
      <c r="D34" s="8">
        <f>B34-C34</f>
        <v/>
      </c>
      <c r="E34" s="8">
        <f>1+B34</f>
        <v/>
      </c>
      <c r="F34" s="8">
        <f>1+C34</f>
        <v/>
      </c>
    </row>
    <row r="35">
      <c r="A35" s="8" t="n">
        <v>2017</v>
      </c>
      <c r="B35" s="6" t="n">
        <v>0.010591</v>
      </c>
      <c r="C35" s="6" t="n">
        <v>0.009117</v>
      </c>
      <c r="D35" s="8">
        <f>B35-C35</f>
        <v/>
      </c>
      <c r="E35" s="8">
        <f>1+B35</f>
        <v/>
      </c>
      <c r="F35" s="8">
        <f>1+C35</f>
        <v/>
      </c>
    </row>
    <row r="36">
      <c r="A36" s="8" t="n">
        <v>2018</v>
      </c>
      <c r="B36" s="6" t="n">
        <v>-0.004351</v>
      </c>
      <c r="C36" s="6" t="n">
        <v>-0.004947</v>
      </c>
      <c r="D36" s="8">
        <f>B36-C36</f>
        <v/>
      </c>
      <c r="E36" s="8">
        <f>1+B36</f>
        <v/>
      </c>
      <c r="F36" s="8">
        <f>1+C36</f>
        <v/>
      </c>
    </row>
    <row r="37">
      <c r="A37" s="8" t="n">
        <v>2019</v>
      </c>
      <c r="B37" s="6" t="n">
        <v>0.067819</v>
      </c>
      <c r="C37" s="6" t="n">
        <v>0.073684</v>
      </c>
      <c r="D37" s="8">
        <f>B37-C37</f>
        <v/>
      </c>
      <c r="E37" s="8">
        <f>1+B37</f>
        <v/>
      </c>
      <c r="F37" s="8">
        <f>1+C37</f>
        <v/>
      </c>
    </row>
    <row r="38">
      <c r="A38" s="8" t="n">
        <v>2020</v>
      </c>
      <c r="B38" s="6" t="n">
        <v>0.086073</v>
      </c>
      <c r="C38" s="6" t="n">
        <v>0.08661099999999999</v>
      </c>
      <c r="D38" s="8">
        <f>B38-C38</f>
        <v/>
      </c>
      <c r="E38" s="8">
        <f>1+B38</f>
        <v/>
      </c>
      <c r="F38" s="8">
        <f>1+C38</f>
        <v/>
      </c>
    </row>
    <row r="39">
      <c r="A39" s="8" t="n">
        <v>2021</v>
      </c>
      <c r="B39" s="6" t="n">
        <v>0.007003</v>
      </c>
      <c r="C39" s="6" t="n">
        <v>-0.00022</v>
      </c>
      <c r="D39" s="8">
        <f>B39-C39</f>
        <v/>
      </c>
      <c r="E39" s="8">
        <f>1+B39</f>
        <v/>
      </c>
      <c r="F39" s="8">
        <f>1+C39</f>
        <v/>
      </c>
    </row>
    <row r="40">
      <c r="A40" s="8" t="n">
        <v>2022</v>
      </c>
      <c r="B40" s="6" t="n">
        <v>-0.073796</v>
      </c>
      <c r="C40" s="6" t="n">
        <v>-0.096953</v>
      </c>
      <c r="D40" s="8">
        <f>B40-C40</f>
        <v/>
      </c>
      <c r="E40" s="8">
        <f>1+B40</f>
        <v/>
      </c>
      <c r="F40" s="8">
        <f>1+C40</f>
        <v/>
      </c>
    </row>
    <row r="41">
      <c r="A41" s="8" t="n">
        <v>2023</v>
      </c>
      <c r="B41" s="6" t="n">
        <v>-0.005843</v>
      </c>
      <c r="C41" s="6" t="n">
        <v>-0.021391</v>
      </c>
      <c r="D41" s="8">
        <f>B41-C41</f>
        <v/>
      </c>
      <c r="E41" s="8">
        <f>1+B41</f>
        <v/>
      </c>
      <c r="F41" s="8">
        <f>1+C41</f>
        <v/>
      </c>
    </row>
    <row r="42">
      <c r="A42" s="8" t="n">
        <v>2024</v>
      </c>
      <c r="B42" s="6" t="n">
        <v>0.047445</v>
      </c>
      <c r="C42" s="6" t="n">
        <v>0.04178</v>
      </c>
      <c r="D42" s="8">
        <f>B42-C42</f>
        <v/>
      </c>
      <c r="E42" s="8">
        <f>1+B42</f>
        <v/>
      </c>
      <c r="F42" s="8">
        <f>1+C42</f>
        <v/>
      </c>
    </row>
    <row r="43">
      <c r="A43" s="8" t="n">
        <v>2025</v>
      </c>
      <c r="B43" s="6" t="n">
        <v>0.04934</v>
      </c>
      <c r="C43" s="6" t="n">
        <v>0.047621</v>
      </c>
      <c r="D43" s="8">
        <f>B43-C43</f>
        <v/>
      </c>
      <c r="E43" s="8">
        <f>1+B43</f>
        <v/>
      </c>
      <c r="F43" s="8">
        <f>1+C43</f>
        <v/>
      </c>
    </row>
    <row r="44">
      <c r="A44" s="8" t="n">
        <v>2026</v>
      </c>
      <c r="B44" s="6" t="n">
        <v>0.03343</v>
      </c>
      <c r="C44" s="6" t="n">
        <v>0.029683</v>
      </c>
      <c r="D44" s="8">
        <f>B44-C44</f>
        <v/>
      </c>
      <c r="E44" s="8">
        <f>1+B44</f>
        <v/>
      </c>
      <c r="F44" s="8">
        <f>1+C44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1" customWidth="1" min="5" max="5"/>
    <col width="11" customWidth="1" min="6" max="6"/>
    <col width="13" customWidth="1" min="8" max="8"/>
    <col width="12" customWidth="1" min="9" max="9"/>
  </cols>
  <sheetData>
    <row r="1">
      <c r="A1" s="1" t="inlineStr">
        <is>
          <t>10y Treasury: Synthetic constant-maturity 10y par-bond reprice (Shiller GS10)  vs  iShares 7-10y Tsy (IEF)</t>
        </is>
      </c>
    </row>
    <row r="2">
      <c r="A2" s="2" t="inlineStr">
        <is>
          <t>Why a proxy: No free actual 10y-UST total-return index pre-2002; the yield reprice reconstructs it to 1901.  Fit measured on overlapping annual total returns.</t>
        </is>
      </c>
      <c r="H2" t="inlineStr">
        <is>
          <t>Pearson r =</t>
        </is>
      </c>
      <c r="I2" s="8">
        <f>CORREL(B5:B27,C5:C27)</f>
        <v/>
      </c>
    </row>
    <row r="3">
      <c r="H3" t="inlineStr">
        <is>
          <t>Tracking err =</t>
        </is>
      </c>
      <c r="I3" s="8">
        <f>STDEV(D5:D27)</f>
        <v/>
      </c>
    </row>
    <row r="4">
      <c r="A4" s="7" t="inlineStr">
        <is>
          <t>Year</t>
        </is>
      </c>
      <c r="B4" s="7" t="inlineStr">
        <is>
          <t>Proxy return</t>
        </is>
      </c>
      <c r="C4" s="7" t="inlineStr">
        <is>
          <t>iShares 7-10y Tsy (IEF) return</t>
        </is>
      </c>
      <c r="D4" s="7" t="inlineStr">
        <is>
          <t>Difference (=B-C)</t>
        </is>
      </c>
      <c r="E4" s="7" t="inlineStr">
        <is>
          <t>1+Proxy</t>
        </is>
      </c>
      <c r="F4" s="7" t="inlineStr">
        <is>
          <t>1+Index</t>
        </is>
      </c>
      <c r="H4" t="inlineStr">
        <is>
          <t>CAGR proxy =</t>
        </is>
      </c>
      <c r="I4" s="8">
        <f>GEOMEAN(E5:E27)-1</f>
        <v/>
      </c>
    </row>
    <row r="5">
      <c r="A5" s="8" t="n">
        <v>2003</v>
      </c>
      <c r="B5" s="6" t="n">
        <v>0.09026000000000001</v>
      </c>
      <c r="C5" s="6" t="n">
        <v>0.039372</v>
      </c>
      <c r="D5" s="8">
        <f>B5-C5</f>
        <v/>
      </c>
      <c r="E5" s="8">
        <f>1+B5</f>
        <v/>
      </c>
      <c r="F5" s="8">
        <f>1+C5</f>
        <v/>
      </c>
      <c r="H5" t="inlineStr">
        <is>
          <t>CAGR index =</t>
        </is>
      </c>
      <c r="I5" s="8">
        <f>GEOMEAN(F5:F27)-1</f>
        <v/>
      </c>
    </row>
    <row r="6">
      <c r="A6" s="8" t="n">
        <v>2004</v>
      </c>
      <c r="B6" s="6" t="n">
        <v>0.01994</v>
      </c>
      <c r="C6" s="6" t="n">
        <v>0.054682</v>
      </c>
      <c r="D6" s="8">
        <f>B6-C6</f>
        <v/>
      </c>
      <c r="E6" s="8">
        <f>1+B6</f>
        <v/>
      </c>
      <c r="F6" s="8">
        <f>1+C6</f>
        <v/>
      </c>
      <c r="H6" t="inlineStr">
        <is>
          <t>CAGR gap =</t>
        </is>
      </c>
      <c r="I6" s="8">
        <f>I4-I5</f>
        <v/>
      </c>
    </row>
    <row r="7">
      <c r="A7" s="8" t="n">
        <v>2005</v>
      </c>
      <c r="B7" s="6" t="n">
        <v>0.04141</v>
      </c>
      <c r="C7" s="6" t="n">
        <v>0.036202</v>
      </c>
      <c r="D7" s="8">
        <f>B7-C7</f>
        <v/>
      </c>
      <c r="E7" s="8">
        <f>1+B7</f>
        <v/>
      </c>
      <c r="F7" s="8">
        <f>1+C7</f>
        <v/>
      </c>
    </row>
    <row r="8">
      <c r="A8" s="8" t="n">
        <v>2006</v>
      </c>
      <c r="B8" s="6" t="n">
        <v>0.00576</v>
      </c>
      <c r="C8" s="6" t="n">
        <v>0.007821</v>
      </c>
      <c r="D8" s="8">
        <f>B8-C8</f>
        <v/>
      </c>
      <c r="E8" s="8">
        <f>1+B8</f>
        <v/>
      </c>
      <c r="F8" s="8">
        <f>1+C8</f>
        <v/>
      </c>
    </row>
    <row r="9">
      <c r="A9" s="8" t="n">
        <v>2007</v>
      </c>
      <c r="B9" s="6" t="n">
        <v>0.06201</v>
      </c>
      <c r="C9" s="6" t="n">
        <v>0.064425</v>
      </c>
      <c r="D9" s="8">
        <f>B9-C9</f>
        <v/>
      </c>
      <c r="E9" s="8">
        <f>1+B9</f>
        <v/>
      </c>
      <c r="F9" s="8">
        <f>1+C9</f>
        <v/>
      </c>
    </row>
    <row r="10">
      <c r="A10" s="8" t="n">
        <v>2008</v>
      </c>
      <c r="B10" s="6" t="n">
        <v>0.12608</v>
      </c>
      <c r="C10" s="6" t="n">
        <v>0.126301</v>
      </c>
      <c r="D10" s="8">
        <f>B10-C10</f>
        <v/>
      </c>
      <c r="E10" s="8">
        <f>1+B10</f>
        <v/>
      </c>
      <c r="F10" s="8">
        <f>1+C10</f>
        <v/>
      </c>
    </row>
    <row r="11">
      <c r="A11" s="8" t="n">
        <v>2009</v>
      </c>
      <c r="B11" s="6" t="n">
        <v>0.06665</v>
      </c>
      <c r="C11" s="6" t="n">
        <v>0.06357599999999999</v>
      </c>
      <c r="D11" s="8">
        <f>B11-C11</f>
        <v/>
      </c>
      <c r="E11" s="8">
        <f>1+B11</f>
        <v/>
      </c>
      <c r="F11" s="8">
        <f>1+C11</f>
        <v/>
      </c>
    </row>
    <row r="12">
      <c r="A12" s="8" t="n">
        <v>2010</v>
      </c>
      <c r="B12" s="6" t="n">
        <v>0.03873</v>
      </c>
      <c r="C12" s="6" t="n">
        <v>0.06265900000000001</v>
      </c>
      <c r="D12" s="8">
        <f>B12-C12</f>
        <v/>
      </c>
      <c r="E12" s="8">
        <f>1+B12</f>
        <v/>
      </c>
      <c r="F12" s="8">
        <f>1+C12</f>
        <v/>
      </c>
    </row>
    <row r="13">
      <c r="A13" s="8" t="n">
        <v>2011</v>
      </c>
      <c r="B13" s="6" t="n">
        <v>0.06948</v>
      </c>
      <c r="C13" s="6" t="n">
        <v>0.07789699999999999</v>
      </c>
      <c r="D13" s="8">
        <f>B13-C13</f>
        <v/>
      </c>
      <c r="E13" s="8">
        <f>1+B13</f>
        <v/>
      </c>
      <c r="F13" s="8">
        <f>1+C13</f>
        <v/>
      </c>
    </row>
    <row r="14">
      <c r="A14" s="8" t="n">
        <v>2012</v>
      </c>
      <c r="B14" s="6" t="n">
        <v>0.1113</v>
      </c>
      <c r="C14" s="6" t="n">
        <v>0.110693</v>
      </c>
      <c r="D14" s="8">
        <f>B14-C14</f>
        <v/>
      </c>
      <c r="E14" s="8">
        <f>1+B14</f>
        <v/>
      </c>
      <c r="F14" s="8">
        <f>1+C14</f>
        <v/>
      </c>
    </row>
    <row r="15">
      <c r="A15" s="8" t="n">
        <v>2013</v>
      </c>
      <c r="B15" s="6" t="n">
        <v>-0.02943</v>
      </c>
      <c r="C15" s="6" t="n">
        <v>-0.01691</v>
      </c>
      <c r="D15" s="8">
        <f>B15-C15</f>
        <v/>
      </c>
      <c r="E15" s="8">
        <f>1+B15</f>
        <v/>
      </c>
      <c r="F15" s="8">
        <f>1+C15</f>
        <v/>
      </c>
    </row>
    <row r="16">
      <c r="A16" s="8" t="n">
        <v>2014</v>
      </c>
      <c r="B16" s="6" t="n">
        <v>0.00842</v>
      </c>
      <c r="C16" s="6" t="n">
        <v>0.019272</v>
      </c>
      <c r="D16" s="8">
        <f>B16-C16</f>
        <v/>
      </c>
      <c r="E16" s="8">
        <f>1+B16</f>
        <v/>
      </c>
      <c r="F16" s="8">
        <f>1+C16</f>
        <v/>
      </c>
    </row>
    <row r="17">
      <c r="A17" s="8" t="n">
        <v>2015</v>
      </c>
      <c r="B17" s="6" t="n">
        <v>0.05939</v>
      </c>
      <c r="C17" s="6" t="n">
        <v>0.05337</v>
      </c>
      <c r="D17" s="8">
        <f>B17-C17</f>
        <v/>
      </c>
      <c r="E17" s="8">
        <f>1+B17</f>
        <v/>
      </c>
      <c r="F17" s="8">
        <f>1+C17</f>
        <v/>
      </c>
    </row>
    <row r="18">
      <c r="A18" s="8" t="n">
        <v>2016</v>
      </c>
      <c r="B18" s="6" t="n">
        <v>0.04744</v>
      </c>
      <c r="C18" s="6" t="n">
        <v>0.045098</v>
      </c>
      <c r="D18" s="8">
        <f>B18-C18</f>
        <v/>
      </c>
      <c r="E18" s="8">
        <f>1+B18</f>
        <v/>
      </c>
      <c r="F18" s="8">
        <f>1+C18</f>
        <v/>
      </c>
    </row>
    <row r="19">
      <c r="A19" s="8" t="n">
        <v>2017</v>
      </c>
      <c r="B19" s="6" t="n">
        <v>-0.02337</v>
      </c>
      <c r="C19" s="6" t="n">
        <v>-0.016016</v>
      </c>
      <c r="D19" s="8">
        <f>B19-C19</f>
        <v/>
      </c>
      <c r="E19" s="8">
        <f>1+B19</f>
        <v/>
      </c>
      <c r="F19" s="8">
        <f>1+C19</f>
        <v/>
      </c>
    </row>
    <row r="20">
      <c r="A20" s="8" t="n">
        <v>2018</v>
      </c>
      <c r="B20" s="6" t="n">
        <v>-0.02472</v>
      </c>
      <c r="C20" s="6" t="n">
        <v>-0.018964</v>
      </c>
      <c r="D20" s="8">
        <f>B20-C20</f>
        <v/>
      </c>
      <c r="E20" s="8">
        <f>1+B20</f>
        <v/>
      </c>
      <c r="F20" s="8">
        <f>1+C20</f>
        <v/>
      </c>
    </row>
    <row r="21">
      <c r="A21" s="8" t="n">
        <v>2019</v>
      </c>
      <c r="B21" s="6" t="n">
        <v>0.10236</v>
      </c>
      <c r="C21" s="6" t="n">
        <v>0.093653</v>
      </c>
      <c r="D21" s="8">
        <f>B21-C21</f>
        <v/>
      </c>
      <c r="E21" s="8">
        <f>1+B21</f>
        <v/>
      </c>
      <c r="F21" s="8">
        <f>1+C21</f>
        <v/>
      </c>
    </row>
    <row r="22">
      <c r="A22" s="8" t="n">
        <v>2020</v>
      </c>
      <c r="B22" s="6" t="n">
        <v>0.13339</v>
      </c>
      <c r="C22" s="6" t="n">
        <v>0.120867</v>
      </c>
      <c r="D22" s="8">
        <f>B22-C22</f>
        <v/>
      </c>
      <c r="E22" s="8">
        <f>1+B22</f>
        <v/>
      </c>
      <c r="F22" s="8">
        <f>1+C22</f>
        <v/>
      </c>
    </row>
    <row r="23">
      <c r="A23" s="8" t="n">
        <v>2021</v>
      </c>
      <c r="B23" s="6" t="n">
        <v>-0.04105</v>
      </c>
      <c r="C23" s="6" t="n">
        <v>-0.031686</v>
      </c>
      <c r="D23" s="8">
        <f>B23-C23</f>
        <v/>
      </c>
      <c r="E23" s="8">
        <f>1+B23</f>
        <v/>
      </c>
      <c r="F23" s="8">
        <f>1+C23</f>
        <v/>
      </c>
    </row>
    <row r="24">
      <c r="A24" s="8" t="n">
        <v>2022</v>
      </c>
      <c r="B24" s="6" t="n">
        <v>-0.10717</v>
      </c>
      <c r="C24" s="6" t="n">
        <v>-0.103024</v>
      </c>
      <c r="D24" s="8">
        <f>B24-C24</f>
        <v/>
      </c>
      <c r="E24" s="8">
        <f>1+B24</f>
        <v/>
      </c>
      <c r="F24" s="8">
        <f>1+C24</f>
        <v/>
      </c>
    </row>
    <row r="25">
      <c r="A25" s="8" t="n">
        <v>2023</v>
      </c>
      <c r="B25" s="6" t="n">
        <v>-0.05041</v>
      </c>
      <c r="C25" s="6" t="n">
        <v>-0.043407</v>
      </c>
      <c r="D25" s="8">
        <f>B25-C25</f>
        <v/>
      </c>
      <c r="E25" s="8">
        <f>1+B25</f>
        <v/>
      </c>
      <c r="F25" s="8">
        <f>1+C25</f>
        <v/>
      </c>
    </row>
    <row r="26">
      <c r="A26" s="8" t="n">
        <v>2024</v>
      </c>
      <c r="B26" s="6" t="n">
        <v>0.01961</v>
      </c>
      <c r="C26" s="6" t="n">
        <v>0.020759</v>
      </c>
      <c r="D26" s="8">
        <f>B26-C26</f>
        <v/>
      </c>
      <c r="E26" s="8">
        <f>1+B26</f>
        <v/>
      </c>
      <c r="F26" s="8">
        <f>1+C26</f>
        <v/>
      </c>
    </row>
    <row r="27">
      <c r="A27" s="8" t="n">
        <v>2025</v>
      </c>
      <c r="B27" s="6" t="n">
        <v>0.03718</v>
      </c>
      <c r="C27" s="6" t="n">
        <v>0.048179</v>
      </c>
      <c r="D27" s="8">
        <f>B27-C27</f>
        <v/>
      </c>
      <c r="E27" s="8">
        <f>1+B27</f>
        <v/>
      </c>
      <c r="F27" s="8">
        <f>1+C27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1" customWidth="1" min="5" max="5"/>
    <col width="11" customWidth="1" min="6" max="6"/>
    <col width="13" customWidth="1" min="8" max="8"/>
    <col width="12" customWidth="1" min="9" max="9"/>
  </cols>
  <sheetData>
    <row r="1">
      <c r="A1" s="1" t="inlineStr">
        <is>
          <t>IG corporate: Synthetic ~20y Baa par-bond reprice (FRED BAA)  vs  iShares IG corp (LQD)</t>
        </is>
      </c>
    </row>
    <row r="2">
      <c r="A2" s="2" t="inlineStr">
        <is>
          <t>Why a proxy: No free actual IG-corporate total-return index pre-2002; the Baa-yield reprice reconstructs it to 1919.  Fit measured on overlapping annual total returns.</t>
        </is>
      </c>
      <c r="H2" t="inlineStr">
        <is>
          <t>Pearson r =</t>
        </is>
      </c>
      <c r="I2" s="8">
        <f>CORREL(B5:B28,C5:C28)</f>
        <v/>
      </c>
    </row>
    <row r="3">
      <c r="H3" t="inlineStr">
        <is>
          <t>Tracking err =</t>
        </is>
      </c>
      <c r="I3" s="8">
        <f>STDEV(D5:D28)</f>
        <v/>
      </c>
    </row>
    <row r="4">
      <c r="A4" s="7" t="inlineStr">
        <is>
          <t>Year</t>
        </is>
      </c>
      <c r="B4" s="7" t="inlineStr">
        <is>
          <t>Proxy return</t>
        </is>
      </c>
      <c r="C4" s="7" t="inlineStr">
        <is>
          <t>iShares IG corp (LQD) return</t>
        </is>
      </c>
      <c r="D4" s="7" t="inlineStr">
        <is>
          <t>Difference (=B-C)</t>
        </is>
      </c>
      <c r="E4" s="7" t="inlineStr">
        <is>
          <t>1+Proxy</t>
        </is>
      </c>
      <c r="F4" s="7" t="inlineStr">
        <is>
          <t>1+Index</t>
        </is>
      </c>
      <c r="H4" t="inlineStr">
        <is>
          <t>CAGR proxy =</t>
        </is>
      </c>
      <c r="I4" s="8">
        <f>GEOMEAN(E5:E28)-1</f>
        <v/>
      </c>
    </row>
    <row r="5">
      <c r="A5" s="8" t="n">
        <v>2003</v>
      </c>
      <c r="B5" s="6" t="n">
        <v>0.19593</v>
      </c>
      <c r="C5" s="6" t="n">
        <v>0.081319</v>
      </c>
      <c r="D5" s="8">
        <f>B5-C5</f>
        <v/>
      </c>
      <c r="E5" s="8">
        <f>1+B5</f>
        <v/>
      </c>
      <c r="F5" s="8">
        <f>1+C5</f>
        <v/>
      </c>
      <c r="H5" t="inlineStr">
        <is>
          <t>CAGR index =</t>
        </is>
      </c>
      <c r="I5" s="8">
        <f>GEOMEAN(F5:F28)-1</f>
        <v/>
      </c>
    </row>
    <row r="6">
      <c r="A6" s="8" t="n">
        <v>2004</v>
      </c>
      <c r="B6" s="6" t="n">
        <v>0.11026</v>
      </c>
      <c r="C6" s="6" t="n">
        <v>0.074268</v>
      </c>
      <c r="D6" s="8">
        <f>B6-C6</f>
        <v/>
      </c>
      <c r="E6" s="8">
        <f>1+B6</f>
        <v/>
      </c>
      <c r="F6" s="8">
        <f>1+C6</f>
        <v/>
      </c>
      <c r="H6" t="inlineStr">
        <is>
          <t>CAGR gap =</t>
        </is>
      </c>
      <c r="I6" s="8">
        <f>I4-I5</f>
        <v/>
      </c>
    </row>
    <row r="7">
      <c r="A7" s="8" t="n">
        <v>2005</v>
      </c>
      <c r="B7" s="6" t="n">
        <v>0.10249</v>
      </c>
      <c r="C7" s="6" t="n">
        <v>0.041108</v>
      </c>
      <c r="D7" s="8">
        <f>B7-C7</f>
        <v/>
      </c>
      <c r="E7" s="8">
        <f>1+B7</f>
        <v/>
      </c>
      <c r="F7" s="8">
        <f>1+C7</f>
        <v/>
      </c>
    </row>
    <row r="8">
      <c r="A8" s="8" t="n">
        <v>2006</v>
      </c>
      <c r="B8" s="6" t="n">
        <v>0.01673</v>
      </c>
      <c r="C8" s="6" t="n">
        <v>0.009436</v>
      </c>
      <c r="D8" s="8">
        <f>B8-C8</f>
        <v/>
      </c>
      <c r="E8" s="8">
        <f>1+B8</f>
        <v/>
      </c>
      <c r="F8" s="8">
        <f>1+C8</f>
        <v/>
      </c>
    </row>
    <row r="9">
      <c r="A9" s="8" t="n">
        <v>2007</v>
      </c>
      <c r="B9" s="6" t="n">
        <v>0.06511</v>
      </c>
      <c r="C9" s="6" t="n">
        <v>0.052975</v>
      </c>
      <c r="D9" s="8">
        <f>B9-C9</f>
        <v/>
      </c>
      <c r="E9" s="8">
        <f>1+B9</f>
        <v/>
      </c>
      <c r="F9" s="8">
        <f>1+C9</f>
        <v/>
      </c>
    </row>
    <row r="10">
      <c r="A10" s="8" t="n">
        <v>2008</v>
      </c>
      <c r="B10" s="6" t="n">
        <v>-0.03066</v>
      </c>
      <c r="C10" s="6" t="n">
        <v>-0.003763</v>
      </c>
      <c r="D10" s="8">
        <f>B10-C10</f>
        <v/>
      </c>
      <c r="E10" s="8">
        <f>1+B10</f>
        <v/>
      </c>
      <c r="F10" s="8">
        <f>1+C10</f>
        <v/>
      </c>
    </row>
    <row r="11">
      <c r="A11" s="8" t="n">
        <v>2009</v>
      </c>
      <c r="B11" s="6" t="n">
        <v>0.09789</v>
      </c>
      <c r="C11" s="6" t="n">
        <v>0.073071</v>
      </c>
      <c r="D11" s="8">
        <f>B11-C11</f>
        <v/>
      </c>
      <c r="E11" s="8">
        <f>1+B11</f>
        <v/>
      </c>
      <c r="F11" s="8">
        <f>1+C11</f>
        <v/>
      </c>
    </row>
    <row r="12">
      <c r="A12" s="8" t="n">
        <v>2010</v>
      </c>
      <c r="B12" s="6" t="n">
        <v>0.21258</v>
      </c>
      <c r="C12" s="6" t="n">
        <v>0.131632</v>
      </c>
      <c r="D12" s="8">
        <f>B12-C12</f>
        <v/>
      </c>
      <c r="E12" s="8">
        <f>1+B12</f>
        <v/>
      </c>
      <c r="F12" s="8">
        <f>1+C12</f>
        <v/>
      </c>
    </row>
    <row r="13">
      <c r="A13" s="8" t="n">
        <v>2011</v>
      </c>
      <c r="B13" s="6" t="n">
        <v>0.10819</v>
      </c>
      <c r="C13" s="6" t="n">
        <v>0.071465</v>
      </c>
      <c r="D13" s="8">
        <f>B13-C13</f>
        <v/>
      </c>
      <c r="E13" s="8">
        <f>1+B13</f>
        <v/>
      </c>
      <c r="F13" s="8">
        <f>1+C13</f>
        <v/>
      </c>
    </row>
    <row r="14">
      <c r="A14" s="8" t="n">
        <v>2012</v>
      </c>
      <c r="B14" s="6" t="n">
        <v>0.14986</v>
      </c>
      <c r="C14" s="6" t="n">
        <v>0.118741</v>
      </c>
      <c r="D14" s="8">
        <f>B14-C14</f>
        <v/>
      </c>
      <c r="E14" s="8">
        <f>1+B14</f>
        <v/>
      </c>
      <c r="F14" s="8">
        <f>1+C14</f>
        <v/>
      </c>
    </row>
    <row r="15">
      <c r="A15" s="8" t="n">
        <v>2013</v>
      </c>
      <c r="B15" s="6" t="n">
        <v>0.02704</v>
      </c>
      <c r="C15" s="6" t="n">
        <v>0.011956</v>
      </c>
      <c r="D15" s="8">
        <f>B15-C15</f>
        <v/>
      </c>
      <c r="E15" s="8">
        <f>1+B15</f>
        <v/>
      </c>
      <c r="F15" s="8">
        <f>1+C15</f>
        <v/>
      </c>
    </row>
    <row r="16">
      <c r="A16" s="8" t="n">
        <v>2014</v>
      </c>
      <c r="B16" s="6" t="n">
        <v>0.08423</v>
      </c>
      <c r="C16" s="6" t="n">
        <v>0.056472</v>
      </c>
      <c r="D16" s="8">
        <f>B16-C16</f>
        <v/>
      </c>
      <c r="E16" s="8">
        <f>1+B16</f>
        <v/>
      </c>
      <c r="F16" s="8">
        <f>1+C16</f>
        <v/>
      </c>
    </row>
    <row r="17">
      <c r="A17" s="8" t="n">
        <v>2015</v>
      </c>
      <c r="B17" s="6" t="n">
        <v>0.02995</v>
      </c>
      <c r="C17" s="6" t="n">
        <v>0.027591</v>
      </c>
      <c r="D17" s="8">
        <f>B17-C17</f>
        <v/>
      </c>
      <c r="E17" s="8">
        <f>1+B17</f>
        <v/>
      </c>
      <c r="F17" s="8">
        <f>1+C17</f>
        <v/>
      </c>
    </row>
    <row r="18">
      <c r="A18" s="8" t="n">
        <v>2016</v>
      </c>
      <c r="B18" s="6" t="n">
        <v>0.08996</v>
      </c>
      <c r="C18" s="6" t="n">
        <v>0.050248</v>
      </c>
      <c r="D18" s="8">
        <f>B18-C18</f>
        <v/>
      </c>
      <c r="E18" s="8">
        <f>1+B18</f>
        <v/>
      </c>
      <c r="F18" s="8">
        <f>1+C18</f>
        <v/>
      </c>
    </row>
    <row r="19">
      <c r="A19" s="8" t="n">
        <v>2017</v>
      </c>
      <c r="B19" s="6" t="n">
        <v>0.08169999999999999</v>
      </c>
      <c r="C19" s="6" t="n">
        <v>0.03597</v>
      </c>
      <c r="D19" s="8">
        <f>B19-C19</f>
        <v/>
      </c>
      <c r="E19" s="8">
        <f>1+B19</f>
        <v/>
      </c>
      <c r="F19" s="8">
        <f>1+C19</f>
        <v/>
      </c>
    </row>
    <row r="20">
      <c r="A20" s="8" t="n">
        <v>2018</v>
      </c>
      <c r="B20" s="6" t="n">
        <v>-0.00185</v>
      </c>
      <c r="C20" s="6" t="n">
        <v>-0.00916</v>
      </c>
      <c r="D20" s="8">
        <f>B20-C20</f>
        <v/>
      </c>
      <c r="E20" s="8">
        <f>1+B20</f>
        <v/>
      </c>
      <c r="F20" s="8">
        <f>1+C20</f>
        <v/>
      </c>
    </row>
    <row r="21">
      <c r="A21" s="8" t="n">
        <v>2019</v>
      </c>
      <c r="B21" s="6" t="n">
        <v>0.11063</v>
      </c>
      <c r="C21" s="6" t="n">
        <v>0.111001</v>
      </c>
      <c r="D21" s="8">
        <f>B21-C21</f>
        <v/>
      </c>
      <c r="E21" s="8">
        <f>1+B21</f>
        <v/>
      </c>
      <c r="F21" s="8">
        <f>1+C21</f>
        <v/>
      </c>
    </row>
    <row r="22">
      <c r="A22" s="8" t="n">
        <v>2020</v>
      </c>
      <c r="B22" s="6" t="n">
        <v>0.15116</v>
      </c>
      <c r="C22" s="6" t="n">
        <v>0.116632</v>
      </c>
      <c r="D22" s="8">
        <f>B22-C22</f>
        <v/>
      </c>
      <c r="E22" s="8">
        <f>1+B22</f>
        <v/>
      </c>
      <c r="F22" s="8">
        <f>1+C22</f>
        <v/>
      </c>
    </row>
    <row r="23">
      <c r="A23" s="8" t="n">
        <v>2021</v>
      </c>
      <c r="B23" s="6" t="n">
        <v>0.06304</v>
      </c>
      <c r="C23" s="6" t="n">
        <v>0.023529</v>
      </c>
      <c r="D23" s="8">
        <f>B23-C23</f>
        <v/>
      </c>
      <c r="E23" s="8">
        <f>1+B23</f>
        <v/>
      </c>
      <c r="F23" s="8">
        <f>1+C23</f>
        <v/>
      </c>
    </row>
    <row r="24">
      <c r="A24" s="8" t="n">
        <v>2022</v>
      </c>
      <c r="B24" s="6" t="n">
        <v>-0.16476</v>
      </c>
      <c r="C24" s="6" t="n">
        <v>-0.134073</v>
      </c>
      <c r="D24" s="8">
        <f>B24-C24</f>
        <v/>
      </c>
      <c r="E24" s="8">
        <f>1+B24</f>
        <v/>
      </c>
      <c r="F24" s="8">
        <f>1+C24</f>
        <v/>
      </c>
    </row>
    <row r="25">
      <c r="A25" s="8" t="n">
        <v>2023</v>
      </c>
      <c r="B25" s="6" t="n">
        <v>-0.04581</v>
      </c>
      <c r="C25" s="6" t="n">
        <v>-0.014569</v>
      </c>
      <c r="D25" s="8">
        <f>B25-C25</f>
        <v/>
      </c>
      <c r="E25" s="8">
        <f>1+B25</f>
        <v/>
      </c>
      <c r="F25" s="8">
        <f>1+C25</f>
        <v/>
      </c>
    </row>
    <row r="26">
      <c r="A26" s="8" t="n">
        <v>2024</v>
      </c>
      <c r="B26" s="6" t="n">
        <v>0.07154000000000001</v>
      </c>
      <c r="C26" s="6" t="n">
        <v>0.061909</v>
      </c>
      <c r="D26" s="8">
        <f>B26-C26</f>
        <v/>
      </c>
      <c r="E26" s="8">
        <f>1+B26</f>
        <v/>
      </c>
      <c r="F26" s="8">
        <f>1+C26</f>
        <v/>
      </c>
    </row>
    <row r="27">
      <c r="A27" s="8" t="n">
        <v>2025</v>
      </c>
      <c r="B27" s="6" t="n">
        <v>0.03028</v>
      </c>
      <c r="C27" s="6" t="n">
        <v>0.052239</v>
      </c>
      <c r="D27" s="8">
        <f>B27-C27</f>
        <v/>
      </c>
      <c r="E27" s="8">
        <f>1+B27</f>
        <v/>
      </c>
      <c r="F27" s="8">
        <f>1+C27</f>
        <v/>
      </c>
    </row>
    <row r="28">
      <c r="A28" s="8" t="n">
        <v>2026</v>
      </c>
      <c r="B28" s="6" t="n">
        <v>0.04529</v>
      </c>
      <c r="C28" s="6" t="n">
        <v>0.037262</v>
      </c>
      <c r="D28" s="8">
        <f>B28-C28</f>
        <v/>
      </c>
      <c r="E28" s="8">
        <f>1+B28</f>
        <v/>
      </c>
      <c r="F28" s="8">
        <f>1+C28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2026-07-03T18:52:22Z</dcterms:created>
  <dcterms:modified xmlns:dcterms="http://purl.org/dc/terms/" xmlns:xsi="http://www.w3.org/2001/XMLSchema-instance" xsi:type="dcterms:W3CDTF">2026-07-03T18:52:23Z</dcterms:modified>
</cp:coreProperties>
</file>